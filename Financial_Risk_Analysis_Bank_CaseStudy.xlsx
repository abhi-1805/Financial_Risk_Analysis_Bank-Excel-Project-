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abhid\Downloads\"/>
    </mc:Choice>
  </mc:AlternateContent>
  <xr:revisionPtr revIDLastSave="0" documentId="13_ncr:1_{94CD6918-3D83-4F4F-AD2E-94A8B25C5FCC}" xr6:coauthVersionLast="47" xr6:coauthVersionMax="47" xr10:uidLastSave="{00000000-0000-0000-0000-000000000000}"/>
  <bookViews>
    <workbookView xWindow="-108" yWindow="-108" windowWidth="23256" windowHeight="13896" firstSheet="2" activeTab="4" xr2:uid="{00000000-000D-0000-FFFF-FFFF00000000}"/>
  </bookViews>
  <sheets>
    <sheet name="Loantype vs loanstatus" sheetId="2" r:id="rId1"/>
    <sheet name="region vs loanstatus" sheetId="3" r:id="rId2"/>
    <sheet name="Emplomenttype vs loanamount" sheetId="4" r:id="rId3"/>
    <sheet name="creditscoregroup vs loanstatus" sheetId="5" r:id="rId4"/>
    <sheet name="Dashboard" sheetId="8" r:id="rId5"/>
    <sheet name="year vs loan amount" sheetId="6" r:id="rId6"/>
    <sheet name="loantype vs interestrate" sheetId="7" r:id="rId7"/>
    <sheet name="Sheet1" sheetId="9" r:id="rId8"/>
    <sheet name="Financial data" sheetId="1" r:id="rId9"/>
  </sheets>
  <definedNames>
    <definedName name="_xlnm._FilterDatabase" localSheetId="8" hidden="1">'Financial data'!$A$1:$N$1001</definedName>
    <definedName name="Slicer_Employment_Type">#N/A</definedName>
    <definedName name="Slicer_Loan_Type">#N/A</definedName>
    <definedName name="Slicer_Region">#N/A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6" i="1" l="1"/>
  <c r="V22" i="1"/>
  <c r="V18" i="1"/>
  <c r="V14" i="1"/>
  <c r="V7" i="1"/>
  <c r="V8" i="1"/>
  <c r="V9" i="1"/>
  <c r="V6"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2" i="1"/>
  <c r="Q52" i="1"/>
  <c r="Q53" i="1"/>
  <c r="Q84" i="1"/>
  <c r="Q94" i="1"/>
  <c r="Q100" i="1"/>
  <c r="Q131" i="1"/>
  <c r="Q190" i="1"/>
  <c r="Q191" i="1"/>
  <c r="Q198" i="1"/>
  <c r="Q199" i="1"/>
  <c r="Q228" i="1"/>
  <c r="Q286" i="1"/>
  <c r="Q287" i="1"/>
  <c r="Q288" i="1"/>
  <c r="Q289" i="1"/>
  <c r="Q318" i="1"/>
  <c r="Q319" i="1"/>
  <c r="Q323" i="1"/>
  <c r="Q336" i="1"/>
  <c r="Q384" i="1"/>
  <c r="Q385" i="1"/>
  <c r="Q398" i="1"/>
  <c r="Q416" i="1"/>
  <c r="Q417" i="1"/>
  <c r="Q467" i="1"/>
  <c r="Q473" i="1"/>
  <c r="Q474" i="1"/>
  <c r="Q475" i="1"/>
  <c r="Q512" i="1"/>
  <c r="Q544" i="1"/>
  <c r="Q577" i="1"/>
  <c r="Q596" i="1"/>
  <c r="Q597" i="1"/>
  <c r="Q612" i="1"/>
  <c r="Q615" i="1"/>
  <c r="Q638" i="1"/>
  <c r="Q707" i="1"/>
  <c r="Q708" i="1"/>
  <c r="Q709" i="1"/>
  <c r="Q783" i="1"/>
  <c r="Q784" i="1"/>
  <c r="Q785" i="1"/>
  <c r="Q848" i="1"/>
  <c r="Q851" i="1"/>
  <c r="Q852" i="1"/>
  <c r="Q901" i="1"/>
  <c r="Q902" i="1"/>
  <c r="Q903" i="1"/>
  <c r="Q921" i="1"/>
  <c r="Q931" i="1"/>
  <c r="P18" i="1"/>
  <c r="Q18" i="1" s="1"/>
  <c r="P30" i="1"/>
  <c r="Q30" i="1" s="1"/>
  <c r="P31" i="1"/>
  <c r="Q31" i="1" s="1"/>
  <c r="P33" i="1"/>
  <c r="Q33" i="1" s="1"/>
  <c r="P34" i="1"/>
  <c r="Q34" i="1" s="1"/>
  <c r="P35" i="1"/>
  <c r="Q35" i="1" s="1"/>
  <c r="P36" i="1"/>
  <c r="Q36" i="1" s="1"/>
  <c r="P83" i="1"/>
  <c r="Q83" i="1" s="1"/>
  <c r="P128" i="1"/>
  <c r="Q128" i="1" s="1"/>
  <c r="P144" i="1"/>
  <c r="Q144" i="1" s="1"/>
  <c r="P160" i="1"/>
  <c r="Q160" i="1" s="1"/>
  <c r="P161" i="1"/>
  <c r="Q161" i="1" s="1"/>
  <c r="P162" i="1"/>
  <c r="Q162" i="1" s="1"/>
  <c r="P163" i="1"/>
  <c r="Q163" i="1" s="1"/>
  <c r="P164" i="1"/>
  <c r="Q164" i="1" s="1"/>
  <c r="P166" i="1"/>
  <c r="Q166" i="1" s="1"/>
  <c r="P193" i="1"/>
  <c r="Q193" i="1" s="1"/>
  <c r="P210" i="1"/>
  <c r="Q210" i="1" s="1"/>
  <c r="P211" i="1"/>
  <c r="Q211" i="1" s="1"/>
  <c r="P212" i="1"/>
  <c r="Q212" i="1" s="1"/>
  <c r="P238" i="1"/>
  <c r="Q238" i="1" s="1"/>
  <c r="P239" i="1"/>
  <c r="Q239" i="1" s="1"/>
  <c r="P240" i="1"/>
  <c r="Q240" i="1" s="1"/>
  <c r="P241" i="1"/>
  <c r="Q241" i="1" s="1"/>
  <c r="P259" i="1"/>
  <c r="Q259" i="1" s="1"/>
  <c r="P290" i="1"/>
  <c r="Q290" i="1" s="1"/>
  <c r="P291" i="1"/>
  <c r="Q291" i="1" s="1"/>
  <c r="P292" i="1"/>
  <c r="Q292" i="1" s="1"/>
  <c r="P293" i="1"/>
  <c r="Q293" i="1" s="1"/>
  <c r="P294" i="1"/>
  <c r="Q294" i="1" s="1"/>
  <c r="P303" i="1"/>
  <c r="Q303" i="1" s="1"/>
  <c r="P304" i="1"/>
  <c r="Q304" i="1" s="1"/>
  <c r="P309" i="1"/>
  <c r="Q309" i="1" s="1"/>
  <c r="P339" i="1"/>
  <c r="Q339" i="1" s="1"/>
  <c r="P350" i="1"/>
  <c r="Q350" i="1" s="1"/>
  <c r="P366" i="1"/>
  <c r="Q366" i="1" s="1"/>
  <c r="P367" i="1"/>
  <c r="Q367" i="1" s="1"/>
  <c r="P382" i="1"/>
  <c r="Q382" i="1" s="1"/>
  <c r="P384" i="1"/>
  <c r="P385" i="1"/>
  <c r="P414" i="1"/>
  <c r="Q414" i="1" s="1"/>
  <c r="P419" i="1"/>
  <c r="Q419" i="1" s="1"/>
  <c r="P451" i="1"/>
  <c r="Q451" i="1" s="1"/>
  <c r="P452" i="1"/>
  <c r="Q452" i="1" s="1"/>
  <c r="P480" i="1"/>
  <c r="Q480" i="1" s="1"/>
  <c r="P481" i="1"/>
  <c r="Q481" i="1" s="1"/>
  <c r="P483" i="1"/>
  <c r="Q483" i="1" s="1"/>
  <c r="P484" i="1"/>
  <c r="Q484" i="1" s="1"/>
  <c r="P516" i="1"/>
  <c r="Q516" i="1" s="1"/>
  <c r="P517" i="1"/>
  <c r="Q517" i="1" s="1"/>
  <c r="P520" i="1"/>
  <c r="Q520" i="1" s="1"/>
  <c r="P521" i="1"/>
  <c r="Q521" i="1" s="1"/>
  <c r="P522" i="1"/>
  <c r="Q522" i="1" s="1"/>
  <c r="P523" i="1"/>
  <c r="Q523" i="1" s="1"/>
  <c r="P524" i="1"/>
  <c r="Q524" i="1" s="1"/>
  <c r="P547" i="1"/>
  <c r="Q547" i="1" s="1"/>
  <c r="P548" i="1"/>
  <c r="Q548" i="1" s="1"/>
  <c r="P549" i="1"/>
  <c r="Q549" i="1" s="1"/>
  <c r="P559" i="1"/>
  <c r="Q559" i="1" s="1"/>
  <c r="P560" i="1"/>
  <c r="Q560" i="1" s="1"/>
  <c r="P581" i="1"/>
  <c r="Q581" i="1" s="1"/>
  <c r="P592" i="1"/>
  <c r="Q592" i="1" s="1"/>
  <c r="P593" i="1"/>
  <c r="Q593" i="1" s="1"/>
  <c r="P622" i="1"/>
  <c r="Q622" i="1" s="1"/>
  <c r="P623" i="1"/>
  <c r="Q623" i="1" s="1"/>
  <c r="P624" i="1"/>
  <c r="Q624" i="1" s="1"/>
  <c r="P627" i="1"/>
  <c r="Q627" i="1" s="1"/>
  <c r="P652" i="1"/>
  <c r="Q652" i="1" s="1"/>
  <c r="P654" i="1"/>
  <c r="Q654" i="1" s="1"/>
  <c r="P655" i="1"/>
  <c r="Q655" i="1" s="1"/>
  <c r="P656" i="1"/>
  <c r="Q656" i="1" s="1"/>
  <c r="P657" i="1"/>
  <c r="Q657" i="1" s="1"/>
  <c r="P675" i="1"/>
  <c r="Q675" i="1" s="1"/>
  <c r="P676" i="1"/>
  <c r="Q676" i="1" s="1"/>
  <c r="P677" i="1"/>
  <c r="Q677" i="1" s="1"/>
  <c r="P686" i="1"/>
  <c r="Q686" i="1" s="1"/>
  <c r="P687" i="1"/>
  <c r="Q687" i="1" s="1"/>
  <c r="P688" i="1"/>
  <c r="Q688" i="1" s="1"/>
  <c r="P689" i="1"/>
  <c r="Q689" i="1" s="1"/>
  <c r="P690" i="1"/>
  <c r="Q690" i="1" s="1"/>
  <c r="P706" i="1"/>
  <c r="Q706" i="1" s="1"/>
  <c r="P708" i="1"/>
  <c r="P709" i="1"/>
  <c r="P714" i="1"/>
  <c r="Q714" i="1" s="1"/>
  <c r="P718" i="1"/>
  <c r="Q718" i="1" s="1"/>
  <c r="P736" i="1"/>
  <c r="Q736" i="1" s="1"/>
  <c r="P737" i="1"/>
  <c r="Q737" i="1" s="1"/>
  <c r="P739" i="1"/>
  <c r="Q739" i="1" s="1"/>
  <c r="P770" i="1"/>
  <c r="Q770" i="1" s="1"/>
  <c r="P771" i="1"/>
  <c r="Q771" i="1" s="1"/>
  <c r="P772" i="1"/>
  <c r="Q772" i="1" s="1"/>
  <c r="P773" i="1"/>
  <c r="Q773" i="1" s="1"/>
  <c r="P774" i="1"/>
  <c r="Q774" i="1" s="1"/>
  <c r="P777" i="1"/>
  <c r="Q777" i="1" s="1"/>
  <c r="P778" i="1"/>
  <c r="Q778" i="1" s="1"/>
  <c r="P779" i="1"/>
  <c r="Q779" i="1" s="1"/>
  <c r="P780" i="1"/>
  <c r="Q780" i="1" s="1"/>
  <c r="P782" i="1"/>
  <c r="Q782" i="1" s="1"/>
  <c r="P814" i="1"/>
  <c r="Q814" i="1" s="1"/>
  <c r="P815" i="1"/>
  <c r="Q815" i="1" s="1"/>
  <c r="P816" i="1"/>
  <c r="Q816" i="1" s="1"/>
  <c r="P820" i="1"/>
  <c r="Q820" i="1" s="1"/>
  <c r="P821" i="1"/>
  <c r="Q821" i="1" s="1"/>
  <c r="P846" i="1"/>
  <c r="Q846" i="1" s="1"/>
  <c r="P854" i="1"/>
  <c r="Q854" i="1" s="1"/>
  <c r="P864" i="1"/>
  <c r="Q864" i="1" s="1"/>
  <c r="P865" i="1"/>
  <c r="Q865" i="1" s="1"/>
  <c r="P880" i="1"/>
  <c r="Q880" i="1" s="1"/>
  <c r="P883" i="1"/>
  <c r="Q883" i="1" s="1"/>
  <c r="P896" i="1"/>
  <c r="Q896" i="1" s="1"/>
  <c r="P897" i="1"/>
  <c r="Q897" i="1" s="1"/>
  <c r="P898" i="1"/>
  <c r="Q898" i="1" s="1"/>
  <c r="P899" i="1"/>
  <c r="Q899" i="1" s="1"/>
  <c r="P900" i="1"/>
  <c r="Q900" i="1" s="1"/>
  <c r="P901" i="1"/>
  <c r="P915" i="1"/>
  <c r="Q915" i="1" s="1"/>
  <c r="P928" i="1"/>
  <c r="Q928" i="1" s="1"/>
  <c r="P929" i="1"/>
  <c r="Q929" i="1" s="1"/>
  <c r="P942" i="1"/>
  <c r="Q942" i="1" s="1"/>
  <c r="P943" i="1"/>
  <c r="Q943" i="1" s="1"/>
  <c r="P960" i="1"/>
  <c r="Q960" i="1" s="1"/>
  <c r="P963" i="1"/>
  <c r="Q963" i="1" s="1"/>
  <c r="P964" i="1"/>
  <c r="Q964" i="1" s="1"/>
  <c r="P965" i="1"/>
  <c r="Q965" i="1" s="1"/>
  <c r="P966" i="1"/>
  <c r="Q966" i="1" s="1"/>
  <c r="P969" i="1"/>
  <c r="Q969" i="1" s="1"/>
  <c r="P990" i="1"/>
  <c r="Q990" i="1" s="1"/>
  <c r="P991" i="1"/>
  <c r="Q991" i="1" s="1"/>
  <c r="O3" i="1"/>
  <c r="P3" i="1" s="1"/>
  <c r="Q3" i="1" s="1"/>
  <c r="O4" i="1"/>
  <c r="P4" i="1" s="1"/>
  <c r="Q4" i="1" s="1"/>
  <c r="O5" i="1"/>
  <c r="P5" i="1" s="1"/>
  <c r="Q5" i="1" s="1"/>
  <c r="O6" i="1"/>
  <c r="P6" i="1" s="1"/>
  <c r="Q6" i="1" s="1"/>
  <c r="O7" i="1"/>
  <c r="P7" i="1" s="1"/>
  <c r="Q7" i="1" s="1"/>
  <c r="O8" i="1"/>
  <c r="P8" i="1" s="1"/>
  <c r="Q8" i="1" s="1"/>
  <c r="O9" i="1"/>
  <c r="P9" i="1" s="1"/>
  <c r="Q9" i="1" s="1"/>
  <c r="O10" i="1"/>
  <c r="P10" i="1" s="1"/>
  <c r="Q10" i="1" s="1"/>
  <c r="O11" i="1"/>
  <c r="P11" i="1" s="1"/>
  <c r="Q11" i="1" s="1"/>
  <c r="O12" i="1"/>
  <c r="P12" i="1" s="1"/>
  <c r="Q12" i="1" s="1"/>
  <c r="O13" i="1"/>
  <c r="P13" i="1" s="1"/>
  <c r="Q13" i="1" s="1"/>
  <c r="O14" i="1"/>
  <c r="P14" i="1" s="1"/>
  <c r="Q14" i="1" s="1"/>
  <c r="O15" i="1"/>
  <c r="P15" i="1" s="1"/>
  <c r="Q15" i="1" s="1"/>
  <c r="O16" i="1"/>
  <c r="P16" i="1" s="1"/>
  <c r="Q16" i="1" s="1"/>
  <c r="O17" i="1"/>
  <c r="P17" i="1" s="1"/>
  <c r="Q17" i="1" s="1"/>
  <c r="O18" i="1"/>
  <c r="O19" i="1"/>
  <c r="P19" i="1" s="1"/>
  <c r="Q19" i="1" s="1"/>
  <c r="O20" i="1"/>
  <c r="P20" i="1" s="1"/>
  <c r="Q20" i="1" s="1"/>
  <c r="O21" i="1"/>
  <c r="P21" i="1" s="1"/>
  <c r="Q21" i="1" s="1"/>
  <c r="O22" i="1"/>
  <c r="P22" i="1" s="1"/>
  <c r="Q22" i="1" s="1"/>
  <c r="O23" i="1"/>
  <c r="P23" i="1" s="1"/>
  <c r="Q23" i="1" s="1"/>
  <c r="O24" i="1"/>
  <c r="P24" i="1" s="1"/>
  <c r="Q24" i="1" s="1"/>
  <c r="O25" i="1"/>
  <c r="P25" i="1" s="1"/>
  <c r="Q25" i="1" s="1"/>
  <c r="O26" i="1"/>
  <c r="P26" i="1" s="1"/>
  <c r="Q26" i="1" s="1"/>
  <c r="O27" i="1"/>
  <c r="P27" i="1" s="1"/>
  <c r="Q27" i="1" s="1"/>
  <c r="O28" i="1"/>
  <c r="P28" i="1" s="1"/>
  <c r="Q28" i="1" s="1"/>
  <c r="O29" i="1"/>
  <c r="P29" i="1" s="1"/>
  <c r="Q29" i="1" s="1"/>
  <c r="O30" i="1"/>
  <c r="O31" i="1"/>
  <c r="O32" i="1"/>
  <c r="P32" i="1" s="1"/>
  <c r="Q32" i="1" s="1"/>
  <c r="O33" i="1"/>
  <c r="O34" i="1"/>
  <c r="O35" i="1"/>
  <c r="O36" i="1"/>
  <c r="O37" i="1"/>
  <c r="P37" i="1" s="1"/>
  <c r="Q37" i="1" s="1"/>
  <c r="O38" i="1"/>
  <c r="P38" i="1" s="1"/>
  <c r="Q38" i="1" s="1"/>
  <c r="O39" i="1"/>
  <c r="P39" i="1" s="1"/>
  <c r="Q39" i="1" s="1"/>
  <c r="O40" i="1"/>
  <c r="P40" i="1" s="1"/>
  <c r="Q40" i="1" s="1"/>
  <c r="O41" i="1"/>
  <c r="P41" i="1" s="1"/>
  <c r="Q41" i="1" s="1"/>
  <c r="O42" i="1"/>
  <c r="P42" i="1" s="1"/>
  <c r="Q42" i="1" s="1"/>
  <c r="O43" i="1"/>
  <c r="P43" i="1" s="1"/>
  <c r="Q43" i="1" s="1"/>
  <c r="O44" i="1"/>
  <c r="P44" i="1" s="1"/>
  <c r="Q44" i="1" s="1"/>
  <c r="O45" i="1"/>
  <c r="P45" i="1" s="1"/>
  <c r="Q45" i="1" s="1"/>
  <c r="O46" i="1"/>
  <c r="P46" i="1" s="1"/>
  <c r="Q46" i="1" s="1"/>
  <c r="O47" i="1"/>
  <c r="P47" i="1" s="1"/>
  <c r="Q47" i="1" s="1"/>
  <c r="O48" i="1"/>
  <c r="P48" i="1" s="1"/>
  <c r="Q48" i="1" s="1"/>
  <c r="O49" i="1"/>
  <c r="P49" i="1" s="1"/>
  <c r="Q49" i="1" s="1"/>
  <c r="O50" i="1"/>
  <c r="P50" i="1" s="1"/>
  <c r="Q50" i="1" s="1"/>
  <c r="O51" i="1"/>
  <c r="P51" i="1" s="1"/>
  <c r="Q51" i="1" s="1"/>
  <c r="O52" i="1"/>
  <c r="P52" i="1" s="1"/>
  <c r="O53" i="1"/>
  <c r="P53" i="1" s="1"/>
  <c r="O54" i="1"/>
  <c r="P54" i="1" s="1"/>
  <c r="Q54" i="1" s="1"/>
  <c r="O55" i="1"/>
  <c r="P55" i="1" s="1"/>
  <c r="Q55" i="1" s="1"/>
  <c r="O56" i="1"/>
  <c r="P56" i="1" s="1"/>
  <c r="Q56" i="1" s="1"/>
  <c r="O57" i="1"/>
  <c r="P57" i="1" s="1"/>
  <c r="Q57" i="1" s="1"/>
  <c r="O58" i="1"/>
  <c r="P58" i="1" s="1"/>
  <c r="Q58" i="1" s="1"/>
  <c r="O59" i="1"/>
  <c r="P59" i="1" s="1"/>
  <c r="Q59" i="1" s="1"/>
  <c r="O60" i="1"/>
  <c r="P60" i="1" s="1"/>
  <c r="Q60" i="1" s="1"/>
  <c r="O61" i="1"/>
  <c r="P61" i="1" s="1"/>
  <c r="Q61" i="1" s="1"/>
  <c r="O62" i="1"/>
  <c r="P62" i="1" s="1"/>
  <c r="Q62" i="1" s="1"/>
  <c r="O63" i="1"/>
  <c r="P63" i="1" s="1"/>
  <c r="Q63" i="1" s="1"/>
  <c r="O64" i="1"/>
  <c r="P64" i="1" s="1"/>
  <c r="Q64" i="1" s="1"/>
  <c r="O65" i="1"/>
  <c r="P65" i="1" s="1"/>
  <c r="Q65" i="1" s="1"/>
  <c r="O66" i="1"/>
  <c r="P66" i="1" s="1"/>
  <c r="Q66" i="1" s="1"/>
  <c r="O67" i="1"/>
  <c r="P67" i="1" s="1"/>
  <c r="Q67" i="1" s="1"/>
  <c r="O68" i="1"/>
  <c r="P68" i="1" s="1"/>
  <c r="Q68" i="1" s="1"/>
  <c r="O69" i="1"/>
  <c r="P69" i="1" s="1"/>
  <c r="Q69" i="1" s="1"/>
  <c r="O70" i="1"/>
  <c r="P70" i="1" s="1"/>
  <c r="Q70" i="1" s="1"/>
  <c r="O71" i="1"/>
  <c r="P71" i="1" s="1"/>
  <c r="Q71" i="1" s="1"/>
  <c r="O72" i="1"/>
  <c r="P72" i="1" s="1"/>
  <c r="Q72" i="1" s="1"/>
  <c r="O73" i="1"/>
  <c r="P73" i="1" s="1"/>
  <c r="Q73" i="1" s="1"/>
  <c r="O74" i="1"/>
  <c r="P74" i="1" s="1"/>
  <c r="Q74" i="1" s="1"/>
  <c r="O75" i="1"/>
  <c r="P75" i="1" s="1"/>
  <c r="Q75" i="1" s="1"/>
  <c r="O76" i="1"/>
  <c r="P76" i="1" s="1"/>
  <c r="Q76" i="1" s="1"/>
  <c r="O77" i="1"/>
  <c r="P77" i="1" s="1"/>
  <c r="Q77" i="1" s="1"/>
  <c r="O78" i="1"/>
  <c r="P78" i="1" s="1"/>
  <c r="Q78" i="1" s="1"/>
  <c r="O79" i="1"/>
  <c r="P79" i="1" s="1"/>
  <c r="Q79" i="1" s="1"/>
  <c r="O80" i="1"/>
  <c r="P80" i="1" s="1"/>
  <c r="Q80" i="1" s="1"/>
  <c r="O81" i="1"/>
  <c r="P81" i="1" s="1"/>
  <c r="Q81" i="1" s="1"/>
  <c r="O82" i="1"/>
  <c r="P82" i="1" s="1"/>
  <c r="Q82" i="1" s="1"/>
  <c r="O83" i="1"/>
  <c r="O84" i="1"/>
  <c r="P84" i="1" s="1"/>
  <c r="O85" i="1"/>
  <c r="P85" i="1" s="1"/>
  <c r="Q85" i="1" s="1"/>
  <c r="O86" i="1"/>
  <c r="P86" i="1" s="1"/>
  <c r="Q86" i="1" s="1"/>
  <c r="O87" i="1"/>
  <c r="P87" i="1" s="1"/>
  <c r="Q87" i="1" s="1"/>
  <c r="O88" i="1"/>
  <c r="P88" i="1" s="1"/>
  <c r="Q88" i="1" s="1"/>
  <c r="O89" i="1"/>
  <c r="P89" i="1" s="1"/>
  <c r="Q89" i="1" s="1"/>
  <c r="O90" i="1"/>
  <c r="P90" i="1" s="1"/>
  <c r="Q90" i="1" s="1"/>
  <c r="O91" i="1"/>
  <c r="P91" i="1" s="1"/>
  <c r="Q91" i="1" s="1"/>
  <c r="O92" i="1"/>
  <c r="P92" i="1" s="1"/>
  <c r="Q92" i="1" s="1"/>
  <c r="O93" i="1"/>
  <c r="P93" i="1" s="1"/>
  <c r="Q93" i="1" s="1"/>
  <c r="O94" i="1"/>
  <c r="P94" i="1" s="1"/>
  <c r="O95" i="1"/>
  <c r="P95" i="1" s="1"/>
  <c r="Q95" i="1" s="1"/>
  <c r="O96" i="1"/>
  <c r="P96" i="1" s="1"/>
  <c r="Q96" i="1" s="1"/>
  <c r="O97" i="1"/>
  <c r="P97" i="1" s="1"/>
  <c r="Q97" i="1" s="1"/>
  <c r="O98" i="1"/>
  <c r="P98" i="1" s="1"/>
  <c r="Q98" i="1" s="1"/>
  <c r="O99" i="1"/>
  <c r="P99" i="1" s="1"/>
  <c r="Q99" i="1" s="1"/>
  <c r="O100" i="1"/>
  <c r="P100" i="1" s="1"/>
  <c r="O101" i="1"/>
  <c r="P101" i="1" s="1"/>
  <c r="Q101" i="1" s="1"/>
  <c r="O102" i="1"/>
  <c r="P102" i="1" s="1"/>
  <c r="Q102" i="1" s="1"/>
  <c r="O103" i="1"/>
  <c r="P103" i="1" s="1"/>
  <c r="Q103" i="1" s="1"/>
  <c r="O104" i="1"/>
  <c r="P104" i="1" s="1"/>
  <c r="Q104" i="1" s="1"/>
  <c r="O105" i="1"/>
  <c r="P105" i="1" s="1"/>
  <c r="Q105" i="1" s="1"/>
  <c r="O106" i="1"/>
  <c r="P106" i="1" s="1"/>
  <c r="Q106" i="1" s="1"/>
  <c r="O107" i="1"/>
  <c r="P107" i="1" s="1"/>
  <c r="Q107" i="1" s="1"/>
  <c r="O108" i="1"/>
  <c r="P108" i="1" s="1"/>
  <c r="Q108" i="1" s="1"/>
  <c r="O109" i="1"/>
  <c r="P109" i="1" s="1"/>
  <c r="Q109" i="1" s="1"/>
  <c r="O110" i="1"/>
  <c r="P110" i="1" s="1"/>
  <c r="Q110" i="1" s="1"/>
  <c r="O111" i="1"/>
  <c r="P111" i="1" s="1"/>
  <c r="Q111" i="1" s="1"/>
  <c r="O112" i="1"/>
  <c r="P112" i="1" s="1"/>
  <c r="Q112" i="1" s="1"/>
  <c r="O113" i="1"/>
  <c r="P113" i="1" s="1"/>
  <c r="Q113" i="1" s="1"/>
  <c r="O114" i="1"/>
  <c r="P114" i="1" s="1"/>
  <c r="Q114" i="1" s="1"/>
  <c r="O115" i="1"/>
  <c r="P115" i="1" s="1"/>
  <c r="Q115" i="1" s="1"/>
  <c r="O116" i="1"/>
  <c r="P116" i="1" s="1"/>
  <c r="Q116" i="1" s="1"/>
  <c r="O117" i="1"/>
  <c r="P117" i="1" s="1"/>
  <c r="Q117" i="1" s="1"/>
  <c r="O118" i="1"/>
  <c r="P118" i="1" s="1"/>
  <c r="Q118" i="1" s="1"/>
  <c r="O119" i="1"/>
  <c r="P119" i="1" s="1"/>
  <c r="Q119" i="1" s="1"/>
  <c r="O120" i="1"/>
  <c r="P120" i="1" s="1"/>
  <c r="Q120" i="1" s="1"/>
  <c r="O121" i="1"/>
  <c r="P121" i="1" s="1"/>
  <c r="Q121" i="1" s="1"/>
  <c r="O122" i="1"/>
  <c r="P122" i="1" s="1"/>
  <c r="Q122" i="1" s="1"/>
  <c r="O123" i="1"/>
  <c r="P123" i="1" s="1"/>
  <c r="Q123" i="1" s="1"/>
  <c r="O124" i="1"/>
  <c r="P124" i="1" s="1"/>
  <c r="Q124" i="1" s="1"/>
  <c r="O125" i="1"/>
  <c r="P125" i="1" s="1"/>
  <c r="Q125" i="1" s="1"/>
  <c r="O126" i="1"/>
  <c r="P126" i="1" s="1"/>
  <c r="Q126" i="1" s="1"/>
  <c r="O127" i="1"/>
  <c r="P127" i="1" s="1"/>
  <c r="Q127" i="1" s="1"/>
  <c r="O128" i="1"/>
  <c r="O129" i="1"/>
  <c r="P129" i="1" s="1"/>
  <c r="Q129" i="1" s="1"/>
  <c r="O130" i="1"/>
  <c r="P130" i="1" s="1"/>
  <c r="Q130" i="1" s="1"/>
  <c r="O131" i="1"/>
  <c r="P131" i="1" s="1"/>
  <c r="O132" i="1"/>
  <c r="P132" i="1" s="1"/>
  <c r="Q132" i="1" s="1"/>
  <c r="O133" i="1"/>
  <c r="P133" i="1" s="1"/>
  <c r="Q133" i="1" s="1"/>
  <c r="O134" i="1"/>
  <c r="P134" i="1" s="1"/>
  <c r="Q134" i="1" s="1"/>
  <c r="O135" i="1"/>
  <c r="P135" i="1" s="1"/>
  <c r="Q135" i="1" s="1"/>
  <c r="O136" i="1"/>
  <c r="P136" i="1" s="1"/>
  <c r="Q136" i="1" s="1"/>
  <c r="O137" i="1"/>
  <c r="P137" i="1" s="1"/>
  <c r="Q137" i="1" s="1"/>
  <c r="O138" i="1"/>
  <c r="P138" i="1" s="1"/>
  <c r="Q138" i="1" s="1"/>
  <c r="O139" i="1"/>
  <c r="P139" i="1" s="1"/>
  <c r="Q139" i="1" s="1"/>
  <c r="O140" i="1"/>
  <c r="P140" i="1" s="1"/>
  <c r="Q140" i="1" s="1"/>
  <c r="O141" i="1"/>
  <c r="P141" i="1" s="1"/>
  <c r="Q141" i="1" s="1"/>
  <c r="O142" i="1"/>
  <c r="P142" i="1" s="1"/>
  <c r="Q142" i="1" s="1"/>
  <c r="O143" i="1"/>
  <c r="P143" i="1" s="1"/>
  <c r="Q143" i="1" s="1"/>
  <c r="O144" i="1"/>
  <c r="O145" i="1"/>
  <c r="P145" i="1" s="1"/>
  <c r="Q145" i="1" s="1"/>
  <c r="O146" i="1"/>
  <c r="P146" i="1" s="1"/>
  <c r="Q146" i="1" s="1"/>
  <c r="O147" i="1"/>
  <c r="P147" i="1" s="1"/>
  <c r="Q147" i="1" s="1"/>
  <c r="O148" i="1"/>
  <c r="P148" i="1" s="1"/>
  <c r="Q148" i="1" s="1"/>
  <c r="O149" i="1"/>
  <c r="P149" i="1" s="1"/>
  <c r="Q149" i="1" s="1"/>
  <c r="O150" i="1"/>
  <c r="P150" i="1" s="1"/>
  <c r="Q150" i="1" s="1"/>
  <c r="O151" i="1"/>
  <c r="P151" i="1" s="1"/>
  <c r="Q151" i="1" s="1"/>
  <c r="O152" i="1"/>
  <c r="P152" i="1" s="1"/>
  <c r="Q152" i="1" s="1"/>
  <c r="O153" i="1"/>
  <c r="P153" i="1" s="1"/>
  <c r="Q153" i="1" s="1"/>
  <c r="O154" i="1"/>
  <c r="P154" i="1" s="1"/>
  <c r="Q154" i="1" s="1"/>
  <c r="O155" i="1"/>
  <c r="P155" i="1" s="1"/>
  <c r="Q155" i="1" s="1"/>
  <c r="O156" i="1"/>
  <c r="P156" i="1" s="1"/>
  <c r="Q156" i="1" s="1"/>
  <c r="O157" i="1"/>
  <c r="P157" i="1" s="1"/>
  <c r="Q157" i="1" s="1"/>
  <c r="O158" i="1"/>
  <c r="P158" i="1" s="1"/>
  <c r="Q158" i="1" s="1"/>
  <c r="O159" i="1"/>
  <c r="P159" i="1" s="1"/>
  <c r="Q159" i="1" s="1"/>
  <c r="O160" i="1"/>
  <c r="O161" i="1"/>
  <c r="O162" i="1"/>
  <c r="O163" i="1"/>
  <c r="O164" i="1"/>
  <c r="O165" i="1"/>
  <c r="P165" i="1" s="1"/>
  <c r="Q165" i="1" s="1"/>
  <c r="O166" i="1"/>
  <c r="O167" i="1"/>
  <c r="P167" i="1" s="1"/>
  <c r="Q167" i="1" s="1"/>
  <c r="O168" i="1"/>
  <c r="P168" i="1" s="1"/>
  <c r="Q168" i="1" s="1"/>
  <c r="O169" i="1"/>
  <c r="P169" i="1" s="1"/>
  <c r="Q169" i="1" s="1"/>
  <c r="O170" i="1"/>
  <c r="P170" i="1" s="1"/>
  <c r="Q170" i="1" s="1"/>
  <c r="O171" i="1"/>
  <c r="P171" i="1" s="1"/>
  <c r="Q171" i="1" s="1"/>
  <c r="O172" i="1"/>
  <c r="P172" i="1" s="1"/>
  <c r="Q172" i="1" s="1"/>
  <c r="O173" i="1"/>
  <c r="P173" i="1" s="1"/>
  <c r="Q173" i="1" s="1"/>
  <c r="O174" i="1"/>
  <c r="P174" i="1" s="1"/>
  <c r="Q174" i="1" s="1"/>
  <c r="O175" i="1"/>
  <c r="P175" i="1" s="1"/>
  <c r="Q175" i="1" s="1"/>
  <c r="O176" i="1"/>
  <c r="P176" i="1" s="1"/>
  <c r="Q176" i="1" s="1"/>
  <c r="O177" i="1"/>
  <c r="P177" i="1" s="1"/>
  <c r="Q177" i="1" s="1"/>
  <c r="O178" i="1"/>
  <c r="P178" i="1" s="1"/>
  <c r="Q178" i="1" s="1"/>
  <c r="O179" i="1"/>
  <c r="P179" i="1" s="1"/>
  <c r="Q179" i="1" s="1"/>
  <c r="O180" i="1"/>
  <c r="P180" i="1" s="1"/>
  <c r="Q180" i="1" s="1"/>
  <c r="O181" i="1"/>
  <c r="P181" i="1" s="1"/>
  <c r="Q181" i="1" s="1"/>
  <c r="O182" i="1"/>
  <c r="P182" i="1" s="1"/>
  <c r="Q182" i="1" s="1"/>
  <c r="O183" i="1"/>
  <c r="P183" i="1" s="1"/>
  <c r="Q183" i="1" s="1"/>
  <c r="O184" i="1"/>
  <c r="P184" i="1" s="1"/>
  <c r="Q184" i="1" s="1"/>
  <c r="O185" i="1"/>
  <c r="P185" i="1" s="1"/>
  <c r="Q185" i="1" s="1"/>
  <c r="O186" i="1"/>
  <c r="P186" i="1" s="1"/>
  <c r="Q186" i="1" s="1"/>
  <c r="O187" i="1"/>
  <c r="P187" i="1" s="1"/>
  <c r="Q187" i="1" s="1"/>
  <c r="O188" i="1"/>
  <c r="P188" i="1" s="1"/>
  <c r="Q188" i="1" s="1"/>
  <c r="O189" i="1"/>
  <c r="P189" i="1" s="1"/>
  <c r="Q189" i="1" s="1"/>
  <c r="O190" i="1"/>
  <c r="P190" i="1" s="1"/>
  <c r="O191" i="1"/>
  <c r="P191" i="1" s="1"/>
  <c r="O192" i="1"/>
  <c r="P192" i="1" s="1"/>
  <c r="Q192" i="1" s="1"/>
  <c r="O193" i="1"/>
  <c r="O194" i="1"/>
  <c r="P194" i="1" s="1"/>
  <c r="Q194" i="1" s="1"/>
  <c r="O195" i="1"/>
  <c r="P195" i="1" s="1"/>
  <c r="Q195" i="1" s="1"/>
  <c r="O196" i="1"/>
  <c r="P196" i="1" s="1"/>
  <c r="Q196" i="1" s="1"/>
  <c r="O197" i="1"/>
  <c r="P197" i="1" s="1"/>
  <c r="Q197" i="1" s="1"/>
  <c r="O198" i="1"/>
  <c r="P198" i="1" s="1"/>
  <c r="O199" i="1"/>
  <c r="P199" i="1" s="1"/>
  <c r="O200" i="1"/>
  <c r="P200" i="1" s="1"/>
  <c r="Q200" i="1" s="1"/>
  <c r="O201" i="1"/>
  <c r="P201" i="1" s="1"/>
  <c r="Q201" i="1" s="1"/>
  <c r="O202" i="1"/>
  <c r="P202" i="1" s="1"/>
  <c r="Q202" i="1" s="1"/>
  <c r="O203" i="1"/>
  <c r="P203" i="1" s="1"/>
  <c r="Q203" i="1" s="1"/>
  <c r="O204" i="1"/>
  <c r="P204" i="1" s="1"/>
  <c r="Q204" i="1" s="1"/>
  <c r="O205" i="1"/>
  <c r="P205" i="1" s="1"/>
  <c r="Q205" i="1" s="1"/>
  <c r="O206" i="1"/>
  <c r="P206" i="1" s="1"/>
  <c r="Q206" i="1" s="1"/>
  <c r="O207" i="1"/>
  <c r="P207" i="1" s="1"/>
  <c r="Q207" i="1" s="1"/>
  <c r="O208" i="1"/>
  <c r="P208" i="1" s="1"/>
  <c r="Q208" i="1" s="1"/>
  <c r="O209" i="1"/>
  <c r="P209" i="1" s="1"/>
  <c r="Q209" i="1" s="1"/>
  <c r="O210" i="1"/>
  <c r="O211" i="1"/>
  <c r="O212" i="1"/>
  <c r="O213" i="1"/>
  <c r="P213" i="1" s="1"/>
  <c r="Q213" i="1" s="1"/>
  <c r="O214" i="1"/>
  <c r="P214" i="1" s="1"/>
  <c r="Q214" i="1" s="1"/>
  <c r="O215" i="1"/>
  <c r="P215" i="1" s="1"/>
  <c r="Q215" i="1" s="1"/>
  <c r="O216" i="1"/>
  <c r="P216" i="1" s="1"/>
  <c r="Q216" i="1" s="1"/>
  <c r="O217" i="1"/>
  <c r="P217" i="1" s="1"/>
  <c r="Q217" i="1" s="1"/>
  <c r="O218" i="1"/>
  <c r="P218" i="1" s="1"/>
  <c r="Q218" i="1" s="1"/>
  <c r="O219" i="1"/>
  <c r="P219" i="1" s="1"/>
  <c r="Q219" i="1" s="1"/>
  <c r="O220" i="1"/>
  <c r="P220" i="1" s="1"/>
  <c r="Q220" i="1" s="1"/>
  <c r="O221" i="1"/>
  <c r="P221" i="1" s="1"/>
  <c r="Q221" i="1" s="1"/>
  <c r="O222" i="1"/>
  <c r="P222" i="1" s="1"/>
  <c r="Q222" i="1" s="1"/>
  <c r="O223" i="1"/>
  <c r="P223" i="1" s="1"/>
  <c r="Q223" i="1" s="1"/>
  <c r="O224" i="1"/>
  <c r="P224" i="1" s="1"/>
  <c r="Q224" i="1" s="1"/>
  <c r="O225" i="1"/>
  <c r="P225" i="1" s="1"/>
  <c r="Q225" i="1" s="1"/>
  <c r="O226" i="1"/>
  <c r="P226" i="1" s="1"/>
  <c r="Q226" i="1" s="1"/>
  <c r="O227" i="1"/>
  <c r="P227" i="1" s="1"/>
  <c r="Q227" i="1" s="1"/>
  <c r="O228" i="1"/>
  <c r="P228" i="1" s="1"/>
  <c r="O229" i="1"/>
  <c r="P229" i="1" s="1"/>
  <c r="Q229" i="1" s="1"/>
  <c r="O230" i="1"/>
  <c r="P230" i="1" s="1"/>
  <c r="Q230" i="1" s="1"/>
  <c r="O231" i="1"/>
  <c r="P231" i="1" s="1"/>
  <c r="Q231" i="1" s="1"/>
  <c r="O232" i="1"/>
  <c r="P232" i="1" s="1"/>
  <c r="Q232" i="1" s="1"/>
  <c r="O233" i="1"/>
  <c r="P233" i="1" s="1"/>
  <c r="Q233" i="1" s="1"/>
  <c r="O234" i="1"/>
  <c r="P234" i="1" s="1"/>
  <c r="Q234" i="1" s="1"/>
  <c r="O235" i="1"/>
  <c r="P235" i="1" s="1"/>
  <c r="Q235" i="1" s="1"/>
  <c r="O236" i="1"/>
  <c r="P236" i="1" s="1"/>
  <c r="Q236" i="1" s="1"/>
  <c r="O237" i="1"/>
  <c r="P237" i="1" s="1"/>
  <c r="Q237" i="1" s="1"/>
  <c r="O238" i="1"/>
  <c r="O239" i="1"/>
  <c r="O240" i="1"/>
  <c r="O241" i="1"/>
  <c r="O242" i="1"/>
  <c r="P242" i="1" s="1"/>
  <c r="Q242" i="1" s="1"/>
  <c r="O243" i="1"/>
  <c r="P243" i="1" s="1"/>
  <c r="Q243" i="1" s="1"/>
  <c r="O244" i="1"/>
  <c r="P244" i="1" s="1"/>
  <c r="Q244" i="1" s="1"/>
  <c r="O245" i="1"/>
  <c r="P245" i="1" s="1"/>
  <c r="Q245" i="1" s="1"/>
  <c r="O246" i="1"/>
  <c r="P246" i="1" s="1"/>
  <c r="Q246" i="1" s="1"/>
  <c r="O247" i="1"/>
  <c r="P247" i="1" s="1"/>
  <c r="Q247" i="1" s="1"/>
  <c r="O248" i="1"/>
  <c r="P248" i="1" s="1"/>
  <c r="Q248" i="1" s="1"/>
  <c r="O249" i="1"/>
  <c r="P249" i="1" s="1"/>
  <c r="Q249" i="1" s="1"/>
  <c r="O250" i="1"/>
  <c r="P250" i="1" s="1"/>
  <c r="Q250" i="1" s="1"/>
  <c r="O251" i="1"/>
  <c r="P251" i="1" s="1"/>
  <c r="Q251" i="1" s="1"/>
  <c r="O252" i="1"/>
  <c r="P252" i="1" s="1"/>
  <c r="Q252" i="1" s="1"/>
  <c r="O253" i="1"/>
  <c r="P253" i="1" s="1"/>
  <c r="Q253" i="1" s="1"/>
  <c r="O254" i="1"/>
  <c r="P254" i="1" s="1"/>
  <c r="Q254" i="1" s="1"/>
  <c r="O255" i="1"/>
  <c r="P255" i="1" s="1"/>
  <c r="Q255" i="1" s="1"/>
  <c r="O256" i="1"/>
  <c r="P256" i="1" s="1"/>
  <c r="Q256" i="1" s="1"/>
  <c r="O257" i="1"/>
  <c r="P257" i="1" s="1"/>
  <c r="Q257" i="1" s="1"/>
  <c r="O258" i="1"/>
  <c r="P258" i="1" s="1"/>
  <c r="Q258" i="1" s="1"/>
  <c r="O259" i="1"/>
  <c r="O260" i="1"/>
  <c r="P260" i="1" s="1"/>
  <c r="Q260" i="1" s="1"/>
  <c r="O261" i="1"/>
  <c r="P261" i="1" s="1"/>
  <c r="Q261" i="1" s="1"/>
  <c r="O262" i="1"/>
  <c r="P262" i="1" s="1"/>
  <c r="Q262" i="1" s="1"/>
  <c r="O263" i="1"/>
  <c r="P263" i="1" s="1"/>
  <c r="Q263" i="1" s="1"/>
  <c r="O264" i="1"/>
  <c r="P264" i="1" s="1"/>
  <c r="Q264" i="1" s="1"/>
  <c r="O265" i="1"/>
  <c r="P265" i="1" s="1"/>
  <c r="Q265" i="1" s="1"/>
  <c r="O266" i="1"/>
  <c r="P266" i="1" s="1"/>
  <c r="Q266" i="1" s="1"/>
  <c r="O267" i="1"/>
  <c r="P267" i="1" s="1"/>
  <c r="Q267" i="1" s="1"/>
  <c r="O268" i="1"/>
  <c r="P268" i="1" s="1"/>
  <c r="Q268" i="1" s="1"/>
  <c r="O269" i="1"/>
  <c r="P269" i="1" s="1"/>
  <c r="Q269" i="1" s="1"/>
  <c r="O270" i="1"/>
  <c r="P270" i="1" s="1"/>
  <c r="Q270" i="1" s="1"/>
  <c r="O271" i="1"/>
  <c r="P271" i="1" s="1"/>
  <c r="Q271" i="1" s="1"/>
  <c r="O272" i="1"/>
  <c r="P272" i="1" s="1"/>
  <c r="Q272" i="1" s="1"/>
  <c r="O273" i="1"/>
  <c r="P273" i="1" s="1"/>
  <c r="Q273" i="1" s="1"/>
  <c r="O274" i="1"/>
  <c r="P274" i="1" s="1"/>
  <c r="Q274" i="1" s="1"/>
  <c r="O275" i="1"/>
  <c r="P275" i="1" s="1"/>
  <c r="Q275" i="1" s="1"/>
  <c r="O276" i="1"/>
  <c r="P276" i="1" s="1"/>
  <c r="Q276" i="1" s="1"/>
  <c r="O277" i="1"/>
  <c r="P277" i="1" s="1"/>
  <c r="Q277" i="1" s="1"/>
  <c r="O278" i="1"/>
  <c r="P278" i="1" s="1"/>
  <c r="Q278" i="1" s="1"/>
  <c r="O279" i="1"/>
  <c r="P279" i="1" s="1"/>
  <c r="Q279" i="1" s="1"/>
  <c r="O280" i="1"/>
  <c r="P280" i="1" s="1"/>
  <c r="Q280" i="1" s="1"/>
  <c r="O281" i="1"/>
  <c r="P281" i="1" s="1"/>
  <c r="Q281" i="1" s="1"/>
  <c r="O282" i="1"/>
  <c r="P282" i="1" s="1"/>
  <c r="Q282" i="1" s="1"/>
  <c r="O283" i="1"/>
  <c r="P283" i="1" s="1"/>
  <c r="Q283" i="1" s="1"/>
  <c r="O284" i="1"/>
  <c r="P284" i="1" s="1"/>
  <c r="Q284" i="1" s="1"/>
  <c r="O285" i="1"/>
  <c r="P285" i="1" s="1"/>
  <c r="Q285" i="1" s="1"/>
  <c r="O286" i="1"/>
  <c r="P286" i="1" s="1"/>
  <c r="O287" i="1"/>
  <c r="P287" i="1" s="1"/>
  <c r="O288" i="1"/>
  <c r="P288" i="1" s="1"/>
  <c r="O289" i="1"/>
  <c r="P289" i="1" s="1"/>
  <c r="O290" i="1"/>
  <c r="O291" i="1"/>
  <c r="O292" i="1"/>
  <c r="O293" i="1"/>
  <c r="O294" i="1"/>
  <c r="O295" i="1"/>
  <c r="P295" i="1" s="1"/>
  <c r="Q295" i="1" s="1"/>
  <c r="O296" i="1"/>
  <c r="P296" i="1" s="1"/>
  <c r="Q296" i="1" s="1"/>
  <c r="O297" i="1"/>
  <c r="P297" i="1" s="1"/>
  <c r="Q297" i="1" s="1"/>
  <c r="O298" i="1"/>
  <c r="P298" i="1" s="1"/>
  <c r="Q298" i="1" s="1"/>
  <c r="O299" i="1"/>
  <c r="P299" i="1" s="1"/>
  <c r="Q299" i="1" s="1"/>
  <c r="O300" i="1"/>
  <c r="P300" i="1" s="1"/>
  <c r="Q300" i="1" s="1"/>
  <c r="O301" i="1"/>
  <c r="P301" i="1" s="1"/>
  <c r="Q301" i="1" s="1"/>
  <c r="O302" i="1"/>
  <c r="P302" i="1" s="1"/>
  <c r="Q302" i="1" s="1"/>
  <c r="O303" i="1"/>
  <c r="O304" i="1"/>
  <c r="O305" i="1"/>
  <c r="P305" i="1" s="1"/>
  <c r="Q305" i="1" s="1"/>
  <c r="O306" i="1"/>
  <c r="P306" i="1" s="1"/>
  <c r="Q306" i="1" s="1"/>
  <c r="O307" i="1"/>
  <c r="P307" i="1" s="1"/>
  <c r="Q307" i="1" s="1"/>
  <c r="O308" i="1"/>
  <c r="P308" i="1" s="1"/>
  <c r="Q308" i="1" s="1"/>
  <c r="O309" i="1"/>
  <c r="O310" i="1"/>
  <c r="P310" i="1" s="1"/>
  <c r="Q310" i="1" s="1"/>
  <c r="O311" i="1"/>
  <c r="P311" i="1" s="1"/>
  <c r="Q311" i="1" s="1"/>
  <c r="O312" i="1"/>
  <c r="P312" i="1" s="1"/>
  <c r="Q312" i="1" s="1"/>
  <c r="O313" i="1"/>
  <c r="P313" i="1" s="1"/>
  <c r="Q313" i="1" s="1"/>
  <c r="O314" i="1"/>
  <c r="P314" i="1" s="1"/>
  <c r="Q314" i="1" s="1"/>
  <c r="O315" i="1"/>
  <c r="P315" i="1" s="1"/>
  <c r="Q315" i="1" s="1"/>
  <c r="O316" i="1"/>
  <c r="P316" i="1" s="1"/>
  <c r="Q316" i="1" s="1"/>
  <c r="O317" i="1"/>
  <c r="P317" i="1" s="1"/>
  <c r="Q317" i="1" s="1"/>
  <c r="O318" i="1"/>
  <c r="P318" i="1" s="1"/>
  <c r="O319" i="1"/>
  <c r="P319" i="1" s="1"/>
  <c r="O320" i="1"/>
  <c r="P320" i="1" s="1"/>
  <c r="Q320" i="1" s="1"/>
  <c r="O321" i="1"/>
  <c r="P321" i="1" s="1"/>
  <c r="Q321" i="1" s="1"/>
  <c r="O322" i="1"/>
  <c r="P322" i="1" s="1"/>
  <c r="Q322" i="1" s="1"/>
  <c r="O323" i="1"/>
  <c r="P323" i="1" s="1"/>
  <c r="O324" i="1"/>
  <c r="P324" i="1" s="1"/>
  <c r="Q324" i="1" s="1"/>
  <c r="O325" i="1"/>
  <c r="P325" i="1" s="1"/>
  <c r="Q325" i="1" s="1"/>
  <c r="O326" i="1"/>
  <c r="P326" i="1" s="1"/>
  <c r="Q326" i="1" s="1"/>
  <c r="O327" i="1"/>
  <c r="P327" i="1" s="1"/>
  <c r="Q327" i="1" s="1"/>
  <c r="O328" i="1"/>
  <c r="P328" i="1" s="1"/>
  <c r="Q328" i="1" s="1"/>
  <c r="O329" i="1"/>
  <c r="P329" i="1" s="1"/>
  <c r="Q329" i="1" s="1"/>
  <c r="O330" i="1"/>
  <c r="P330" i="1" s="1"/>
  <c r="Q330" i="1" s="1"/>
  <c r="O331" i="1"/>
  <c r="P331" i="1" s="1"/>
  <c r="Q331" i="1" s="1"/>
  <c r="O332" i="1"/>
  <c r="P332" i="1" s="1"/>
  <c r="Q332" i="1" s="1"/>
  <c r="O333" i="1"/>
  <c r="P333" i="1" s="1"/>
  <c r="Q333" i="1" s="1"/>
  <c r="O334" i="1"/>
  <c r="P334" i="1" s="1"/>
  <c r="Q334" i="1" s="1"/>
  <c r="O335" i="1"/>
  <c r="P335" i="1" s="1"/>
  <c r="Q335" i="1" s="1"/>
  <c r="O336" i="1"/>
  <c r="P336" i="1" s="1"/>
  <c r="O337" i="1"/>
  <c r="P337" i="1" s="1"/>
  <c r="Q337" i="1" s="1"/>
  <c r="O338" i="1"/>
  <c r="P338" i="1" s="1"/>
  <c r="Q338" i="1" s="1"/>
  <c r="O339" i="1"/>
  <c r="O340" i="1"/>
  <c r="P340" i="1" s="1"/>
  <c r="Q340" i="1" s="1"/>
  <c r="O341" i="1"/>
  <c r="P341" i="1" s="1"/>
  <c r="Q341" i="1" s="1"/>
  <c r="O342" i="1"/>
  <c r="P342" i="1" s="1"/>
  <c r="Q342" i="1" s="1"/>
  <c r="O343" i="1"/>
  <c r="P343" i="1" s="1"/>
  <c r="Q343" i="1" s="1"/>
  <c r="O344" i="1"/>
  <c r="P344" i="1" s="1"/>
  <c r="Q344" i="1" s="1"/>
  <c r="O345" i="1"/>
  <c r="P345" i="1" s="1"/>
  <c r="Q345" i="1" s="1"/>
  <c r="O346" i="1"/>
  <c r="P346" i="1" s="1"/>
  <c r="Q346" i="1" s="1"/>
  <c r="O347" i="1"/>
  <c r="P347" i="1" s="1"/>
  <c r="Q347" i="1" s="1"/>
  <c r="O348" i="1"/>
  <c r="P348" i="1" s="1"/>
  <c r="Q348" i="1" s="1"/>
  <c r="O349" i="1"/>
  <c r="P349" i="1" s="1"/>
  <c r="Q349" i="1" s="1"/>
  <c r="O350" i="1"/>
  <c r="O351" i="1"/>
  <c r="P351" i="1" s="1"/>
  <c r="Q351" i="1" s="1"/>
  <c r="O352" i="1"/>
  <c r="P352" i="1" s="1"/>
  <c r="Q352" i="1" s="1"/>
  <c r="O353" i="1"/>
  <c r="P353" i="1" s="1"/>
  <c r="Q353" i="1" s="1"/>
  <c r="O354" i="1"/>
  <c r="P354" i="1" s="1"/>
  <c r="Q354" i="1" s="1"/>
  <c r="O355" i="1"/>
  <c r="P355" i="1" s="1"/>
  <c r="Q355" i="1" s="1"/>
  <c r="O356" i="1"/>
  <c r="P356" i="1" s="1"/>
  <c r="Q356" i="1" s="1"/>
  <c r="O357" i="1"/>
  <c r="P357" i="1" s="1"/>
  <c r="Q357" i="1" s="1"/>
  <c r="O358" i="1"/>
  <c r="P358" i="1" s="1"/>
  <c r="Q358" i="1" s="1"/>
  <c r="O359" i="1"/>
  <c r="P359" i="1" s="1"/>
  <c r="Q359" i="1" s="1"/>
  <c r="O360" i="1"/>
  <c r="P360" i="1" s="1"/>
  <c r="Q360" i="1" s="1"/>
  <c r="O361" i="1"/>
  <c r="P361" i="1" s="1"/>
  <c r="Q361" i="1" s="1"/>
  <c r="O362" i="1"/>
  <c r="P362" i="1" s="1"/>
  <c r="Q362" i="1" s="1"/>
  <c r="O363" i="1"/>
  <c r="P363" i="1" s="1"/>
  <c r="Q363" i="1" s="1"/>
  <c r="O364" i="1"/>
  <c r="P364" i="1" s="1"/>
  <c r="Q364" i="1" s="1"/>
  <c r="O365" i="1"/>
  <c r="P365" i="1" s="1"/>
  <c r="Q365" i="1" s="1"/>
  <c r="O366" i="1"/>
  <c r="O367" i="1"/>
  <c r="O368" i="1"/>
  <c r="P368" i="1" s="1"/>
  <c r="Q368" i="1" s="1"/>
  <c r="O369" i="1"/>
  <c r="P369" i="1" s="1"/>
  <c r="Q369" i="1" s="1"/>
  <c r="O370" i="1"/>
  <c r="P370" i="1" s="1"/>
  <c r="Q370" i="1" s="1"/>
  <c r="O371" i="1"/>
  <c r="P371" i="1" s="1"/>
  <c r="Q371" i="1" s="1"/>
  <c r="O372" i="1"/>
  <c r="P372" i="1" s="1"/>
  <c r="Q372" i="1" s="1"/>
  <c r="O373" i="1"/>
  <c r="P373" i="1" s="1"/>
  <c r="Q373" i="1" s="1"/>
  <c r="O374" i="1"/>
  <c r="P374" i="1" s="1"/>
  <c r="Q374" i="1" s="1"/>
  <c r="O375" i="1"/>
  <c r="P375" i="1" s="1"/>
  <c r="Q375" i="1" s="1"/>
  <c r="O376" i="1"/>
  <c r="P376" i="1" s="1"/>
  <c r="Q376" i="1" s="1"/>
  <c r="O377" i="1"/>
  <c r="P377" i="1" s="1"/>
  <c r="Q377" i="1" s="1"/>
  <c r="O378" i="1"/>
  <c r="P378" i="1" s="1"/>
  <c r="Q378" i="1" s="1"/>
  <c r="O379" i="1"/>
  <c r="P379" i="1" s="1"/>
  <c r="Q379" i="1" s="1"/>
  <c r="O380" i="1"/>
  <c r="P380" i="1" s="1"/>
  <c r="Q380" i="1" s="1"/>
  <c r="O381" i="1"/>
  <c r="P381" i="1" s="1"/>
  <c r="Q381" i="1" s="1"/>
  <c r="O382" i="1"/>
  <c r="O383" i="1"/>
  <c r="P383" i="1" s="1"/>
  <c r="Q383" i="1" s="1"/>
  <c r="O384" i="1"/>
  <c r="O385" i="1"/>
  <c r="O386" i="1"/>
  <c r="P386" i="1" s="1"/>
  <c r="Q386" i="1" s="1"/>
  <c r="O387" i="1"/>
  <c r="P387" i="1" s="1"/>
  <c r="Q387" i="1" s="1"/>
  <c r="O388" i="1"/>
  <c r="P388" i="1" s="1"/>
  <c r="Q388" i="1" s="1"/>
  <c r="O389" i="1"/>
  <c r="P389" i="1" s="1"/>
  <c r="Q389" i="1" s="1"/>
  <c r="O390" i="1"/>
  <c r="P390" i="1" s="1"/>
  <c r="Q390" i="1" s="1"/>
  <c r="O391" i="1"/>
  <c r="P391" i="1" s="1"/>
  <c r="Q391" i="1" s="1"/>
  <c r="O392" i="1"/>
  <c r="P392" i="1" s="1"/>
  <c r="Q392" i="1" s="1"/>
  <c r="O393" i="1"/>
  <c r="P393" i="1" s="1"/>
  <c r="Q393" i="1" s="1"/>
  <c r="O394" i="1"/>
  <c r="P394" i="1" s="1"/>
  <c r="Q394" i="1" s="1"/>
  <c r="O395" i="1"/>
  <c r="P395" i="1" s="1"/>
  <c r="Q395" i="1" s="1"/>
  <c r="O396" i="1"/>
  <c r="P396" i="1" s="1"/>
  <c r="Q396" i="1" s="1"/>
  <c r="O397" i="1"/>
  <c r="P397" i="1" s="1"/>
  <c r="Q397" i="1" s="1"/>
  <c r="O398" i="1"/>
  <c r="P398" i="1" s="1"/>
  <c r="O399" i="1"/>
  <c r="P399" i="1" s="1"/>
  <c r="Q399" i="1" s="1"/>
  <c r="O400" i="1"/>
  <c r="P400" i="1" s="1"/>
  <c r="Q400" i="1" s="1"/>
  <c r="O401" i="1"/>
  <c r="P401" i="1" s="1"/>
  <c r="Q401" i="1" s="1"/>
  <c r="O402" i="1"/>
  <c r="P402" i="1" s="1"/>
  <c r="Q402" i="1" s="1"/>
  <c r="O403" i="1"/>
  <c r="P403" i="1" s="1"/>
  <c r="Q403" i="1" s="1"/>
  <c r="O404" i="1"/>
  <c r="P404" i="1" s="1"/>
  <c r="Q404" i="1" s="1"/>
  <c r="O405" i="1"/>
  <c r="P405" i="1" s="1"/>
  <c r="Q405" i="1" s="1"/>
  <c r="O406" i="1"/>
  <c r="P406" i="1" s="1"/>
  <c r="Q406" i="1" s="1"/>
  <c r="O407" i="1"/>
  <c r="P407" i="1" s="1"/>
  <c r="Q407" i="1" s="1"/>
  <c r="O408" i="1"/>
  <c r="P408" i="1" s="1"/>
  <c r="Q408" i="1" s="1"/>
  <c r="O409" i="1"/>
  <c r="P409" i="1" s="1"/>
  <c r="Q409" i="1" s="1"/>
  <c r="O410" i="1"/>
  <c r="P410" i="1" s="1"/>
  <c r="Q410" i="1" s="1"/>
  <c r="O411" i="1"/>
  <c r="P411" i="1" s="1"/>
  <c r="Q411" i="1" s="1"/>
  <c r="O412" i="1"/>
  <c r="P412" i="1" s="1"/>
  <c r="Q412" i="1" s="1"/>
  <c r="O413" i="1"/>
  <c r="P413" i="1" s="1"/>
  <c r="Q413" i="1" s="1"/>
  <c r="O414" i="1"/>
  <c r="O415" i="1"/>
  <c r="P415" i="1" s="1"/>
  <c r="Q415" i="1" s="1"/>
  <c r="O416" i="1"/>
  <c r="P416" i="1" s="1"/>
  <c r="O417" i="1"/>
  <c r="P417" i="1" s="1"/>
  <c r="O418" i="1"/>
  <c r="P418" i="1" s="1"/>
  <c r="Q418" i="1" s="1"/>
  <c r="O419" i="1"/>
  <c r="O420" i="1"/>
  <c r="P420" i="1" s="1"/>
  <c r="Q420" i="1" s="1"/>
  <c r="O421" i="1"/>
  <c r="P421" i="1" s="1"/>
  <c r="Q421" i="1" s="1"/>
  <c r="O422" i="1"/>
  <c r="P422" i="1" s="1"/>
  <c r="Q422" i="1" s="1"/>
  <c r="O423" i="1"/>
  <c r="P423" i="1" s="1"/>
  <c r="Q423" i="1" s="1"/>
  <c r="O424" i="1"/>
  <c r="P424" i="1" s="1"/>
  <c r="Q424" i="1" s="1"/>
  <c r="O425" i="1"/>
  <c r="P425" i="1" s="1"/>
  <c r="Q425" i="1" s="1"/>
  <c r="O426" i="1"/>
  <c r="P426" i="1" s="1"/>
  <c r="Q426" i="1" s="1"/>
  <c r="O427" i="1"/>
  <c r="P427" i="1" s="1"/>
  <c r="Q427" i="1" s="1"/>
  <c r="O428" i="1"/>
  <c r="P428" i="1" s="1"/>
  <c r="Q428" i="1" s="1"/>
  <c r="O429" i="1"/>
  <c r="P429" i="1" s="1"/>
  <c r="Q429" i="1" s="1"/>
  <c r="O430" i="1"/>
  <c r="P430" i="1" s="1"/>
  <c r="Q430" i="1" s="1"/>
  <c r="O431" i="1"/>
  <c r="P431" i="1" s="1"/>
  <c r="Q431" i="1" s="1"/>
  <c r="O432" i="1"/>
  <c r="P432" i="1" s="1"/>
  <c r="Q432" i="1" s="1"/>
  <c r="O433" i="1"/>
  <c r="P433" i="1" s="1"/>
  <c r="Q433" i="1" s="1"/>
  <c r="O434" i="1"/>
  <c r="P434" i="1" s="1"/>
  <c r="Q434" i="1" s="1"/>
  <c r="O435" i="1"/>
  <c r="P435" i="1" s="1"/>
  <c r="Q435" i="1" s="1"/>
  <c r="O436" i="1"/>
  <c r="P436" i="1" s="1"/>
  <c r="Q436" i="1" s="1"/>
  <c r="O437" i="1"/>
  <c r="P437" i="1" s="1"/>
  <c r="Q437" i="1" s="1"/>
  <c r="O438" i="1"/>
  <c r="P438" i="1" s="1"/>
  <c r="Q438" i="1" s="1"/>
  <c r="O439" i="1"/>
  <c r="P439" i="1" s="1"/>
  <c r="Q439" i="1" s="1"/>
  <c r="O440" i="1"/>
  <c r="P440" i="1" s="1"/>
  <c r="Q440" i="1" s="1"/>
  <c r="O441" i="1"/>
  <c r="P441" i="1" s="1"/>
  <c r="Q441" i="1" s="1"/>
  <c r="O442" i="1"/>
  <c r="P442" i="1" s="1"/>
  <c r="Q442" i="1" s="1"/>
  <c r="O443" i="1"/>
  <c r="P443" i="1" s="1"/>
  <c r="Q443" i="1" s="1"/>
  <c r="O444" i="1"/>
  <c r="P444" i="1" s="1"/>
  <c r="Q444" i="1" s="1"/>
  <c r="O445" i="1"/>
  <c r="P445" i="1" s="1"/>
  <c r="Q445" i="1" s="1"/>
  <c r="O446" i="1"/>
  <c r="P446" i="1" s="1"/>
  <c r="Q446" i="1" s="1"/>
  <c r="O447" i="1"/>
  <c r="P447" i="1" s="1"/>
  <c r="Q447" i="1" s="1"/>
  <c r="O448" i="1"/>
  <c r="P448" i="1" s="1"/>
  <c r="Q448" i="1" s="1"/>
  <c r="O449" i="1"/>
  <c r="P449" i="1" s="1"/>
  <c r="Q449" i="1" s="1"/>
  <c r="O450" i="1"/>
  <c r="P450" i="1" s="1"/>
  <c r="Q450" i="1" s="1"/>
  <c r="O451" i="1"/>
  <c r="O452" i="1"/>
  <c r="O453" i="1"/>
  <c r="P453" i="1" s="1"/>
  <c r="Q453" i="1" s="1"/>
  <c r="O454" i="1"/>
  <c r="P454" i="1" s="1"/>
  <c r="Q454" i="1" s="1"/>
  <c r="O455" i="1"/>
  <c r="P455" i="1" s="1"/>
  <c r="Q455" i="1" s="1"/>
  <c r="O456" i="1"/>
  <c r="P456" i="1" s="1"/>
  <c r="Q456" i="1" s="1"/>
  <c r="O457" i="1"/>
  <c r="P457" i="1" s="1"/>
  <c r="Q457" i="1" s="1"/>
  <c r="O458" i="1"/>
  <c r="P458" i="1" s="1"/>
  <c r="Q458" i="1" s="1"/>
  <c r="O459" i="1"/>
  <c r="P459" i="1" s="1"/>
  <c r="Q459" i="1" s="1"/>
  <c r="O460" i="1"/>
  <c r="P460" i="1" s="1"/>
  <c r="Q460" i="1" s="1"/>
  <c r="O461" i="1"/>
  <c r="P461" i="1" s="1"/>
  <c r="Q461" i="1" s="1"/>
  <c r="O462" i="1"/>
  <c r="P462" i="1" s="1"/>
  <c r="Q462" i="1" s="1"/>
  <c r="O463" i="1"/>
  <c r="P463" i="1" s="1"/>
  <c r="Q463" i="1" s="1"/>
  <c r="O464" i="1"/>
  <c r="P464" i="1" s="1"/>
  <c r="Q464" i="1" s="1"/>
  <c r="O465" i="1"/>
  <c r="P465" i="1" s="1"/>
  <c r="Q465" i="1" s="1"/>
  <c r="O466" i="1"/>
  <c r="P466" i="1" s="1"/>
  <c r="Q466" i="1" s="1"/>
  <c r="O467" i="1"/>
  <c r="P467" i="1" s="1"/>
  <c r="O468" i="1"/>
  <c r="P468" i="1" s="1"/>
  <c r="Q468" i="1" s="1"/>
  <c r="O469" i="1"/>
  <c r="P469" i="1" s="1"/>
  <c r="Q469" i="1" s="1"/>
  <c r="O470" i="1"/>
  <c r="P470" i="1" s="1"/>
  <c r="Q470" i="1" s="1"/>
  <c r="O471" i="1"/>
  <c r="P471" i="1" s="1"/>
  <c r="Q471" i="1" s="1"/>
  <c r="O472" i="1"/>
  <c r="P472" i="1" s="1"/>
  <c r="Q472" i="1" s="1"/>
  <c r="O473" i="1"/>
  <c r="P473" i="1" s="1"/>
  <c r="O474" i="1"/>
  <c r="P474" i="1" s="1"/>
  <c r="O475" i="1"/>
  <c r="P475" i="1" s="1"/>
  <c r="O476" i="1"/>
  <c r="P476" i="1" s="1"/>
  <c r="Q476" i="1" s="1"/>
  <c r="O477" i="1"/>
  <c r="P477" i="1" s="1"/>
  <c r="Q477" i="1" s="1"/>
  <c r="O478" i="1"/>
  <c r="P478" i="1" s="1"/>
  <c r="Q478" i="1" s="1"/>
  <c r="O479" i="1"/>
  <c r="P479" i="1" s="1"/>
  <c r="Q479" i="1" s="1"/>
  <c r="O480" i="1"/>
  <c r="O481" i="1"/>
  <c r="O482" i="1"/>
  <c r="P482" i="1" s="1"/>
  <c r="Q482" i="1" s="1"/>
  <c r="O483" i="1"/>
  <c r="O484" i="1"/>
  <c r="O485" i="1"/>
  <c r="P485" i="1" s="1"/>
  <c r="Q485" i="1" s="1"/>
  <c r="O486" i="1"/>
  <c r="P486" i="1" s="1"/>
  <c r="Q486" i="1" s="1"/>
  <c r="O487" i="1"/>
  <c r="P487" i="1" s="1"/>
  <c r="Q487" i="1" s="1"/>
  <c r="O488" i="1"/>
  <c r="P488" i="1" s="1"/>
  <c r="Q488" i="1" s="1"/>
  <c r="O489" i="1"/>
  <c r="P489" i="1" s="1"/>
  <c r="Q489" i="1" s="1"/>
  <c r="O490" i="1"/>
  <c r="P490" i="1" s="1"/>
  <c r="Q490" i="1" s="1"/>
  <c r="O491" i="1"/>
  <c r="P491" i="1" s="1"/>
  <c r="Q491" i="1" s="1"/>
  <c r="O492" i="1"/>
  <c r="P492" i="1" s="1"/>
  <c r="Q492" i="1" s="1"/>
  <c r="O493" i="1"/>
  <c r="P493" i="1" s="1"/>
  <c r="Q493" i="1" s="1"/>
  <c r="O494" i="1"/>
  <c r="P494" i="1" s="1"/>
  <c r="Q494" i="1" s="1"/>
  <c r="O495" i="1"/>
  <c r="P495" i="1" s="1"/>
  <c r="Q495" i="1" s="1"/>
  <c r="O496" i="1"/>
  <c r="P496" i="1" s="1"/>
  <c r="Q496" i="1" s="1"/>
  <c r="O497" i="1"/>
  <c r="P497" i="1" s="1"/>
  <c r="Q497" i="1" s="1"/>
  <c r="O498" i="1"/>
  <c r="P498" i="1" s="1"/>
  <c r="Q498" i="1" s="1"/>
  <c r="O499" i="1"/>
  <c r="P499" i="1" s="1"/>
  <c r="Q499" i="1" s="1"/>
  <c r="O500" i="1"/>
  <c r="P500" i="1" s="1"/>
  <c r="Q500" i="1" s="1"/>
  <c r="O501" i="1"/>
  <c r="P501" i="1" s="1"/>
  <c r="Q501" i="1" s="1"/>
  <c r="O502" i="1"/>
  <c r="P502" i="1" s="1"/>
  <c r="Q502" i="1" s="1"/>
  <c r="O503" i="1"/>
  <c r="P503" i="1" s="1"/>
  <c r="Q503" i="1" s="1"/>
  <c r="O504" i="1"/>
  <c r="P504" i="1" s="1"/>
  <c r="Q504" i="1" s="1"/>
  <c r="O505" i="1"/>
  <c r="P505" i="1" s="1"/>
  <c r="Q505" i="1" s="1"/>
  <c r="O506" i="1"/>
  <c r="P506" i="1" s="1"/>
  <c r="Q506" i="1" s="1"/>
  <c r="O507" i="1"/>
  <c r="P507" i="1" s="1"/>
  <c r="Q507" i="1" s="1"/>
  <c r="O508" i="1"/>
  <c r="P508" i="1" s="1"/>
  <c r="Q508" i="1" s="1"/>
  <c r="O509" i="1"/>
  <c r="P509" i="1" s="1"/>
  <c r="Q509" i="1" s="1"/>
  <c r="O510" i="1"/>
  <c r="P510" i="1" s="1"/>
  <c r="Q510" i="1" s="1"/>
  <c r="O511" i="1"/>
  <c r="P511" i="1" s="1"/>
  <c r="Q511" i="1" s="1"/>
  <c r="O512" i="1"/>
  <c r="P512" i="1" s="1"/>
  <c r="O513" i="1"/>
  <c r="P513" i="1" s="1"/>
  <c r="Q513" i="1" s="1"/>
  <c r="O514" i="1"/>
  <c r="P514" i="1" s="1"/>
  <c r="Q514" i="1" s="1"/>
  <c r="O515" i="1"/>
  <c r="P515" i="1" s="1"/>
  <c r="Q515" i="1" s="1"/>
  <c r="O516" i="1"/>
  <c r="O517" i="1"/>
  <c r="O518" i="1"/>
  <c r="P518" i="1" s="1"/>
  <c r="Q518" i="1" s="1"/>
  <c r="O519" i="1"/>
  <c r="P519" i="1" s="1"/>
  <c r="Q519" i="1" s="1"/>
  <c r="O520" i="1"/>
  <c r="O521" i="1"/>
  <c r="O522" i="1"/>
  <c r="O523" i="1"/>
  <c r="O524" i="1"/>
  <c r="O525" i="1"/>
  <c r="P525" i="1" s="1"/>
  <c r="Q525" i="1" s="1"/>
  <c r="O526" i="1"/>
  <c r="P526" i="1" s="1"/>
  <c r="Q526" i="1" s="1"/>
  <c r="O527" i="1"/>
  <c r="P527" i="1" s="1"/>
  <c r="Q527" i="1" s="1"/>
  <c r="O528" i="1"/>
  <c r="P528" i="1" s="1"/>
  <c r="Q528" i="1" s="1"/>
  <c r="O529" i="1"/>
  <c r="P529" i="1" s="1"/>
  <c r="Q529" i="1" s="1"/>
  <c r="O530" i="1"/>
  <c r="P530" i="1" s="1"/>
  <c r="Q530" i="1" s="1"/>
  <c r="O531" i="1"/>
  <c r="P531" i="1" s="1"/>
  <c r="Q531" i="1" s="1"/>
  <c r="O532" i="1"/>
  <c r="P532" i="1" s="1"/>
  <c r="Q532" i="1" s="1"/>
  <c r="O533" i="1"/>
  <c r="P533" i="1" s="1"/>
  <c r="Q533" i="1" s="1"/>
  <c r="O534" i="1"/>
  <c r="P534" i="1" s="1"/>
  <c r="Q534" i="1" s="1"/>
  <c r="O535" i="1"/>
  <c r="P535" i="1" s="1"/>
  <c r="Q535" i="1" s="1"/>
  <c r="O536" i="1"/>
  <c r="P536" i="1" s="1"/>
  <c r="Q536" i="1" s="1"/>
  <c r="O537" i="1"/>
  <c r="P537" i="1" s="1"/>
  <c r="Q537" i="1" s="1"/>
  <c r="O538" i="1"/>
  <c r="P538" i="1" s="1"/>
  <c r="Q538" i="1" s="1"/>
  <c r="O539" i="1"/>
  <c r="P539" i="1" s="1"/>
  <c r="Q539" i="1" s="1"/>
  <c r="O540" i="1"/>
  <c r="P540" i="1" s="1"/>
  <c r="Q540" i="1" s="1"/>
  <c r="O541" i="1"/>
  <c r="P541" i="1" s="1"/>
  <c r="Q541" i="1" s="1"/>
  <c r="O542" i="1"/>
  <c r="P542" i="1" s="1"/>
  <c r="Q542" i="1" s="1"/>
  <c r="O543" i="1"/>
  <c r="P543" i="1" s="1"/>
  <c r="Q543" i="1" s="1"/>
  <c r="O544" i="1"/>
  <c r="P544" i="1" s="1"/>
  <c r="O545" i="1"/>
  <c r="P545" i="1" s="1"/>
  <c r="Q545" i="1" s="1"/>
  <c r="O546" i="1"/>
  <c r="P546" i="1" s="1"/>
  <c r="Q546" i="1" s="1"/>
  <c r="O547" i="1"/>
  <c r="O548" i="1"/>
  <c r="O549" i="1"/>
  <c r="O550" i="1"/>
  <c r="P550" i="1" s="1"/>
  <c r="Q550" i="1" s="1"/>
  <c r="O551" i="1"/>
  <c r="P551" i="1" s="1"/>
  <c r="Q551" i="1" s="1"/>
  <c r="O552" i="1"/>
  <c r="P552" i="1" s="1"/>
  <c r="Q552" i="1" s="1"/>
  <c r="O553" i="1"/>
  <c r="P553" i="1" s="1"/>
  <c r="Q553" i="1" s="1"/>
  <c r="O554" i="1"/>
  <c r="P554" i="1" s="1"/>
  <c r="Q554" i="1" s="1"/>
  <c r="O555" i="1"/>
  <c r="P555" i="1" s="1"/>
  <c r="Q555" i="1" s="1"/>
  <c r="O556" i="1"/>
  <c r="P556" i="1" s="1"/>
  <c r="Q556" i="1" s="1"/>
  <c r="O557" i="1"/>
  <c r="P557" i="1" s="1"/>
  <c r="Q557" i="1" s="1"/>
  <c r="O558" i="1"/>
  <c r="P558" i="1" s="1"/>
  <c r="Q558" i="1" s="1"/>
  <c r="O559" i="1"/>
  <c r="O560" i="1"/>
  <c r="O561" i="1"/>
  <c r="P561" i="1" s="1"/>
  <c r="Q561" i="1" s="1"/>
  <c r="O562" i="1"/>
  <c r="P562" i="1" s="1"/>
  <c r="Q562" i="1" s="1"/>
  <c r="O563" i="1"/>
  <c r="P563" i="1" s="1"/>
  <c r="Q563" i="1" s="1"/>
  <c r="O564" i="1"/>
  <c r="P564" i="1" s="1"/>
  <c r="Q564" i="1" s="1"/>
  <c r="O565" i="1"/>
  <c r="P565" i="1" s="1"/>
  <c r="Q565" i="1" s="1"/>
  <c r="O566" i="1"/>
  <c r="P566" i="1" s="1"/>
  <c r="Q566" i="1" s="1"/>
  <c r="O567" i="1"/>
  <c r="P567" i="1" s="1"/>
  <c r="Q567" i="1" s="1"/>
  <c r="O568" i="1"/>
  <c r="P568" i="1" s="1"/>
  <c r="Q568" i="1" s="1"/>
  <c r="O569" i="1"/>
  <c r="P569" i="1" s="1"/>
  <c r="Q569" i="1" s="1"/>
  <c r="O570" i="1"/>
  <c r="P570" i="1" s="1"/>
  <c r="Q570" i="1" s="1"/>
  <c r="O571" i="1"/>
  <c r="P571" i="1" s="1"/>
  <c r="Q571" i="1" s="1"/>
  <c r="O572" i="1"/>
  <c r="P572" i="1" s="1"/>
  <c r="Q572" i="1" s="1"/>
  <c r="O573" i="1"/>
  <c r="P573" i="1" s="1"/>
  <c r="Q573" i="1" s="1"/>
  <c r="O574" i="1"/>
  <c r="P574" i="1" s="1"/>
  <c r="Q574" i="1" s="1"/>
  <c r="O575" i="1"/>
  <c r="P575" i="1" s="1"/>
  <c r="Q575" i="1" s="1"/>
  <c r="O576" i="1"/>
  <c r="P576" i="1" s="1"/>
  <c r="Q576" i="1" s="1"/>
  <c r="O577" i="1"/>
  <c r="P577" i="1" s="1"/>
  <c r="O578" i="1"/>
  <c r="P578" i="1" s="1"/>
  <c r="Q578" i="1" s="1"/>
  <c r="O579" i="1"/>
  <c r="P579" i="1" s="1"/>
  <c r="Q579" i="1" s="1"/>
  <c r="O580" i="1"/>
  <c r="P580" i="1" s="1"/>
  <c r="Q580" i="1" s="1"/>
  <c r="O581" i="1"/>
  <c r="O582" i="1"/>
  <c r="P582" i="1" s="1"/>
  <c r="Q582" i="1" s="1"/>
  <c r="O583" i="1"/>
  <c r="P583" i="1" s="1"/>
  <c r="Q583" i="1" s="1"/>
  <c r="O584" i="1"/>
  <c r="P584" i="1" s="1"/>
  <c r="Q584" i="1" s="1"/>
  <c r="O585" i="1"/>
  <c r="P585" i="1" s="1"/>
  <c r="Q585" i="1" s="1"/>
  <c r="O586" i="1"/>
  <c r="P586" i="1" s="1"/>
  <c r="Q586" i="1" s="1"/>
  <c r="O587" i="1"/>
  <c r="P587" i="1" s="1"/>
  <c r="Q587" i="1" s="1"/>
  <c r="O588" i="1"/>
  <c r="P588" i="1" s="1"/>
  <c r="Q588" i="1" s="1"/>
  <c r="O589" i="1"/>
  <c r="P589" i="1" s="1"/>
  <c r="Q589" i="1" s="1"/>
  <c r="O590" i="1"/>
  <c r="P590" i="1" s="1"/>
  <c r="Q590" i="1" s="1"/>
  <c r="O591" i="1"/>
  <c r="P591" i="1" s="1"/>
  <c r="Q591" i="1" s="1"/>
  <c r="O592" i="1"/>
  <c r="O593" i="1"/>
  <c r="O594" i="1"/>
  <c r="P594" i="1" s="1"/>
  <c r="Q594" i="1" s="1"/>
  <c r="O595" i="1"/>
  <c r="P595" i="1" s="1"/>
  <c r="Q595" i="1" s="1"/>
  <c r="O596" i="1"/>
  <c r="P596" i="1" s="1"/>
  <c r="O597" i="1"/>
  <c r="P597" i="1" s="1"/>
  <c r="O598" i="1"/>
  <c r="P598" i="1" s="1"/>
  <c r="Q598" i="1" s="1"/>
  <c r="O599" i="1"/>
  <c r="P599" i="1" s="1"/>
  <c r="Q599" i="1" s="1"/>
  <c r="O600" i="1"/>
  <c r="P600" i="1" s="1"/>
  <c r="Q600" i="1" s="1"/>
  <c r="O601" i="1"/>
  <c r="P601" i="1" s="1"/>
  <c r="Q601" i="1" s="1"/>
  <c r="O602" i="1"/>
  <c r="P602" i="1" s="1"/>
  <c r="Q602" i="1" s="1"/>
  <c r="O603" i="1"/>
  <c r="P603" i="1" s="1"/>
  <c r="Q603" i="1" s="1"/>
  <c r="O604" i="1"/>
  <c r="P604" i="1" s="1"/>
  <c r="Q604" i="1" s="1"/>
  <c r="O605" i="1"/>
  <c r="P605" i="1" s="1"/>
  <c r="Q605" i="1" s="1"/>
  <c r="O606" i="1"/>
  <c r="P606" i="1" s="1"/>
  <c r="Q606" i="1" s="1"/>
  <c r="O607" i="1"/>
  <c r="P607" i="1" s="1"/>
  <c r="Q607" i="1" s="1"/>
  <c r="O608" i="1"/>
  <c r="P608" i="1" s="1"/>
  <c r="Q608" i="1" s="1"/>
  <c r="O609" i="1"/>
  <c r="P609" i="1" s="1"/>
  <c r="Q609" i="1" s="1"/>
  <c r="O610" i="1"/>
  <c r="P610" i="1" s="1"/>
  <c r="Q610" i="1" s="1"/>
  <c r="O611" i="1"/>
  <c r="P611" i="1" s="1"/>
  <c r="Q611" i="1" s="1"/>
  <c r="O612" i="1"/>
  <c r="P612" i="1" s="1"/>
  <c r="O613" i="1"/>
  <c r="P613" i="1" s="1"/>
  <c r="Q613" i="1" s="1"/>
  <c r="O614" i="1"/>
  <c r="P614" i="1" s="1"/>
  <c r="Q614" i="1" s="1"/>
  <c r="O615" i="1"/>
  <c r="P615" i="1" s="1"/>
  <c r="O616" i="1"/>
  <c r="P616" i="1" s="1"/>
  <c r="Q616" i="1" s="1"/>
  <c r="O617" i="1"/>
  <c r="P617" i="1" s="1"/>
  <c r="Q617" i="1" s="1"/>
  <c r="O618" i="1"/>
  <c r="P618" i="1" s="1"/>
  <c r="Q618" i="1" s="1"/>
  <c r="O619" i="1"/>
  <c r="P619" i="1" s="1"/>
  <c r="Q619" i="1" s="1"/>
  <c r="O620" i="1"/>
  <c r="P620" i="1" s="1"/>
  <c r="Q620" i="1" s="1"/>
  <c r="O621" i="1"/>
  <c r="P621" i="1" s="1"/>
  <c r="Q621" i="1" s="1"/>
  <c r="O622" i="1"/>
  <c r="O623" i="1"/>
  <c r="O624" i="1"/>
  <c r="O625" i="1"/>
  <c r="P625" i="1" s="1"/>
  <c r="Q625" i="1" s="1"/>
  <c r="O626" i="1"/>
  <c r="P626" i="1" s="1"/>
  <c r="Q626" i="1" s="1"/>
  <c r="O627" i="1"/>
  <c r="O628" i="1"/>
  <c r="P628" i="1" s="1"/>
  <c r="Q628" i="1" s="1"/>
  <c r="O629" i="1"/>
  <c r="P629" i="1" s="1"/>
  <c r="Q629" i="1" s="1"/>
  <c r="O630" i="1"/>
  <c r="P630" i="1" s="1"/>
  <c r="Q630" i="1" s="1"/>
  <c r="O631" i="1"/>
  <c r="P631" i="1" s="1"/>
  <c r="Q631" i="1" s="1"/>
  <c r="O632" i="1"/>
  <c r="P632" i="1" s="1"/>
  <c r="Q632" i="1" s="1"/>
  <c r="O633" i="1"/>
  <c r="P633" i="1" s="1"/>
  <c r="Q633" i="1" s="1"/>
  <c r="O634" i="1"/>
  <c r="P634" i="1" s="1"/>
  <c r="Q634" i="1" s="1"/>
  <c r="O635" i="1"/>
  <c r="P635" i="1" s="1"/>
  <c r="Q635" i="1" s="1"/>
  <c r="O636" i="1"/>
  <c r="P636" i="1" s="1"/>
  <c r="Q636" i="1" s="1"/>
  <c r="O637" i="1"/>
  <c r="P637" i="1" s="1"/>
  <c r="Q637" i="1" s="1"/>
  <c r="O638" i="1"/>
  <c r="P638" i="1" s="1"/>
  <c r="O639" i="1"/>
  <c r="P639" i="1" s="1"/>
  <c r="Q639" i="1" s="1"/>
  <c r="O640" i="1"/>
  <c r="P640" i="1" s="1"/>
  <c r="Q640" i="1" s="1"/>
  <c r="O641" i="1"/>
  <c r="P641" i="1" s="1"/>
  <c r="Q641" i="1" s="1"/>
  <c r="O642" i="1"/>
  <c r="P642" i="1" s="1"/>
  <c r="Q642" i="1" s="1"/>
  <c r="O643" i="1"/>
  <c r="P643" i="1" s="1"/>
  <c r="Q643" i="1" s="1"/>
  <c r="O644" i="1"/>
  <c r="P644" i="1" s="1"/>
  <c r="Q644" i="1" s="1"/>
  <c r="O645" i="1"/>
  <c r="P645" i="1" s="1"/>
  <c r="Q645" i="1" s="1"/>
  <c r="O646" i="1"/>
  <c r="P646" i="1" s="1"/>
  <c r="Q646" i="1" s="1"/>
  <c r="O647" i="1"/>
  <c r="P647" i="1" s="1"/>
  <c r="Q647" i="1" s="1"/>
  <c r="O648" i="1"/>
  <c r="P648" i="1" s="1"/>
  <c r="Q648" i="1" s="1"/>
  <c r="O649" i="1"/>
  <c r="P649" i="1" s="1"/>
  <c r="Q649" i="1" s="1"/>
  <c r="O650" i="1"/>
  <c r="P650" i="1" s="1"/>
  <c r="Q650" i="1" s="1"/>
  <c r="O651" i="1"/>
  <c r="P651" i="1" s="1"/>
  <c r="Q651" i="1" s="1"/>
  <c r="O652" i="1"/>
  <c r="O653" i="1"/>
  <c r="P653" i="1" s="1"/>
  <c r="Q653" i="1" s="1"/>
  <c r="O654" i="1"/>
  <c r="O655" i="1"/>
  <c r="O656" i="1"/>
  <c r="O657" i="1"/>
  <c r="O658" i="1"/>
  <c r="P658" i="1" s="1"/>
  <c r="Q658" i="1" s="1"/>
  <c r="O659" i="1"/>
  <c r="P659" i="1" s="1"/>
  <c r="Q659" i="1" s="1"/>
  <c r="O660" i="1"/>
  <c r="P660" i="1" s="1"/>
  <c r="Q660" i="1" s="1"/>
  <c r="O661" i="1"/>
  <c r="P661" i="1" s="1"/>
  <c r="Q661" i="1" s="1"/>
  <c r="O662" i="1"/>
  <c r="P662" i="1" s="1"/>
  <c r="Q662" i="1" s="1"/>
  <c r="O663" i="1"/>
  <c r="P663" i="1" s="1"/>
  <c r="Q663" i="1" s="1"/>
  <c r="O664" i="1"/>
  <c r="P664" i="1" s="1"/>
  <c r="Q664" i="1" s="1"/>
  <c r="O665" i="1"/>
  <c r="P665" i="1" s="1"/>
  <c r="Q665" i="1" s="1"/>
  <c r="O666" i="1"/>
  <c r="P666" i="1" s="1"/>
  <c r="Q666" i="1" s="1"/>
  <c r="O667" i="1"/>
  <c r="P667" i="1" s="1"/>
  <c r="Q667" i="1" s="1"/>
  <c r="O668" i="1"/>
  <c r="P668" i="1" s="1"/>
  <c r="Q668" i="1" s="1"/>
  <c r="O669" i="1"/>
  <c r="P669" i="1" s="1"/>
  <c r="Q669" i="1" s="1"/>
  <c r="O670" i="1"/>
  <c r="P670" i="1" s="1"/>
  <c r="Q670" i="1" s="1"/>
  <c r="O671" i="1"/>
  <c r="P671" i="1" s="1"/>
  <c r="Q671" i="1" s="1"/>
  <c r="O672" i="1"/>
  <c r="P672" i="1" s="1"/>
  <c r="Q672" i="1" s="1"/>
  <c r="O673" i="1"/>
  <c r="P673" i="1" s="1"/>
  <c r="Q673" i="1" s="1"/>
  <c r="O674" i="1"/>
  <c r="P674" i="1" s="1"/>
  <c r="Q674" i="1" s="1"/>
  <c r="O675" i="1"/>
  <c r="O676" i="1"/>
  <c r="O677" i="1"/>
  <c r="O678" i="1"/>
  <c r="P678" i="1" s="1"/>
  <c r="Q678" i="1" s="1"/>
  <c r="O679" i="1"/>
  <c r="P679" i="1" s="1"/>
  <c r="Q679" i="1" s="1"/>
  <c r="O680" i="1"/>
  <c r="P680" i="1" s="1"/>
  <c r="Q680" i="1" s="1"/>
  <c r="O681" i="1"/>
  <c r="P681" i="1" s="1"/>
  <c r="Q681" i="1" s="1"/>
  <c r="O682" i="1"/>
  <c r="P682" i="1" s="1"/>
  <c r="Q682" i="1" s="1"/>
  <c r="O683" i="1"/>
  <c r="P683" i="1" s="1"/>
  <c r="Q683" i="1" s="1"/>
  <c r="O684" i="1"/>
  <c r="P684" i="1" s="1"/>
  <c r="Q684" i="1" s="1"/>
  <c r="O685" i="1"/>
  <c r="P685" i="1" s="1"/>
  <c r="Q685" i="1" s="1"/>
  <c r="O686" i="1"/>
  <c r="O687" i="1"/>
  <c r="O688" i="1"/>
  <c r="O689" i="1"/>
  <c r="O690" i="1"/>
  <c r="O691" i="1"/>
  <c r="P691" i="1" s="1"/>
  <c r="Q691" i="1" s="1"/>
  <c r="O692" i="1"/>
  <c r="P692" i="1" s="1"/>
  <c r="Q692" i="1" s="1"/>
  <c r="O693" i="1"/>
  <c r="P693" i="1" s="1"/>
  <c r="Q693" i="1" s="1"/>
  <c r="O694" i="1"/>
  <c r="P694" i="1" s="1"/>
  <c r="Q694" i="1" s="1"/>
  <c r="O695" i="1"/>
  <c r="P695" i="1" s="1"/>
  <c r="Q695" i="1" s="1"/>
  <c r="O696" i="1"/>
  <c r="P696" i="1" s="1"/>
  <c r="Q696" i="1" s="1"/>
  <c r="O697" i="1"/>
  <c r="P697" i="1" s="1"/>
  <c r="Q697" i="1" s="1"/>
  <c r="O698" i="1"/>
  <c r="P698" i="1" s="1"/>
  <c r="Q698" i="1" s="1"/>
  <c r="O699" i="1"/>
  <c r="P699" i="1" s="1"/>
  <c r="Q699" i="1" s="1"/>
  <c r="O700" i="1"/>
  <c r="P700" i="1" s="1"/>
  <c r="Q700" i="1" s="1"/>
  <c r="O701" i="1"/>
  <c r="P701" i="1" s="1"/>
  <c r="Q701" i="1" s="1"/>
  <c r="O702" i="1"/>
  <c r="P702" i="1" s="1"/>
  <c r="Q702" i="1" s="1"/>
  <c r="O703" i="1"/>
  <c r="P703" i="1" s="1"/>
  <c r="Q703" i="1" s="1"/>
  <c r="O704" i="1"/>
  <c r="P704" i="1" s="1"/>
  <c r="Q704" i="1" s="1"/>
  <c r="O705" i="1"/>
  <c r="P705" i="1" s="1"/>
  <c r="Q705" i="1" s="1"/>
  <c r="O706" i="1"/>
  <c r="O707" i="1"/>
  <c r="P707" i="1" s="1"/>
  <c r="O708" i="1"/>
  <c r="O709" i="1"/>
  <c r="O710" i="1"/>
  <c r="P710" i="1" s="1"/>
  <c r="Q710" i="1" s="1"/>
  <c r="O711" i="1"/>
  <c r="P711" i="1" s="1"/>
  <c r="Q711" i="1" s="1"/>
  <c r="O712" i="1"/>
  <c r="P712" i="1" s="1"/>
  <c r="Q712" i="1" s="1"/>
  <c r="O713" i="1"/>
  <c r="P713" i="1" s="1"/>
  <c r="Q713" i="1" s="1"/>
  <c r="O714" i="1"/>
  <c r="O715" i="1"/>
  <c r="P715" i="1" s="1"/>
  <c r="Q715" i="1" s="1"/>
  <c r="O716" i="1"/>
  <c r="P716" i="1" s="1"/>
  <c r="Q716" i="1" s="1"/>
  <c r="O717" i="1"/>
  <c r="P717" i="1" s="1"/>
  <c r="Q717" i="1" s="1"/>
  <c r="O718" i="1"/>
  <c r="O719" i="1"/>
  <c r="P719" i="1" s="1"/>
  <c r="Q719" i="1" s="1"/>
  <c r="O720" i="1"/>
  <c r="P720" i="1" s="1"/>
  <c r="Q720" i="1" s="1"/>
  <c r="O721" i="1"/>
  <c r="P721" i="1" s="1"/>
  <c r="Q721" i="1" s="1"/>
  <c r="O722" i="1"/>
  <c r="P722" i="1" s="1"/>
  <c r="Q722" i="1" s="1"/>
  <c r="O723" i="1"/>
  <c r="P723" i="1" s="1"/>
  <c r="Q723" i="1" s="1"/>
  <c r="O724" i="1"/>
  <c r="P724" i="1" s="1"/>
  <c r="Q724" i="1" s="1"/>
  <c r="O725" i="1"/>
  <c r="P725" i="1" s="1"/>
  <c r="Q725" i="1" s="1"/>
  <c r="O726" i="1"/>
  <c r="P726" i="1" s="1"/>
  <c r="Q726" i="1" s="1"/>
  <c r="O727" i="1"/>
  <c r="P727" i="1" s="1"/>
  <c r="Q727" i="1" s="1"/>
  <c r="O728" i="1"/>
  <c r="P728" i="1" s="1"/>
  <c r="Q728" i="1" s="1"/>
  <c r="O729" i="1"/>
  <c r="P729" i="1" s="1"/>
  <c r="Q729" i="1" s="1"/>
  <c r="O730" i="1"/>
  <c r="P730" i="1" s="1"/>
  <c r="Q730" i="1" s="1"/>
  <c r="O731" i="1"/>
  <c r="P731" i="1" s="1"/>
  <c r="Q731" i="1" s="1"/>
  <c r="O732" i="1"/>
  <c r="P732" i="1" s="1"/>
  <c r="Q732" i="1" s="1"/>
  <c r="O733" i="1"/>
  <c r="P733" i="1" s="1"/>
  <c r="Q733" i="1" s="1"/>
  <c r="O734" i="1"/>
  <c r="P734" i="1" s="1"/>
  <c r="Q734" i="1" s="1"/>
  <c r="O735" i="1"/>
  <c r="P735" i="1" s="1"/>
  <c r="Q735" i="1" s="1"/>
  <c r="O736" i="1"/>
  <c r="O737" i="1"/>
  <c r="O738" i="1"/>
  <c r="P738" i="1" s="1"/>
  <c r="Q738" i="1" s="1"/>
  <c r="O739" i="1"/>
  <c r="O740" i="1"/>
  <c r="P740" i="1" s="1"/>
  <c r="Q740" i="1" s="1"/>
  <c r="O741" i="1"/>
  <c r="P741" i="1" s="1"/>
  <c r="Q741" i="1" s="1"/>
  <c r="O742" i="1"/>
  <c r="P742" i="1" s="1"/>
  <c r="Q742" i="1" s="1"/>
  <c r="O743" i="1"/>
  <c r="P743" i="1" s="1"/>
  <c r="Q743" i="1" s="1"/>
  <c r="O744" i="1"/>
  <c r="P744" i="1" s="1"/>
  <c r="Q744" i="1" s="1"/>
  <c r="O745" i="1"/>
  <c r="P745" i="1" s="1"/>
  <c r="Q745" i="1" s="1"/>
  <c r="O746" i="1"/>
  <c r="P746" i="1" s="1"/>
  <c r="Q746" i="1" s="1"/>
  <c r="O747" i="1"/>
  <c r="P747" i="1" s="1"/>
  <c r="Q747" i="1" s="1"/>
  <c r="O748" i="1"/>
  <c r="P748" i="1" s="1"/>
  <c r="Q748" i="1" s="1"/>
  <c r="O749" i="1"/>
  <c r="P749" i="1" s="1"/>
  <c r="Q749" i="1" s="1"/>
  <c r="O750" i="1"/>
  <c r="P750" i="1" s="1"/>
  <c r="Q750" i="1" s="1"/>
  <c r="O751" i="1"/>
  <c r="P751" i="1" s="1"/>
  <c r="Q751" i="1" s="1"/>
  <c r="O752" i="1"/>
  <c r="P752" i="1" s="1"/>
  <c r="Q752" i="1" s="1"/>
  <c r="O753" i="1"/>
  <c r="P753" i="1" s="1"/>
  <c r="Q753" i="1" s="1"/>
  <c r="O754" i="1"/>
  <c r="P754" i="1" s="1"/>
  <c r="Q754" i="1" s="1"/>
  <c r="O755" i="1"/>
  <c r="P755" i="1" s="1"/>
  <c r="Q755" i="1" s="1"/>
  <c r="O756" i="1"/>
  <c r="P756" i="1" s="1"/>
  <c r="Q756" i="1" s="1"/>
  <c r="O757" i="1"/>
  <c r="P757" i="1" s="1"/>
  <c r="Q757" i="1" s="1"/>
  <c r="O758" i="1"/>
  <c r="P758" i="1" s="1"/>
  <c r="Q758" i="1" s="1"/>
  <c r="O759" i="1"/>
  <c r="P759" i="1" s="1"/>
  <c r="Q759" i="1" s="1"/>
  <c r="O760" i="1"/>
  <c r="P760" i="1" s="1"/>
  <c r="Q760" i="1" s="1"/>
  <c r="O761" i="1"/>
  <c r="P761" i="1" s="1"/>
  <c r="Q761" i="1" s="1"/>
  <c r="O762" i="1"/>
  <c r="P762" i="1" s="1"/>
  <c r="Q762" i="1" s="1"/>
  <c r="O763" i="1"/>
  <c r="P763" i="1" s="1"/>
  <c r="Q763" i="1" s="1"/>
  <c r="O764" i="1"/>
  <c r="P764" i="1" s="1"/>
  <c r="Q764" i="1" s="1"/>
  <c r="O765" i="1"/>
  <c r="P765" i="1" s="1"/>
  <c r="Q765" i="1" s="1"/>
  <c r="O766" i="1"/>
  <c r="P766" i="1" s="1"/>
  <c r="Q766" i="1" s="1"/>
  <c r="O767" i="1"/>
  <c r="P767" i="1" s="1"/>
  <c r="Q767" i="1" s="1"/>
  <c r="O768" i="1"/>
  <c r="P768" i="1" s="1"/>
  <c r="Q768" i="1" s="1"/>
  <c r="O769" i="1"/>
  <c r="P769" i="1" s="1"/>
  <c r="Q769" i="1" s="1"/>
  <c r="O770" i="1"/>
  <c r="O771" i="1"/>
  <c r="O772" i="1"/>
  <c r="O773" i="1"/>
  <c r="O774" i="1"/>
  <c r="O775" i="1"/>
  <c r="P775" i="1" s="1"/>
  <c r="Q775" i="1" s="1"/>
  <c r="O776" i="1"/>
  <c r="P776" i="1" s="1"/>
  <c r="Q776" i="1" s="1"/>
  <c r="O777" i="1"/>
  <c r="O778" i="1"/>
  <c r="O779" i="1"/>
  <c r="O780" i="1"/>
  <c r="O781" i="1"/>
  <c r="P781" i="1" s="1"/>
  <c r="Q781" i="1" s="1"/>
  <c r="O782" i="1"/>
  <c r="O783" i="1"/>
  <c r="P783" i="1" s="1"/>
  <c r="O784" i="1"/>
  <c r="P784" i="1" s="1"/>
  <c r="O785" i="1"/>
  <c r="P785" i="1" s="1"/>
  <c r="O786" i="1"/>
  <c r="P786" i="1" s="1"/>
  <c r="Q786" i="1" s="1"/>
  <c r="O787" i="1"/>
  <c r="P787" i="1" s="1"/>
  <c r="Q787" i="1" s="1"/>
  <c r="O788" i="1"/>
  <c r="P788" i="1" s="1"/>
  <c r="Q788" i="1" s="1"/>
  <c r="O789" i="1"/>
  <c r="P789" i="1" s="1"/>
  <c r="Q789" i="1" s="1"/>
  <c r="O790" i="1"/>
  <c r="P790" i="1" s="1"/>
  <c r="Q790" i="1" s="1"/>
  <c r="O791" i="1"/>
  <c r="P791" i="1" s="1"/>
  <c r="Q791" i="1" s="1"/>
  <c r="O792" i="1"/>
  <c r="P792" i="1" s="1"/>
  <c r="Q792" i="1" s="1"/>
  <c r="O793" i="1"/>
  <c r="P793" i="1" s="1"/>
  <c r="Q793" i="1" s="1"/>
  <c r="O794" i="1"/>
  <c r="P794" i="1" s="1"/>
  <c r="Q794" i="1" s="1"/>
  <c r="O795" i="1"/>
  <c r="P795" i="1" s="1"/>
  <c r="Q795" i="1" s="1"/>
  <c r="O796" i="1"/>
  <c r="P796" i="1" s="1"/>
  <c r="Q796" i="1" s="1"/>
  <c r="O797" i="1"/>
  <c r="P797" i="1" s="1"/>
  <c r="Q797" i="1" s="1"/>
  <c r="O798" i="1"/>
  <c r="P798" i="1" s="1"/>
  <c r="Q798" i="1" s="1"/>
  <c r="O799" i="1"/>
  <c r="P799" i="1" s="1"/>
  <c r="Q799" i="1" s="1"/>
  <c r="O800" i="1"/>
  <c r="P800" i="1" s="1"/>
  <c r="Q800" i="1" s="1"/>
  <c r="O801" i="1"/>
  <c r="P801" i="1" s="1"/>
  <c r="Q801" i="1" s="1"/>
  <c r="O802" i="1"/>
  <c r="P802" i="1" s="1"/>
  <c r="Q802" i="1" s="1"/>
  <c r="O803" i="1"/>
  <c r="P803" i="1" s="1"/>
  <c r="Q803" i="1" s="1"/>
  <c r="O804" i="1"/>
  <c r="P804" i="1" s="1"/>
  <c r="Q804" i="1" s="1"/>
  <c r="O805" i="1"/>
  <c r="P805" i="1" s="1"/>
  <c r="Q805" i="1" s="1"/>
  <c r="O806" i="1"/>
  <c r="P806" i="1" s="1"/>
  <c r="Q806" i="1" s="1"/>
  <c r="O807" i="1"/>
  <c r="P807" i="1" s="1"/>
  <c r="Q807" i="1" s="1"/>
  <c r="O808" i="1"/>
  <c r="P808" i="1" s="1"/>
  <c r="Q808" i="1" s="1"/>
  <c r="O809" i="1"/>
  <c r="P809" i="1" s="1"/>
  <c r="Q809" i="1" s="1"/>
  <c r="O810" i="1"/>
  <c r="P810" i="1" s="1"/>
  <c r="Q810" i="1" s="1"/>
  <c r="O811" i="1"/>
  <c r="P811" i="1" s="1"/>
  <c r="Q811" i="1" s="1"/>
  <c r="O812" i="1"/>
  <c r="P812" i="1" s="1"/>
  <c r="Q812" i="1" s="1"/>
  <c r="O813" i="1"/>
  <c r="P813" i="1" s="1"/>
  <c r="Q813" i="1" s="1"/>
  <c r="O814" i="1"/>
  <c r="O815" i="1"/>
  <c r="O816" i="1"/>
  <c r="O817" i="1"/>
  <c r="P817" i="1" s="1"/>
  <c r="Q817" i="1" s="1"/>
  <c r="O818" i="1"/>
  <c r="P818" i="1" s="1"/>
  <c r="Q818" i="1" s="1"/>
  <c r="O819" i="1"/>
  <c r="P819" i="1" s="1"/>
  <c r="Q819" i="1" s="1"/>
  <c r="O820" i="1"/>
  <c r="O821" i="1"/>
  <c r="O822" i="1"/>
  <c r="P822" i="1" s="1"/>
  <c r="Q822" i="1" s="1"/>
  <c r="O823" i="1"/>
  <c r="P823" i="1" s="1"/>
  <c r="Q823" i="1" s="1"/>
  <c r="O824" i="1"/>
  <c r="P824" i="1" s="1"/>
  <c r="Q824" i="1" s="1"/>
  <c r="O825" i="1"/>
  <c r="P825" i="1" s="1"/>
  <c r="Q825" i="1" s="1"/>
  <c r="O826" i="1"/>
  <c r="P826" i="1" s="1"/>
  <c r="Q826" i="1" s="1"/>
  <c r="O827" i="1"/>
  <c r="P827" i="1" s="1"/>
  <c r="Q827" i="1" s="1"/>
  <c r="O828" i="1"/>
  <c r="P828" i="1" s="1"/>
  <c r="Q828" i="1" s="1"/>
  <c r="O829" i="1"/>
  <c r="P829" i="1" s="1"/>
  <c r="Q829" i="1" s="1"/>
  <c r="O830" i="1"/>
  <c r="P830" i="1" s="1"/>
  <c r="Q830" i="1" s="1"/>
  <c r="O831" i="1"/>
  <c r="P831" i="1" s="1"/>
  <c r="Q831" i="1" s="1"/>
  <c r="O832" i="1"/>
  <c r="P832" i="1" s="1"/>
  <c r="Q832" i="1" s="1"/>
  <c r="O833" i="1"/>
  <c r="P833" i="1" s="1"/>
  <c r="Q833" i="1" s="1"/>
  <c r="O834" i="1"/>
  <c r="P834" i="1" s="1"/>
  <c r="Q834" i="1" s="1"/>
  <c r="O835" i="1"/>
  <c r="P835" i="1" s="1"/>
  <c r="Q835" i="1" s="1"/>
  <c r="O836" i="1"/>
  <c r="P836" i="1" s="1"/>
  <c r="Q836" i="1" s="1"/>
  <c r="O837" i="1"/>
  <c r="P837" i="1" s="1"/>
  <c r="Q837" i="1" s="1"/>
  <c r="O838" i="1"/>
  <c r="P838" i="1" s="1"/>
  <c r="Q838" i="1" s="1"/>
  <c r="O839" i="1"/>
  <c r="P839" i="1" s="1"/>
  <c r="Q839" i="1" s="1"/>
  <c r="O840" i="1"/>
  <c r="P840" i="1" s="1"/>
  <c r="Q840" i="1" s="1"/>
  <c r="O841" i="1"/>
  <c r="P841" i="1" s="1"/>
  <c r="Q841" i="1" s="1"/>
  <c r="O842" i="1"/>
  <c r="P842" i="1" s="1"/>
  <c r="Q842" i="1" s="1"/>
  <c r="O843" i="1"/>
  <c r="P843" i="1" s="1"/>
  <c r="Q843" i="1" s="1"/>
  <c r="O844" i="1"/>
  <c r="P844" i="1" s="1"/>
  <c r="Q844" i="1" s="1"/>
  <c r="O845" i="1"/>
  <c r="P845" i="1" s="1"/>
  <c r="Q845" i="1" s="1"/>
  <c r="O846" i="1"/>
  <c r="O847" i="1"/>
  <c r="P847" i="1" s="1"/>
  <c r="Q847" i="1" s="1"/>
  <c r="O848" i="1"/>
  <c r="P848" i="1" s="1"/>
  <c r="O849" i="1"/>
  <c r="P849" i="1" s="1"/>
  <c r="Q849" i="1" s="1"/>
  <c r="O850" i="1"/>
  <c r="P850" i="1" s="1"/>
  <c r="Q850" i="1" s="1"/>
  <c r="O851" i="1"/>
  <c r="P851" i="1" s="1"/>
  <c r="O852" i="1"/>
  <c r="P852" i="1" s="1"/>
  <c r="O853" i="1"/>
  <c r="P853" i="1" s="1"/>
  <c r="Q853" i="1" s="1"/>
  <c r="O854" i="1"/>
  <c r="O855" i="1"/>
  <c r="P855" i="1" s="1"/>
  <c r="Q855" i="1" s="1"/>
  <c r="O856" i="1"/>
  <c r="P856" i="1" s="1"/>
  <c r="Q856" i="1" s="1"/>
  <c r="O857" i="1"/>
  <c r="P857" i="1" s="1"/>
  <c r="Q857" i="1" s="1"/>
  <c r="O858" i="1"/>
  <c r="P858" i="1" s="1"/>
  <c r="Q858" i="1" s="1"/>
  <c r="O859" i="1"/>
  <c r="P859" i="1" s="1"/>
  <c r="Q859" i="1" s="1"/>
  <c r="O860" i="1"/>
  <c r="P860" i="1" s="1"/>
  <c r="Q860" i="1" s="1"/>
  <c r="O861" i="1"/>
  <c r="P861" i="1" s="1"/>
  <c r="Q861" i="1" s="1"/>
  <c r="O862" i="1"/>
  <c r="P862" i="1" s="1"/>
  <c r="Q862" i="1" s="1"/>
  <c r="O863" i="1"/>
  <c r="P863" i="1" s="1"/>
  <c r="Q863" i="1" s="1"/>
  <c r="O864" i="1"/>
  <c r="O865" i="1"/>
  <c r="O866" i="1"/>
  <c r="P866" i="1" s="1"/>
  <c r="Q866" i="1" s="1"/>
  <c r="O867" i="1"/>
  <c r="P867" i="1" s="1"/>
  <c r="Q867" i="1" s="1"/>
  <c r="O868" i="1"/>
  <c r="P868" i="1" s="1"/>
  <c r="Q868" i="1" s="1"/>
  <c r="O869" i="1"/>
  <c r="P869" i="1" s="1"/>
  <c r="Q869" i="1" s="1"/>
  <c r="O870" i="1"/>
  <c r="P870" i="1" s="1"/>
  <c r="Q870" i="1" s="1"/>
  <c r="O871" i="1"/>
  <c r="P871" i="1" s="1"/>
  <c r="Q871" i="1" s="1"/>
  <c r="O872" i="1"/>
  <c r="P872" i="1" s="1"/>
  <c r="Q872" i="1" s="1"/>
  <c r="O873" i="1"/>
  <c r="P873" i="1" s="1"/>
  <c r="Q873" i="1" s="1"/>
  <c r="O874" i="1"/>
  <c r="P874" i="1" s="1"/>
  <c r="Q874" i="1" s="1"/>
  <c r="O875" i="1"/>
  <c r="P875" i="1" s="1"/>
  <c r="Q875" i="1" s="1"/>
  <c r="O876" i="1"/>
  <c r="P876" i="1" s="1"/>
  <c r="Q876" i="1" s="1"/>
  <c r="O877" i="1"/>
  <c r="P877" i="1" s="1"/>
  <c r="Q877" i="1" s="1"/>
  <c r="O878" i="1"/>
  <c r="P878" i="1" s="1"/>
  <c r="Q878" i="1" s="1"/>
  <c r="O879" i="1"/>
  <c r="P879" i="1" s="1"/>
  <c r="Q879" i="1" s="1"/>
  <c r="O880" i="1"/>
  <c r="O881" i="1"/>
  <c r="P881" i="1" s="1"/>
  <c r="Q881" i="1" s="1"/>
  <c r="O882" i="1"/>
  <c r="P882" i="1" s="1"/>
  <c r="Q882" i="1" s="1"/>
  <c r="O883" i="1"/>
  <c r="O884" i="1"/>
  <c r="P884" i="1" s="1"/>
  <c r="Q884" i="1" s="1"/>
  <c r="O885" i="1"/>
  <c r="P885" i="1" s="1"/>
  <c r="Q885" i="1" s="1"/>
  <c r="O886" i="1"/>
  <c r="P886" i="1" s="1"/>
  <c r="Q886" i="1" s="1"/>
  <c r="O887" i="1"/>
  <c r="P887" i="1" s="1"/>
  <c r="Q887" i="1" s="1"/>
  <c r="O888" i="1"/>
  <c r="P888" i="1" s="1"/>
  <c r="Q888" i="1" s="1"/>
  <c r="O889" i="1"/>
  <c r="P889" i="1" s="1"/>
  <c r="Q889" i="1" s="1"/>
  <c r="O890" i="1"/>
  <c r="P890" i="1" s="1"/>
  <c r="Q890" i="1" s="1"/>
  <c r="O891" i="1"/>
  <c r="P891" i="1" s="1"/>
  <c r="Q891" i="1" s="1"/>
  <c r="O892" i="1"/>
  <c r="P892" i="1" s="1"/>
  <c r="Q892" i="1" s="1"/>
  <c r="O893" i="1"/>
  <c r="P893" i="1" s="1"/>
  <c r="Q893" i="1" s="1"/>
  <c r="O894" i="1"/>
  <c r="P894" i="1" s="1"/>
  <c r="Q894" i="1" s="1"/>
  <c r="O895" i="1"/>
  <c r="P895" i="1" s="1"/>
  <c r="Q895" i="1" s="1"/>
  <c r="O896" i="1"/>
  <c r="O897" i="1"/>
  <c r="O898" i="1"/>
  <c r="O899" i="1"/>
  <c r="O900" i="1"/>
  <c r="O901" i="1"/>
  <c r="O902" i="1"/>
  <c r="P902" i="1" s="1"/>
  <c r="O903" i="1"/>
  <c r="P903" i="1" s="1"/>
  <c r="O904" i="1"/>
  <c r="P904" i="1" s="1"/>
  <c r="Q904" i="1" s="1"/>
  <c r="O905" i="1"/>
  <c r="P905" i="1" s="1"/>
  <c r="Q905" i="1" s="1"/>
  <c r="O906" i="1"/>
  <c r="P906" i="1" s="1"/>
  <c r="Q906" i="1" s="1"/>
  <c r="O907" i="1"/>
  <c r="P907" i="1" s="1"/>
  <c r="Q907" i="1" s="1"/>
  <c r="O908" i="1"/>
  <c r="P908" i="1" s="1"/>
  <c r="Q908" i="1" s="1"/>
  <c r="O909" i="1"/>
  <c r="P909" i="1" s="1"/>
  <c r="Q909" i="1" s="1"/>
  <c r="O910" i="1"/>
  <c r="P910" i="1" s="1"/>
  <c r="Q910" i="1" s="1"/>
  <c r="O911" i="1"/>
  <c r="P911" i="1" s="1"/>
  <c r="Q911" i="1" s="1"/>
  <c r="O912" i="1"/>
  <c r="P912" i="1" s="1"/>
  <c r="Q912" i="1" s="1"/>
  <c r="O913" i="1"/>
  <c r="P913" i="1" s="1"/>
  <c r="Q913" i="1" s="1"/>
  <c r="O914" i="1"/>
  <c r="P914" i="1" s="1"/>
  <c r="Q914" i="1" s="1"/>
  <c r="O915" i="1"/>
  <c r="O916" i="1"/>
  <c r="P916" i="1" s="1"/>
  <c r="Q916" i="1" s="1"/>
  <c r="O917" i="1"/>
  <c r="P917" i="1" s="1"/>
  <c r="Q917" i="1" s="1"/>
  <c r="O918" i="1"/>
  <c r="P918" i="1" s="1"/>
  <c r="Q918" i="1" s="1"/>
  <c r="O919" i="1"/>
  <c r="P919" i="1" s="1"/>
  <c r="Q919" i="1" s="1"/>
  <c r="O920" i="1"/>
  <c r="P920" i="1" s="1"/>
  <c r="Q920" i="1" s="1"/>
  <c r="O921" i="1"/>
  <c r="P921" i="1" s="1"/>
  <c r="O922" i="1"/>
  <c r="P922" i="1" s="1"/>
  <c r="Q922" i="1" s="1"/>
  <c r="O923" i="1"/>
  <c r="P923" i="1" s="1"/>
  <c r="Q923" i="1" s="1"/>
  <c r="O924" i="1"/>
  <c r="P924" i="1" s="1"/>
  <c r="Q924" i="1" s="1"/>
  <c r="O925" i="1"/>
  <c r="P925" i="1" s="1"/>
  <c r="Q925" i="1" s="1"/>
  <c r="O926" i="1"/>
  <c r="P926" i="1" s="1"/>
  <c r="Q926" i="1" s="1"/>
  <c r="O927" i="1"/>
  <c r="P927" i="1" s="1"/>
  <c r="Q927" i="1" s="1"/>
  <c r="O928" i="1"/>
  <c r="O929" i="1"/>
  <c r="O930" i="1"/>
  <c r="P930" i="1" s="1"/>
  <c r="Q930" i="1" s="1"/>
  <c r="O931" i="1"/>
  <c r="P931" i="1" s="1"/>
  <c r="O932" i="1"/>
  <c r="P932" i="1" s="1"/>
  <c r="Q932" i="1" s="1"/>
  <c r="O933" i="1"/>
  <c r="P933" i="1" s="1"/>
  <c r="Q933" i="1" s="1"/>
  <c r="O934" i="1"/>
  <c r="P934" i="1" s="1"/>
  <c r="Q934" i="1" s="1"/>
  <c r="O935" i="1"/>
  <c r="P935" i="1" s="1"/>
  <c r="Q935" i="1" s="1"/>
  <c r="O936" i="1"/>
  <c r="P936" i="1" s="1"/>
  <c r="Q936" i="1" s="1"/>
  <c r="O937" i="1"/>
  <c r="P937" i="1" s="1"/>
  <c r="Q937" i="1" s="1"/>
  <c r="O938" i="1"/>
  <c r="P938" i="1" s="1"/>
  <c r="Q938" i="1" s="1"/>
  <c r="O939" i="1"/>
  <c r="P939" i="1" s="1"/>
  <c r="Q939" i="1" s="1"/>
  <c r="O940" i="1"/>
  <c r="P940" i="1" s="1"/>
  <c r="Q940" i="1" s="1"/>
  <c r="O941" i="1"/>
  <c r="P941" i="1" s="1"/>
  <c r="Q941" i="1" s="1"/>
  <c r="O942" i="1"/>
  <c r="O943" i="1"/>
  <c r="O944" i="1"/>
  <c r="P944" i="1" s="1"/>
  <c r="Q944" i="1" s="1"/>
  <c r="O945" i="1"/>
  <c r="P945" i="1" s="1"/>
  <c r="Q945" i="1" s="1"/>
  <c r="O946" i="1"/>
  <c r="P946" i="1" s="1"/>
  <c r="Q946" i="1" s="1"/>
  <c r="O947" i="1"/>
  <c r="P947" i="1" s="1"/>
  <c r="Q947" i="1" s="1"/>
  <c r="O948" i="1"/>
  <c r="P948" i="1" s="1"/>
  <c r="Q948" i="1" s="1"/>
  <c r="O949" i="1"/>
  <c r="P949" i="1" s="1"/>
  <c r="Q949" i="1" s="1"/>
  <c r="O950" i="1"/>
  <c r="P950" i="1" s="1"/>
  <c r="Q950" i="1" s="1"/>
  <c r="O951" i="1"/>
  <c r="P951" i="1" s="1"/>
  <c r="Q951" i="1" s="1"/>
  <c r="O952" i="1"/>
  <c r="P952" i="1" s="1"/>
  <c r="Q952" i="1" s="1"/>
  <c r="O953" i="1"/>
  <c r="P953" i="1" s="1"/>
  <c r="Q953" i="1" s="1"/>
  <c r="O954" i="1"/>
  <c r="P954" i="1" s="1"/>
  <c r="Q954" i="1" s="1"/>
  <c r="O955" i="1"/>
  <c r="P955" i="1" s="1"/>
  <c r="Q955" i="1" s="1"/>
  <c r="O956" i="1"/>
  <c r="P956" i="1" s="1"/>
  <c r="Q956" i="1" s="1"/>
  <c r="O957" i="1"/>
  <c r="P957" i="1" s="1"/>
  <c r="Q957" i="1" s="1"/>
  <c r="O958" i="1"/>
  <c r="P958" i="1" s="1"/>
  <c r="Q958" i="1" s="1"/>
  <c r="O959" i="1"/>
  <c r="P959" i="1" s="1"/>
  <c r="Q959" i="1" s="1"/>
  <c r="O960" i="1"/>
  <c r="O961" i="1"/>
  <c r="P961" i="1" s="1"/>
  <c r="Q961" i="1" s="1"/>
  <c r="O962" i="1"/>
  <c r="P962" i="1" s="1"/>
  <c r="Q962" i="1" s="1"/>
  <c r="O963" i="1"/>
  <c r="O964" i="1"/>
  <c r="O965" i="1"/>
  <c r="O966" i="1"/>
  <c r="O967" i="1"/>
  <c r="P967" i="1" s="1"/>
  <c r="Q967" i="1" s="1"/>
  <c r="O968" i="1"/>
  <c r="P968" i="1" s="1"/>
  <c r="Q968" i="1" s="1"/>
  <c r="O969" i="1"/>
  <c r="O970" i="1"/>
  <c r="P970" i="1" s="1"/>
  <c r="Q970" i="1" s="1"/>
  <c r="O971" i="1"/>
  <c r="P971" i="1" s="1"/>
  <c r="Q971" i="1" s="1"/>
  <c r="O972" i="1"/>
  <c r="P972" i="1" s="1"/>
  <c r="Q972" i="1" s="1"/>
  <c r="O973" i="1"/>
  <c r="P973" i="1" s="1"/>
  <c r="Q973" i="1" s="1"/>
  <c r="O974" i="1"/>
  <c r="P974" i="1" s="1"/>
  <c r="Q974" i="1" s="1"/>
  <c r="O975" i="1"/>
  <c r="P975" i="1" s="1"/>
  <c r="Q975" i="1" s="1"/>
  <c r="O976" i="1"/>
  <c r="P976" i="1" s="1"/>
  <c r="Q976" i="1" s="1"/>
  <c r="O977" i="1"/>
  <c r="P977" i="1" s="1"/>
  <c r="Q977" i="1" s="1"/>
  <c r="O978" i="1"/>
  <c r="P978" i="1" s="1"/>
  <c r="Q978" i="1" s="1"/>
  <c r="O979" i="1"/>
  <c r="P979" i="1" s="1"/>
  <c r="Q979" i="1" s="1"/>
  <c r="O980" i="1"/>
  <c r="P980" i="1" s="1"/>
  <c r="Q980" i="1" s="1"/>
  <c r="O981" i="1"/>
  <c r="P981" i="1" s="1"/>
  <c r="Q981" i="1" s="1"/>
  <c r="O982" i="1"/>
  <c r="P982" i="1" s="1"/>
  <c r="Q982" i="1" s="1"/>
  <c r="O983" i="1"/>
  <c r="P983" i="1" s="1"/>
  <c r="Q983" i="1" s="1"/>
  <c r="O984" i="1"/>
  <c r="P984" i="1" s="1"/>
  <c r="Q984" i="1" s="1"/>
  <c r="O985" i="1"/>
  <c r="P985" i="1" s="1"/>
  <c r="Q985" i="1" s="1"/>
  <c r="O986" i="1"/>
  <c r="P986" i="1" s="1"/>
  <c r="Q986" i="1" s="1"/>
  <c r="O987" i="1"/>
  <c r="P987" i="1" s="1"/>
  <c r="Q987" i="1" s="1"/>
  <c r="O988" i="1"/>
  <c r="P988" i="1" s="1"/>
  <c r="Q988" i="1" s="1"/>
  <c r="O989" i="1"/>
  <c r="P989" i="1" s="1"/>
  <c r="Q989" i="1" s="1"/>
  <c r="O990" i="1"/>
  <c r="O991" i="1"/>
  <c r="O992" i="1"/>
  <c r="P992" i="1" s="1"/>
  <c r="Q992" i="1" s="1"/>
  <c r="O993" i="1"/>
  <c r="P993" i="1" s="1"/>
  <c r="Q993" i="1" s="1"/>
  <c r="O994" i="1"/>
  <c r="P994" i="1" s="1"/>
  <c r="Q994" i="1" s="1"/>
  <c r="O995" i="1"/>
  <c r="P995" i="1" s="1"/>
  <c r="Q995" i="1" s="1"/>
  <c r="O996" i="1"/>
  <c r="P996" i="1" s="1"/>
  <c r="Q996" i="1" s="1"/>
  <c r="O997" i="1"/>
  <c r="P997" i="1" s="1"/>
  <c r="Q997" i="1" s="1"/>
  <c r="O998" i="1"/>
  <c r="P998" i="1" s="1"/>
  <c r="Q998" i="1" s="1"/>
  <c r="O999" i="1"/>
  <c r="P999" i="1" s="1"/>
  <c r="Q999" i="1" s="1"/>
  <c r="O1000" i="1"/>
  <c r="P1000" i="1" s="1"/>
  <c r="Q1000" i="1" s="1"/>
  <c r="O1001" i="1"/>
  <c r="P1001" i="1" s="1"/>
  <c r="Q1001" i="1" s="1"/>
  <c r="O2" i="1"/>
  <c r="P2" i="1" s="1"/>
  <c r="Q2" i="1" s="1"/>
</calcChain>
</file>

<file path=xl/sharedStrings.xml><?xml version="1.0" encoding="utf-8"?>
<sst xmlns="http://schemas.openxmlformats.org/spreadsheetml/2006/main" count="7096" uniqueCount="1083">
  <si>
    <t>Loan_ID</t>
  </si>
  <si>
    <t>Customer_Name</t>
  </si>
  <si>
    <t>Age</t>
  </si>
  <si>
    <t>Gender</t>
  </si>
  <si>
    <t>Employment_Type</t>
  </si>
  <si>
    <t>Annual_Income</t>
  </si>
  <si>
    <t>Loan_Amount</t>
  </si>
  <si>
    <t>Interest_Rate</t>
  </si>
  <si>
    <t>Loan_Term_Months</t>
  </si>
  <si>
    <t>Credit_Score</t>
  </si>
  <si>
    <t>Loan_Type</t>
  </si>
  <si>
    <t>Loan_Status</t>
  </si>
  <si>
    <t>Issue_Date</t>
  </si>
  <si>
    <t>Region</t>
  </si>
  <si>
    <t>L0001</t>
  </si>
  <si>
    <t>L0002</t>
  </si>
  <si>
    <t>L0003</t>
  </si>
  <si>
    <t>L0004</t>
  </si>
  <si>
    <t>L0005</t>
  </si>
  <si>
    <t>L0006</t>
  </si>
  <si>
    <t>L0007</t>
  </si>
  <si>
    <t>L0008</t>
  </si>
  <si>
    <t>L0009</t>
  </si>
  <si>
    <t>L0010</t>
  </si>
  <si>
    <t>L0011</t>
  </si>
  <si>
    <t>L0012</t>
  </si>
  <si>
    <t>L0013</t>
  </si>
  <si>
    <t>L0014</t>
  </si>
  <si>
    <t>L0015</t>
  </si>
  <si>
    <t>L0016</t>
  </si>
  <si>
    <t>L0017</t>
  </si>
  <si>
    <t>L0018</t>
  </si>
  <si>
    <t>L0019</t>
  </si>
  <si>
    <t>L0020</t>
  </si>
  <si>
    <t>L0021</t>
  </si>
  <si>
    <t>L0022</t>
  </si>
  <si>
    <t>L0023</t>
  </si>
  <si>
    <t>L0024</t>
  </si>
  <si>
    <t>L0025</t>
  </si>
  <si>
    <t>L0026</t>
  </si>
  <si>
    <t>L0027</t>
  </si>
  <si>
    <t>L0028</t>
  </si>
  <si>
    <t>L0029</t>
  </si>
  <si>
    <t>L0030</t>
  </si>
  <si>
    <t>L0031</t>
  </si>
  <si>
    <t>L0032</t>
  </si>
  <si>
    <t>L0033</t>
  </si>
  <si>
    <t>L0034</t>
  </si>
  <si>
    <t>L0035</t>
  </si>
  <si>
    <t>L0036</t>
  </si>
  <si>
    <t>L0037</t>
  </si>
  <si>
    <t>L0038</t>
  </si>
  <si>
    <t>L0039</t>
  </si>
  <si>
    <t>L0040</t>
  </si>
  <si>
    <t>L0041</t>
  </si>
  <si>
    <t>L0042</t>
  </si>
  <si>
    <t>L0043</t>
  </si>
  <si>
    <t>L0044</t>
  </si>
  <si>
    <t>L0045</t>
  </si>
  <si>
    <t>L0046</t>
  </si>
  <si>
    <t>L0047</t>
  </si>
  <si>
    <t>L0048</t>
  </si>
  <si>
    <t>L0049</t>
  </si>
  <si>
    <t>L0050</t>
  </si>
  <si>
    <t>L0051</t>
  </si>
  <si>
    <t>L0052</t>
  </si>
  <si>
    <t>L0053</t>
  </si>
  <si>
    <t>L0054</t>
  </si>
  <si>
    <t>L0055</t>
  </si>
  <si>
    <t>L0056</t>
  </si>
  <si>
    <t>L0057</t>
  </si>
  <si>
    <t>L0058</t>
  </si>
  <si>
    <t>L0059</t>
  </si>
  <si>
    <t>L0060</t>
  </si>
  <si>
    <t>L0061</t>
  </si>
  <si>
    <t>L0062</t>
  </si>
  <si>
    <t>L0063</t>
  </si>
  <si>
    <t>L0064</t>
  </si>
  <si>
    <t>L0065</t>
  </si>
  <si>
    <t>L0066</t>
  </si>
  <si>
    <t>L0067</t>
  </si>
  <si>
    <t>L0068</t>
  </si>
  <si>
    <t>L0069</t>
  </si>
  <si>
    <t>L0070</t>
  </si>
  <si>
    <t>L0071</t>
  </si>
  <si>
    <t>L0072</t>
  </si>
  <si>
    <t>L0073</t>
  </si>
  <si>
    <t>L0074</t>
  </si>
  <si>
    <t>L0075</t>
  </si>
  <si>
    <t>L0076</t>
  </si>
  <si>
    <t>L0077</t>
  </si>
  <si>
    <t>L0078</t>
  </si>
  <si>
    <t>L0079</t>
  </si>
  <si>
    <t>L0080</t>
  </si>
  <si>
    <t>L0081</t>
  </si>
  <si>
    <t>L0082</t>
  </si>
  <si>
    <t>L0083</t>
  </si>
  <si>
    <t>L0084</t>
  </si>
  <si>
    <t>L0085</t>
  </si>
  <si>
    <t>L0086</t>
  </si>
  <si>
    <t>L0087</t>
  </si>
  <si>
    <t>L0088</t>
  </si>
  <si>
    <t>L0089</t>
  </si>
  <si>
    <t>L0090</t>
  </si>
  <si>
    <t>L0091</t>
  </si>
  <si>
    <t>L0092</t>
  </si>
  <si>
    <t>L0093</t>
  </si>
  <si>
    <t>L0094</t>
  </si>
  <si>
    <t>L0095</t>
  </si>
  <si>
    <t>L0096</t>
  </si>
  <si>
    <t>L0097</t>
  </si>
  <si>
    <t>L0098</t>
  </si>
  <si>
    <t>L0099</t>
  </si>
  <si>
    <t>L0100</t>
  </si>
  <si>
    <t>L0101</t>
  </si>
  <si>
    <t>L0102</t>
  </si>
  <si>
    <t>L0103</t>
  </si>
  <si>
    <t>L0104</t>
  </si>
  <si>
    <t>L0105</t>
  </si>
  <si>
    <t>L0106</t>
  </si>
  <si>
    <t>L0107</t>
  </si>
  <si>
    <t>L0108</t>
  </si>
  <si>
    <t>L0109</t>
  </si>
  <si>
    <t>L0110</t>
  </si>
  <si>
    <t>L0111</t>
  </si>
  <si>
    <t>L0112</t>
  </si>
  <si>
    <t>L0113</t>
  </si>
  <si>
    <t>L0114</t>
  </si>
  <si>
    <t>L0115</t>
  </si>
  <si>
    <t>L0116</t>
  </si>
  <si>
    <t>L0117</t>
  </si>
  <si>
    <t>L0118</t>
  </si>
  <si>
    <t>L0119</t>
  </si>
  <si>
    <t>L0120</t>
  </si>
  <si>
    <t>L0121</t>
  </si>
  <si>
    <t>L0122</t>
  </si>
  <si>
    <t>L0123</t>
  </si>
  <si>
    <t>L0124</t>
  </si>
  <si>
    <t>L0125</t>
  </si>
  <si>
    <t>L0126</t>
  </si>
  <si>
    <t>L0127</t>
  </si>
  <si>
    <t>L0128</t>
  </si>
  <si>
    <t>L0129</t>
  </si>
  <si>
    <t>L0130</t>
  </si>
  <si>
    <t>L0131</t>
  </si>
  <si>
    <t>L0132</t>
  </si>
  <si>
    <t>L0133</t>
  </si>
  <si>
    <t>L0134</t>
  </si>
  <si>
    <t>L0135</t>
  </si>
  <si>
    <t>L0136</t>
  </si>
  <si>
    <t>L0137</t>
  </si>
  <si>
    <t>L0138</t>
  </si>
  <si>
    <t>L0139</t>
  </si>
  <si>
    <t>L0140</t>
  </si>
  <si>
    <t>L0141</t>
  </si>
  <si>
    <t>L0142</t>
  </si>
  <si>
    <t>L0143</t>
  </si>
  <si>
    <t>L0144</t>
  </si>
  <si>
    <t>L0145</t>
  </si>
  <si>
    <t>L0146</t>
  </si>
  <si>
    <t>L0147</t>
  </si>
  <si>
    <t>L0148</t>
  </si>
  <si>
    <t>L0149</t>
  </si>
  <si>
    <t>L0150</t>
  </si>
  <si>
    <t>L0151</t>
  </si>
  <si>
    <t>L0152</t>
  </si>
  <si>
    <t>L0153</t>
  </si>
  <si>
    <t>L0154</t>
  </si>
  <si>
    <t>L0155</t>
  </si>
  <si>
    <t>L0156</t>
  </si>
  <si>
    <t>L0157</t>
  </si>
  <si>
    <t>L0158</t>
  </si>
  <si>
    <t>L0159</t>
  </si>
  <si>
    <t>L0160</t>
  </si>
  <si>
    <t>L0161</t>
  </si>
  <si>
    <t>L0162</t>
  </si>
  <si>
    <t>L0163</t>
  </si>
  <si>
    <t>L0164</t>
  </si>
  <si>
    <t>L0165</t>
  </si>
  <si>
    <t>L0166</t>
  </si>
  <si>
    <t>L0167</t>
  </si>
  <si>
    <t>L0168</t>
  </si>
  <si>
    <t>L0169</t>
  </si>
  <si>
    <t>L0170</t>
  </si>
  <si>
    <t>L0171</t>
  </si>
  <si>
    <t>L0172</t>
  </si>
  <si>
    <t>L0173</t>
  </si>
  <si>
    <t>L0174</t>
  </si>
  <si>
    <t>L0175</t>
  </si>
  <si>
    <t>L0176</t>
  </si>
  <si>
    <t>L0177</t>
  </si>
  <si>
    <t>L0178</t>
  </si>
  <si>
    <t>L0179</t>
  </si>
  <si>
    <t>L0180</t>
  </si>
  <si>
    <t>L0181</t>
  </si>
  <si>
    <t>L0182</t>
  </si>
  <si>
    <t>L0183</t>
  </si>
  <si>
    <t>L0184</t>
  </si>
  <si>
    <t>L0185</t>
  </si>
  <si>
    <t>L0186</t>
  </si>
  <si>
    <t>L0187</t>
  </si>
  <si>
    <t>L0188</t>
  </si>
  <si>
    <t>L0189</t>
  </si>
  <si>
    <t>L0190</t>
  </si>
  <si>
    <t>L0191</t>
  </si>
  <si>
    <t>L0192</t>
  </si>
  <si>
    <t>L0193</t>
  </si>
  <si>
    <t>L0194</t>
  </si>
  <si>
    <t>L0195</t>
  </si>
  <si>
    <t>L0196</t>
  </si>
  <si>
    <t>L0197</t>
  </si>
  <si>
    <t>L0198</t>
  </si>
  <si>
    <t>L0199</t>
  </si>
  <si>
    <t>L0200</t>
  </si>
  <si>
    <t>L0201</t>
  </si>
  <si>
    <t>L0202</t>
  </si>
  <si>
    <t>L0203</t>
  </si>
  <si>
    <t>L0204</t>
  </si>
  <si>
    <t>L0205</t>
  </si>
  <si>
    <t>L0206</t>
  </si>
  <si>
    <t>L0207</t>
  </si>
  <si>
    <t>L0208</t>
  </si>
  <si>
    <t>L0209</t>
  </si>
  <si>
    <t>L0210</t>
  </si>
  <si>
    <t>L0211</t>
  </si>
  <si>
    <t>L0212</t>
  </si>
  <si>
    <t>L0213</t>
  </si>
  <si>
    <t>L0214</t>
  </si>
  <si>
    <t>L0215</t>
  </si>
  <si>
    <t>L0216</t>
  </si>
  <si>
    <t>L0217</t>
  </si>
  <si>
    <t>L0218</t>
  </si>
  <si>
    <t>L0219</t>
  </si>
  <si>
    <t>L0220</t>
  </si>
  <si>
    <t>L0221</t>
  </si>
  <si>
    <t>L0222</t>
  </si>
  <si>
    <t>L0223</t>
  </si>
  <si>
    <t>L0224</t>
  </si>
  <si>
    <t>L0225</t>
  </si>
  <si>
    <t>L0226</t>
  </si>
  <si>
    <t>L0227</t>
  </si>
  <si>
    <t>L0228</t>
  </si>
  <si>
    <t>L0229</t>
  </si>
  <si>
    <t>L0230</t>
  </si>
  <si>
    <t>L0231</t>
  </si>
  <si>
    <t>L0232</t>
  </si>
  <si>
    <t>L0233</t>
  </si>
  <si>
    <t>L0234</t>
  </si>
  <si>
    <t>L0235</t>
  </si>
  <si>
    <t>L0236</t>
  </si>
  <si>
    <t>L0237</t>
  </si>
  <si>
    <t>L0238</t>
  </si>
  <si>
    <t>L0239</t>
  </si>
  <si>
    <t>L0240</t>
  </si>
  <si>
    <t>L0241</t>
  </si>
  <si>
    <t>L0242</t>
  </si>
  <si>
    <t>L0243</t>
  </si>
  <si>
    <t>L0244</t>
  </si>
  <si>
    <t>L0245</t>
  </si>
  <si>
    <t>L0246</t>
  </si>
  <si>
    <t>L0247</t>
  </si>
  <si>
    <t>L0248</t>
  </si>
  <si>
    <t>L0249</t>
  </si>
  <si>
    <t>L0250</t>
  </si>
  <si>
    <t>L0251</t>
  </si>
  <si>
    <t>L0252</t>
  </si>
  <si>
    <t>L0253</t>
  </si>
  <si>
    <t>L0254</t>
  </si>
  <si>
    <t>L0255</t>
  </si>
  <si>
    <t>L0256</t>
  </si>
  <si>
    <t>L0257</t>
  </si>
  <si>
    <t>L0258</t>
  </si>
  <si>
    <t>L0259</t>
  </si>
  <si>
    <t>L0260</t>
  </si>
  <si>
    <t>L0261</t>
  </si>
  <si>
    <t>L0262</t>
  </si>
  <si>
    <t>L0263</t>
  </si>
  <si>
    <t>L0264</t>
  </si>
  <si>
    <t>L0265</t>
  </si>
  <si>
    <t>L0266</t>
  </si>
  <si>
    <t>L0267</t>
  </si>
  <si>
    <t>L0268</t>
  </si>
  <si>
    <t>L0269</t>
  </si>
  <si>
    <t>L0270</t>
  </si>
  <si>
    <t>L0271</t>
  </si>
  <si>
    <t>L0272</t>
  </si>
  <si>
    <t>L0273</t>
  </si>
  <si>
    <t>L0274</t>
  </si>
  <si>
    <t>L0275</t>
  </si>
  <si>
    <t>L0276</t>
  </si>
  <si>
    <t>L0277</t>
  </si>
  <si>
    <t>L0278</t>
  </si>
  <si>
    <t>L0279</t>
  </si>
  <si>
    <t>L0280</t>
  </si>
  <si>
    <t>L0281</t>
  </si>
  <si>
    <t>L0282</t>
  </si>
  <si>
    <t>L0283</t>
  </si>
  <si>
    <t>L0284</t>
  </si>
  <si>
    <t>L0285</t>
  </si>
  <si>
    <t>L0286</t>
  </si>
  <si>
    <t>L0287</t>
  </si>
  <si>
    <t>L0288</t>
  </si>
  <si>
    <t>L0289</t>
  </si>
  <si>
    <t>L0290</t>
  </si>
  <si>
    <t>L0291</t>
  </si>
  <si>
    <t>L0292</t>
  </si>
  <si>
    <t>L0293</t>
  </si>
  <si>
    <t>L0294</t>
  </si>
  <si>
    <t>L0295</t>
  </si>
  <si>
    <t>L0296</t>
  </si>
  <si>
    <t>L0297</t>
  </si>
  <si>
    <t>L0298</t>
  </si>
  <si>
    <t>L0299</t>
  </si>
  <si>
    <t>L0300</t>
  </si>
  <si>
    <t>L0301</t>
  </si>
  <si>
    <t>L0302</t>
  </si>
  <si>
    <t>L0303</t>
  </si>
  <si>
    <t>L0304</t>
  </si>
  <si>
    <t>L0305</t>
  </si>
  <si>
    <t>L0306</t>
  </si>
  <si>
    <t>L0307</t>
  </si>
  <si>
    <t>L0308</t>
  </si>
  <si>
    <t>L0309</t>
  </si>
  <si>
    <t>L0310</t>
  </si>
  <si>
    <t>L0311</t>
  </si>
  <si>
    <t>L0312</t>
  </si>
  <si>
    <t>L0313</t>
  </si>
  <si>
    <t>L0314</t>
  </si>
  <si>
    <t>L0315</t>
  </si>
  <si>
    <t>L0316</t>
  </si>
  <si>
    <t>L0317</t>
  </si>
  <si>
    <t>L0318</t>
  </si>
  <si>
    <t>L0319</t>
  </si>
  <si>
    <t>L0320</t>
  </si>
  <si>
    <t>L0321</t>
  </si>
  <si>
    <t>L0322</t>
  </si>
  <si>
    <t>L0323</t>
  </si>
  <si>
    <t>L0324</t>
  </si>
  <si>
    <t>L0325</t>
  </si>
  <si>
    <t>L0326</t>
  </si>
  <si>
    <t>L0327</t>
  </si>
  <si>
    <t>L0328</t>
  </si>
  <si>
    <t>L0329</t>
  </si>
  <si>
    <t>L0330</t>
  </si>
  <si>
    <t>L0331</t>
  </si>
  <si>
    <t>L0332</t>
  </si>
  <si>
    <t>L0333</t>
  </si>
  <si>
    <t>L0334</t>
  </si>
  <si>
    <t>L0335</t>
  </si>
  <si>
    <t>L0336</t>
  </si>
  <si>
    <t>L0337</t>
  </si>
  <si>
    <t>L0338</t>
  </si>
  <si>
    <t>L0339</t>
  </si>
  <si>
    <t>L0340</t>
  </si>
  <si>
    <t>L0341</t>
  </si>
  <si>
    <t>L0342</t>
  </si>
  <si>
    <t>L0343</t>
  </si>
  <si>
    <t>L0344</t>
  </si>
  <si>
    <t>L0345</t>
  </si>
  <si>
    <t>L0346</t>
  </si>
  <si>
    <t>L0347</t>
  </si>
  <si>
    <t>L0348</t>
  </si>
  <si>
    <t>L0349</t>
  </si>
  <si>
    <t>L0350</t>
  </si>
  <si>
    <t>L0351</t>
  </si>
  <si>
    <t>L0352</t>
  </si>
  <si>
    <t>L0353</t>
  </si>
  <si>
    <t>L0354</t>
  </si>
  <si>
    <t>L0355</t>
  </si>
  <si>
    <t>L0356</t>
  </si>
  <si>
    <t>L0357</t>
  </si>
  <si>
    <t>L0358</t>
  </si>
  <si>
    <t>L0359</t>
  </si>
  <si>
    <t>L0360</t>
  </si>
  <si>
    <t>L0361</t>
  </si>
  <si>
    <t>L0362</t>
  </si>
  <si>
    <t>L0363</t>
  </si>
  <si>
    <t>L0364</t>
  </si>
  <si>
    <t>L0365</t>
  </si>
  <si>
    <t>L0366</t>
  </si>
  <si>
    <t>L0367</t>
  </si>
  <si>
    <t>L0368</t>
  </si>
  <si>
    <t>L0369</t>
  </si>
  <si>
    <t>L0370</t>
  </si>
  <si>
    <t>L0371</t>
  </si>
  <si>
    <t>L0372</t>
  </si>
  <si>
    <t>L0373</t>
  </si>
  <si>
    <t>L0374</t>
  </si>
  <si>
    <t>L0375</t>
  </si>
  <si>
    <t>L0376</t>
  </si>
  <si>
    <t>L0377</t>
  </si>
  <si>
    <t>L0378</t>
  </si>
  <si>
    <t>L0379</t>
  </si>
  <si>
    <t>L0380</t>
  </si>
  <si>
    <t>L0381</t>
  </si>
  <si>
    <t>L0382</t>
  </si>
  <si>
    <t>L0383</t>
  </si>
  <si>
    <t>L0384</t>
  </si>
  <si>
    <t>L0385</t>
  </si>
  <si>
    <t>L0386</t>
  </si>
  <si>
    <t>L0387</t>
  </si>
  <si>
    <t>L0388</t>
  </si>
  <si>
    <t>L0389</t>
  </si>
  <si>
    <t>L0390</t>
  </si>
  <si>
    <t>L0391</t>
  </si>
  <si>
    <t>L0392</t>
  </si>
  <si>
    <t>L0393</t>
  </si>
  <si>
    <t>L0394</t>
  </si>
  <si>
    <t>L0395</t>
  </si>
  <si>
    <t>L0396</t>
  </si>
  <si>
    <t>L0397</t>
  </si>
  <si>
    <t>L0398</t>
  </si>
  <si>
    <t>L0399</t>
  </si>
  <si>
    <t>L0400</t>
  </si>
  <si>
    <t>L0401</t>
  </si>
  <si>
    <t>L0402</t>
  </si>
  <si>
    <t>L0403</t>
  </si>
  <si>
    <t>L0404</t>
  </si>
  <si>
    <t>L0405</t>
  </si>
  <si>
    <t>L0406</t>
  </si>
  <si>
    <t>L0407</t>
  </si>
  <si>
    <t>L0408</t>
  </si>
  <si>
    <t>L0409</t>
  </si>
  <si>
    <t>L0410</t>
  </si>
  <si>
    <t>L0411</t>
  </si>
  <si>
    <t>L0412</t>
  </si>
  <si>
    <t>L0413</t>
  </si>
  <si>
    <t>L0414</t>
  </si>
  <si>
    <t>L0415</t>
  </si>
  <si>
    <t>L0416</t>
  </si>
  <si>
    <t>L0417</t>
  </si>
  <si>
    <t>L0418</t>
  </si>
  <si>
    <t>L0419</t>
  </si>
  <si>
    <t>L0420</t>
  </si>
  <si>
    <t>L0421</t>
  </si>
  <si>
    <t>L0422</t>
  </si>
  <si>
    <t>L0423</t>
  </si>
  <si>
    <t>L0424</t>
  </si>
  <si>
    <t>L0425</t>
  </si>
  <si>
    <t>L0426</t>
  </si>
  <si>
    <t>L0427</t>
  </si>
  <si>
    <t>L0428</t>
  </si>
  <si>
    <t>L0429</t>
  </si>
  <si>
    <t>L0430</t>
  </si>
  <si>
    <t>L0431</t>
  </si>
  <si>
    <t>L0432</t>
  </si>
  <si>
    <t>L0433</t>
  </si>
  <si>
    <t>L0434</t>
  </si>
  <si>
    <t>L0435</t>
  </si>
  <si>
    <t>L0436</t>
  </si>
  <si>
    <t>L0437</t>
  </si>
  <si>
    <t>L0438</t>
  </si>
  <si>
    <t>L0439</t>
  </si>
  <si>
    <t>L0440</t>
  </si>
  <si>
    <t>L0441</t>
  </si>
  <si>
    <t>L0442</t>
  </si>
  <si>
    <t>L0443</t>
  </si>
  <si>
    <t>L0444</t>
  </si>
  <si>
    <t>L0445</t>
  </si>
  <si>
    <t>L0446</t>
  </si>
  <si>
    <t>L0447</t>
  </si>
  <si>
    <t>L0448</t>
  </si>
  <si>
    <t>L0449</t>
  </si>
  <si>
    <t>L0450</t>
  </si>
  <si>
    <t>L0451</t>
  </si>
  <si>
    <t>L0452</t>
  </si>
  <si>
    <t>L0453</t>
  </si>
  <si>
    <t>L0454</t>
  </si>
  <si>
    <t>L0455</t>
  </si>
  <si>
    <t>L0456</t>
  </si>
  <si>
    <t>L0457</t>
  </si>
  <si>
    <t>L0458</t>
  </si>
  <si>
    <t>L0459</t>
  </si>
  <si>
    <t>L0460</t>
  </si>
  <si>
    <t>L0461</t>
  </si>
  <si>
    <t>L0462</t>
  </si>
  <si>
    <t>L0463</t>
  </si>
  <si>
    <t>L0464</t>
  </si>
  <si>
    <t>L0465</t>
  </si>
  <si>
    <t>L0466</t>
  </si>
  <si>
    <t>L0467</t>
  </si>
  <si>
    <t>L0468</t>
  </si>
  <si>
    <t>L0469</t>
  </si>
  <si>
    <t>L0470</t>
  </si>
  <si>
    <t>L0471</t>
  </si>
  <si>
    <t>L0472</t>
  </si>
  <si>
    <t>L0473</t>
  </si>
  <si>
    <t>L0474</t>
  </si>
  <si>
    <t>L0475</t>
  </si>
  <si>
    <t>L0476</t>
  </si>
  <si>
    <t>L0477</t>
  </si>
  <si>
    <t>L0478</t>
  </si>
  <si>
    <t>L0479</t>
  </si>
  <si>
    <t>L0480</t>
  </si>
  <si>
    <t>L0481</t>
  </si>
  <si>
    <t>L0482</t>
  </si>
  <si>
    <t>L0483</t>
  </si>
  <si>
    <t>L0484</t>
  </si>
  <si>
    <t>L0485</t>
  </si>
  <si>
    <t>L0486</t>
  </si>
  <si>
    <t>L0487</t>
  </si>
  <si>
    <t>L0488</t>
  </si>
  <si>
    <t>L0489</t>
  </si>
  <si>
    <t>L0490</t>
  </si>
  <si>
    <t>L0491</t>
  </si>
  <si>
    <t>L0492</t>
  </si>
  <si>
    <t>L0493</t>
  </si>
  <si>
    <t>L0494</t>
  </si>
  <si>
    <t>L0495</t>
  </si>
  <si>
    <t>L0496</t>
  </si>
  <si>
    <t>L0497</t>
  </si>
  <si>
    <t>L0498</t>
  </si>
  <si>
    <t>L0499</t>
  </si>
  <si>
    <t>L0500</t>
  </si>
  <si>
    <t>L0501</t>
  </si>
  <si>
    <t>L0502</t>
  </si>
  <si>
    <t>L0503</t>
  </si>
  <si>
    <t>L0504</t>
  </si>
  <si>
    <t>L0505</t>
  </si>
  <si>
    <t>L0506</t>
  </si>
  <si>
    <t>L0507</t>
  </si>
  <si>
    <t>L0508</t>
  </si>
  <si>
    <t>L0509</t>
  </si>
  <si>
    <t>L0510</t>
  </si>
  <si>
    <t>L0511</t>
  </si>
  <si>
    <t>L0512</t>
  </si>
  <si>
    <t>L0513</t>
  </si>
  <si>
    <t>L0514</t>
  </si>
  <si>
    <t>L0515</t>
  </si>
  <si>
    <t>L0516</t>
  </si>
  <si>
    <t>L0517</t>
  </si>
  <si>
    <t>L0518</t>
  </si>
  <si>
    <t>L0519</t>
  </si>
  <si>
    <t>L0520</t>
  </si>
  <si>
    <t>L0521</t>
  </si>
  <si>
    <t>L0522</t>
  </si>
  <si>
    <t>L0523</t>
  </si>
  <si>
    <t>L0524</t>
  </si>
  <si>
    <t>L0525</t>
  </si>
  <si>
    <t>L0526</t>
  </si>
  <si>
    <t>L0527</t>
  </si>
  <si>
    <t>L0528</t>
  </si>
  <si>
    <t>L0529</t>
  </si>
  <si>
    <t>L0530</t>
  </si>
  <si>
    <t>L0531</t>
  </si>
  <si>
    <t>L0532</t>
  </si>
  <si>
    <t>L0533</t>
  </si>
  <si>
    <t>L0534</t>
  </si>
  <si>
    <t>L0535</t>
  </si>
  <si>
    <t>L0536</t>
  </si>
  <si>
    <t>L0537</t>
  </si>
  <si>
    <t>L0538</t>
  </si>
  <si>
    <t>L0539</t>
  </si>
  <si>
    <t>L0540</t>
  </si>
  <si>
    <t>L0541</t>
  </si>
  <si>
    <t>L0542</t>
  </si>
  <si>
    <t>L0543</t>
  </si>
  <si>
    <t>L0544</t>
  </si>
  <si>
    <t>L0545</t>
  </si>
  <si>
    <t>L0546</t>
  </si>
  <si>
    <t>L0547</t>
  </si>
  <si>
    <t>L0548</t>
  </si>
  <si>
    <t>L0549</t>
  </si>
  <si>
    <t>L0550</t>
  </si>
  <si>
    <t>L0551</t>
  </si>
  <si>
    <t>L0552</t>
  </si>
  <si>
    <t>L0553</t>
  </si>
  <si>
    <t>L0554</t>
  </si>
  <si>
    <t>L0555</t>
  </si>
  <si>
    <t>L0556</t>
  </si>
  <si>
    <t>L0557</t>
  </si>
  <si>
    <t>L0558</t>
  </si>
  <si>
    <t>L0559</t>
  </si>
  <si>
    <t>L0560</t>
  </si>
  <si>
    <t>L0561</t>
  </si>
  <si>
    <t>L0562</t>
  </si>
  <si>
    <t>L0563</t>
  </si>
  <si>
    <t>L0564</t>
  </si>
  <si>
    <t>L0565</t>
  </si>
  <si>
    <t>L0566</t>
  </si>
  <si>
    <t>L0567</t>
  </si>
  <si>
    <t>L0568</t>
  </si>
  <si>
    <t>L0569</t>
  </si>
  <si>
    <t>L0570</t>
  </si>
  <si>
    <t>L0571</t>
  </si>
  <si>
    <t>L0572</t>
  </si>
  <si>
    <t>L0573</t>
  </si>
  <si>
    <t>L0574</t>
  </si>
  <si>
    <t>L0575</t>
  </si>
  <si>
    <t>L0576</t>
  </si>
  <si>
    <t>L0577</t>
  </si>
  <si>
    <t>L0578</t>
  </si>
  <si>
    <t>L0579</t>
  </si>
  <si>
    <t>L0580</t>
  </si>
  <si>
    <t>L0581</t>
  </si>
  <si>
    <t>L0582</t>
  </si>
  <si>
    <t>L0583</t>
  </si>
  <si>
    <t>L0584</t>
  </si>
  <si>
    <t>L0585</t>
  </si>
  <si>
    <t>L0586</t>
  </si>
  <si>
    <t>L0587</t>
  </si>
  <si>
    <t>L0588</t>
  </si>
  <si>
    <t>L0589</t>
  </si>
  <si>
    <t>L0590</t>
  </si>
  <si>
    <t>L0591</t>
  </si>
  <si>
    <t>L0592</t>
  </si>
  <si>
    <t>L0593</t>
  </si>
  <si>
    <t>L0594</t>
  </si>
  <si>
    <t>L0595</t>
  </si>
  <si>
    <t>L0596</t>
  </si>
  <si>
    <t>L0597</t>
  </si>
  <si>
    <t>L0598</t>
  </si>
  <si>
    <t>L0599</t>
  </si>
  <si>
    <t>L0600</t>
  </si>
  <si>
    <t>L0601</t>
  </si>
  <si>
    <t>L0602</t>
  </si>
  <si>
    <t>L0603</t>
  </si>
  <si>
    <t>L0604</t>
  </si>
  <si>
    <t>L0605</t>
  </si>
  <si>
    <t>L0606</t>
  </si>
  <si>
    <t>L0607</t>
  </si>
  <si>
    <t>L0608</t>
  </si>
  <si>
    <t>L0609</t>
  </si>
  <si>
    <t>L0610</t>
  </si>
  <si>
    <t>L0611</t>
  </si>
  <si>
    <t>L0612</t>
  </si>
  <si>
    <t>L0613</t>
  </si>
  <si>
    <t>L0614</t>
  </si>
  <si>
    <t>L0615</t>
  </si>
  <si>
    <t>L0616</t>
  </si>
  <si>
    <t>L0617</t>
  </si>
  <si>
    <t>L0618</t>
  </si>
  <si>
    <t>L0619</t>
  </si>
  <si>
    <t>L0620</t>
  </si>
  <si>
    <t>L0621</t>
  </si>
  <si>
    <t>L0622</t>
  </si>
  <si>
    <t>L0623</t>
  </si>
  <si>
    <t>L0624</t>
  </si>
  <si>
    <t>L0625</t>
  </si>
  <si>
    <t>L0626</t>
  </si>
  <si>
    <t>L0627</t>
  </si>
  <si>
    <t>L0628</t>
  </si>
  <si>
    <t>L0629</t>
  </si>
  <si>
    <t>L0630</t>
  </si>
  <si>
    <t>L0631</t>
  </si>
  <si>
    <t>L0632</t>
  </si>
  <si>
    <t>L0633</t>
  </si>
  <si>
    <t>L0634</t>
  </si>
  <si>
    <t>L0635</t>
  </si>
  <si>
    <t>L0636</t>
  </si>
  <si>
    <t>L0637</t>
  </si>
  <si>
    <t>L0638</t>
  </si>
  <si>
    <t>L0639</t>
  </si>
  <si>
    <t>L0640</t>
  </si>
  <si>
    <t>L0641</t>
  </si>
  <si>
    <t>L0642</t>
  </si>
  <si>
    <t>L0643</t>
  </si>
  <si>
    <t>L0644</t>
  </si>
  <si>
    <t>L0645</t>
  </si>
  <si>
    <t>L0646</t>
  </si>
  <si>
    <t>L0647</t>
  </si>
  <si>
    <t>L0648</t>
  </si>
  <si>
    <t>L0649</t>
  </si>
  <si>
    <t>L0650</t>
  </si>
  <si>
    <t>L0651</t>
  </si>
  <si>
    <t>L0652</t>
  </si>
  <si>
    <t>L0653</t>
  </si>
  <si>
    <t>L0654</t>
  </si>
  <si>
    <t>L0655</t>
  </si>
  <si>
    <t>L0656</t>
  </si>
  <si>
    <t>L0657</t>
  </si>
  <si>
    <t>L0658</t>
  </si>
  <si>
    <t>L0659</t>
  </si>
  <si>
    <t>L0660</t>
  </si>
  <si>
    <t>L0661</t>
  </si>
  <si>
    <t>L0662</t>
  </si>
  <si>
    <t>L0663</t>
  </si>
  <si>
    <t>L0664</t>
  </si>
  <si>
    <t>L0665</t>
  </si>
  <si>
    <t>L0666</t>
  </si>
  <si>
    <t>L0667</t>
  </si>
  <si>
    <t>L0668</t>
  </si>
  <si>
    <t>L0669</t>
  </si>
  <si>
    <t>L0670</t>
  </si>
  <si>
    <t>L0671</t>
  </si>
  <si>
    <t>L0672</t>
  </si>
  <si>
    <t>L0673</t>
  </si>
  <si>
    <t>L0674</t>
  </si>
  <si>
    <t>L0675</t>
  </si>
  <si>
    <t>L0676</t>
  </si>
  <si>
    <t>L0677</t>
  </si>
  <si>
    <t>L0678</t>
  </si>
  <si>
    <t>L0679</t>
  </si>
  <si>
    <t>L0680</t>
  </si>
  <si>
    <t>L0681</t>
  </si>
  <si>
    <t>L0682</t>
  </si>
  <si>
    <t>L0683</t>
  </si>
  <si>
    <t>L0684</t>
  </si>
  <si>
    <t>L0685</t>
  </si>
  <si>
    <t>L0686</t>
  </si>
  <si>
    <t>L0687</t>
  </si>
  <si>
    <t>L0688</t>
  </si>
  <si>
    <t>L0689</t>
  </si>
  <si>
    <t>L0690</t>
  </si>
  <si>
    <t>L0691</t>
  </si>
  <si>
    <t>L0692</t>
  </si>
  <si>
    <t>L0693</t>
  </si>
  <si>
    <t>L0694</t>
  </si>
  <si>
    <t>L0695</t>
  </si>
  <si>
    <t>L0696</t>
  </si>
  <si>
    <t>L0697</t>
  </si>
  <si>
    <t>L0698</t>
  </si>
  <si>
    <t>L0699</t>
  </si>
  <si>
    <t>L0700</t>
  </si>
  <si>
    <t>L0701</t>
  </si>
  <si>
    <t>L0702</t>
  </si>
  <si>
    <t>L0703</t>
  </si>
  <si>
    <t>L0704</t>
  </si>
  <si>
    <t>L0705</t>
  </si>
  <si>
    <t>L0706</t>
  </si>
  <si>
    <t>L0707</t>
  </si>
  <si>
    <t>L0708</t>
  </si>
  <si>
    <t>L0709</t>
  </si>
  <si>
    <t>L0710</t>
  </si>
  <si>
    <t>L0711</t>
  </si>
  <si>
    <t>L0712</t>
  </si>
  <si>
    <t>L0713</t>
  </si>
  <si>
    <t>L0714</t>
  </si>
  <si>
    <t>L0715</t>
  </si>
  <si>
    <t>L0716</t>
  </si>
  <si>
    <t>L0717</t>
  </si>
  <si>
    <t>L0718</t>
  </si>
  <si>
    <t>L0719</t>
  </si>
  <si>
    <t>L0720</t>
  </si>
  <si>
    <t>L0721</t>
  </si>
  <si>
    <t>L0722</t>
  </si>
  <si>
    <t>L0723</t>
  </si>
  <si>
    <t>L0724</t>
  </si>
  <si>
    <t>L0725</t>
  </si>
  <si>
    <t>L0726</t>
  </si>
  <si>
    <t>L0727</t>
  </si>
  <si>
    <t>L0728</t>
  </si>
  <si>
    <t>L0729</t>
  </si>
  <si>
    <t>L0730</t>
  </si>
  <si>
    <t>L0731</t>
  </si>
  <si>
    <t>L0732</t>
  </si>
  <si>
    <t>L0733</t>
  </si>
  <si>
    <t>L0734</t>
  </si>
  <si>
    <t>L0735</t>
  </si>
  <si>
    <t>L0736</t>
  </si>
  <si>
    <t>L0737</t>
  </si>
  <si>
    <t>L0738</t>
  </si>
  <si>
    <t>L0739</t>
  </si>
  <si>
    <t>L0740</t>
  </si>
  <si>
    <t>L0741</t>
  </si>
  <si>
    <t>L0742</t>
  </si>
  <si>
    <t>L0743</t>
  </si>
  <si>
    <t>L0744</t>
  </si>
  <si>
    <t>L0745</t>
  </si>
  <si>
    <t>L0746</t>
  </si>
  <si>
    <t>L0747</t>
  </si>
  <si>
    <t>L0748</t>
  </si>
  <si>
    <t>L0749</t>
  </si>
  <si>
    <t>L0750</t>
  </si>
  <si>
    <t>L0751</t>
  </si>
  <si>
    <t>L0752</t>
  </si>
  <si>
    <t>L0753</t>
  </si>
  <si>
    <t>L0754</t>
  </si>
  <si>
    <t>L0755</t>
  </si>
  <si>
    <t>L0756</t>
  </si>
  <si>
    <t>L0757</t>
  </si>
  <si>
    <t>L0758</t>
  </si>
  <si>
    <t>L0759</t>
  </si>
  <si>
    <t>L0760</t>
  </si>
  <si>
    <t>L0761</t>
  </si>
  <si>
    <t>L0762</t>
  </si>
  <si>
    <t>L0763</t>
  </si>
  <si>
    <t>L0764</t>
  </si>
  <si>
    <t>L0765</t>
  </si>
  <si>
    <t>L0766</t>
  </si>
  <si>
    <t>L0767</t>
  </si>
  <si>
    <t>L0768</t>
  </si>
  <si>
    <t>L0769</t>
  </si>
  <si>
    <t>L0770</t>
  </si>
  <si>
    <t>L0771</t>
  </si>
  <si>
    <t>L0772</t>
  </si>
  <si>
    <t>L0773</t>
  </si>
  <si>
    <t>L0774</t>
  </si>
  <si>
    <t>L0775</t>
  </si>
  <si>
    <t>L0776</t>
  </si>
  <si>
    <t>L0777</t>
  </si>
  <si>
    <t>L0778</t>
  </si>
  <si>
    <t>L0779</t>
  </si>
  <si>
    <t>L0780</t>
  </si>
  <si>
    <t>L0781</t>
  </si>
  <si>
    <t>L0782</t>
  </si>
  <si>
    <t>L0783</t>
  </si>
  <si>
    <t>L0784</t>
  </si>
  <si>
    <t>L0785</t>
  </si>
  <si>
    <t>L0786</t>
  </si>
  <si>
    <t>L0787</t>
  </si>
  <si>
    <t>L0788</t>
  </si>
  <si>
    <t>L0789</t>
  </si>
  <si>
    <t>L0790</t>
  </si>
  <si>
    <t>L0791</t>
  </si>
  <si>
    <t>L0792</t>
  </si>
  <si>
    <t>L0793</t>
  </si>
  <si>
    <t>L0794</t>
  </si>
  <si>
    <t>L0795</t>
  </si>
  <si>
    <t>L0796</t>
  </si>
  <si>
    <t>L0797</t>
  </si>
  <si>
    <t>L0798</t>
  </si>
  <si>
    <t>L0799</t>
  </si>
  <si>
    <t>L0800</t>
  </si>
  <si>
    <t>L0801</t>
  </si>
  <si>
    <t>L0802</t>
  </si>
  <si>
    <t>L0803</t>
  </si>
  <si>
    <t>L0804</t>
  </si>
  <si>
    <t>L0805</t>
  </si>
  <si>
    <t>L0806</t>
  </si>
  <si>
    <t>L0807</t>
  </si>
  <si>
    <t>L0808</t>
  </si>
  <si>
    <t>L0809</t>
  </si>
  <si>
    <t>L0810</t>
  </si>
  <si>
    <t>L0811</t>
  </si>
  <si>
    <t>L0812</t>
  </si>
  <si>
    <t>L0813</t>
  </si>
  <si>
    <t>L0814</t>
  </si>
  <si>
    <t>L0815</t>
  </si>
  <si>
    <t>L0816</t>
  </si>
  <si>
    <t>L0817</t>
  </si>
  <si>
    <t>L0818</t>
  </si>
  <si>
    <t>L0819</t>
  </si>
  <si>
    <t>L0820</t>
  </si>
  <si>
    <t>L0821</t>
  </si>
  <si>
    <t>L0822</t>
  </si>
  <si>
    <t>L0823</t>
  </si>
  <si>
    <t>L0824</t>
  </si>
  <si>
    <t>L0825</t>
  </si>
  <si>
    <t>L0826</t>
  </si>
  <si>
    <t>L0827</t>
  </si>
  <si>
    <t>L0828</t>
  </si>
  <si>
    <t>L0829</t>
  </si>
  <si>
    <t>L0830</t>
  </si>
  <si>
    <t>L0831</t>
  </si>
  <si>
    <t>L0832</t>
  </si>
  <si>
    <t>L0833</t>
  </si>
  <si>
    <t>L0834</t>
  </si>
  <si>
    <t>L0835</t>
  </si>
  <si>
    <t>L0836</t>
  </si>
  <si>
    <t>L0837</t>
  </si>
  <si>
    <t>L0838</t>
  </si>
  <si>
    <t>L0839</t>
  </si>
  <si>
    <t>L0840</t>
  </si>
  <si>
    <t>L0841</t>
  </si>
  <si>
    <t>L0842</t>
  </si>
  <si>
    <t>L0843</t>
  </si>
  <si>
    <t>L0844</t>
  </si>
  <si>
    <t>L0845</t>
  </si>
  <si>
    <t>L0846</t>
  </si>
  <si>
    <t>L0847</t>
  </si>
  <si>
    <t>L0848</t>
  </si>
  <si>
    <t>L0849</t>
  </si>
  <si>
    <t>L0850</t>
  </si>
  <si>
    <t>L0851</t>
  </si>
  <si>
    <t>L0852</t>
  </si>
  <si>
    <t>L0853</t>
  </si>
  <si>
    <t>L0854</t>
  </si>
  <si>
    <t>L0855</t>
  </si>
  <si>
    <t>L0856</t>
  </si>
  <si>
    <t>L0857</t>
  </si>
  <si>
    <t>L0858</t>
  </si>
  <si>
    <t>L0859</t>
  </si>
  <si>
    <t>L0860</t>
  </si>
  <si>
    <t>L0861</t>
  </si>
  <si>
    <t>L0862</t>
  </si>
  <si>
    <t>L0863</t>
  </si>
  <si>
    <t>L0864</t>
  </si>
  <si>
    <t>L0865</t>
  </si>
  <si>
    <t>L0866</t>
  </si>
  <si>
    <t>L0867</t>
  </si>
  <si>
    <t>L0868</t>
  </si>
  <si>
    <t>L0869</t>
  </si>
  <si>
    <t>L0870</t>
  </si>
  <si>
    <t>L0871</t>
  </si>
  <si>
    <t>L0872</t>
  </si>
  <si>
    <t>L0873</t>
  </si>
  <si>
    <t>L0874</t>
  </si>
  <si>
    <t>L0875</t>
  </si>
  <si>
    <t>L0876</t>
  </si>
  <si>
    <t>L0877</t>
  </si>
  <si>
    <t>L0878</t>
  </si>
  <si>
    <t>L0879</t>
  </si>
  <si>
    <t>L0880</t>
  </si>
  <si>
    <t>L0881</t>
  </si>
  <si>
    <t>L0882</t>
  </si>
  <si>
    <t>L0883</t>
  </si>
  <si>
    <t>L0884</t>
  </si>
  <si>
    <t>L0885</t>
  </si>
  <si>
    <t>L0886</t>
  </si>
  <si>
    <t>L0887</t>
  </si>
  <si>
    <t>L0888</t>
  </si>
  <si>
    <t>L0889</t>
  </si>
  <si>
    <t>L0890</t>
  </si>
  <si>
    <t>L0891</t>
  </si>
  <si>
    <t>L0892</t>
  </si>
  <si>
    <t>L0893</t>
  </si>
  <si>
    <t>L0894</t>
  </si>
  <si>
    <t>L0895</t>
  </si>
  <si>
    <t>L0896</t>
  </si>
  <si>
    <t>L0897</t>
  </si>
  <si>
    <t>L0898</t>
  </si>
  <si>
    <t>L0899</t>
  </si>
  <si>
    <t>L0900</t>
  </si>
  <si>
    <t>L0901</t>
  </si>
  <si>
    <t>L0902</t>
  </si>
  <si>
    <t>L0903</t>
  </si>
  <si>
    <t>L0904</t>
  </si>
  <si>
    <t>L0905</t>
  </si>
  <si>
    <t>L0906</t>
  </si>
  <si>
    <t>L0907</t>
  </si>
  <si>
    <t>L0908</t>
  </si>
  <si>
    <t>L0909</t>
  </si>
  <si>
    <t>L0910</t>
  </si>
  <si>
    <t>L0911</t>
  </si>
  <si>
    <t>L0912</t>
  </si>
  <si>
    <t>L0913</t>
  </si>
  <si>
    <t>L0914</t>
  </si>
  <si>
    <t>L0915</t>
  </si>
  <si>
    <t>L0916</t>
  </si>
  <si>
    <t>L0917</t>
  </si>
  <si>
    <t>L0918</t>
  </si>
  <si>
    <t>L0919</t>
  </si>
  <si>
    <t>L0920</t>
  </si>
  <si>
    <t>L0921</t>
  </si>
  <si>
    <t>L0922</t>
  </si>
  <si>
    <t>L0923</t>
  </si>
  <si>
    <t>L0924</t>
  </si>
  <si>
    <t>L0925</t>
  </si>
  <si>
    <t>L0926</t>
  </si>
  <si>
    <t>L0927</t>
  </si>
  <si>
    <t>L0928</t>
  </si>
  <si>
    <t>L0929</t>
  </si>
  <si>
    <t>L0930</t>
  </si>
  <si>
    <t>L0931</t>
  </si>
  <si>
    <t>L0932</t>
  </si>
  <si>
    <t>L0933</t>
  </si>
  <si>
    <t>L0934</t>
  </si>
  <si>
    <t>L0935</t>
  </si>
  <si>
    <t>L0936</t>
  </si>
  <si>
    <t>L0937</t>
  </si>
  <si>
    <t>L0938</t>
  </si>
  <si>
    <t>L0939</t>
  </si>
  <si>
    <t>L0940</t>
  </si>
  <si>
    <t>L0941</t>
  </si>
  <si>
    <t>L0942</t>
  </si>
  <si>
    <t>L0943</t>
  </si>
  <si>
    <t>L0944</t>
  </si>
  <si>
    <t>L0945</t>
  </si>
  <si>
    <t>L0946</t>
  </si>
  <si>
    <t>L0947</t>
  </si>
  <si>
    <t>L0948</t>
  </si>
  <si>
    <t>L0949</t>
  </si>
  <si>
    <t>L0950</t>
  </si>
  <si>
    <t>L0951</t>
  </si>
  <si>
    <t>L0952</t>
  </si>
  <si>
    <t>L0953</t>
  </si>
  <si>
    <t>L0954</t>
  </si>
  <si>
    <t>L0955</t>
  </si>
  <si>
    <t>L0956</t>
  </si>
  <si>
    <t>L0957</t>
  </si>
  <si>
    <t>L0958</t>
  </si>
  <si>
    <t>L0959</t>
  </si>
  <si>
    <t>L0960</t>
  </si>
  <si>
    <t>L0961</t>
  </si>
  <si>
    <t>L0962</t>
  </si>
  <si>
    <t>L0963</t>
  </si>
  <si>
    <t>L0964</t>
  </si>
  <si>
    <t>L0965</t>
  </si>
  <si>
    <t>L0966</t>
  </si>
  <si>
    <t>L0967</t>
  </si>
  <si>
    <t>L0968</t>
  </si>
  <si>
    <t>L0969</t>
  </si>
  <si>
    <t>L0970</t>
  </si>
  <si>
    <t>L0971</t>
  </si>
  <si>
    <t>L0972</t>
  </si>
  <si>
    <t>L0973</t>
  </si>
  <si>
    <t>L0974</t>
  </si>
  <si>
    <t>L0975</t>
  </si>
  <si>
    <t>L0976</t>
  </si>
  <si>
    <t>L0977</t>
  </si>
  <si>
    <t>L0978</t>
  </si>
  <si>
    <t>L0979</t>
  </si>
  <si>
    <t>L0980</t>
  </si>
  <si>
    <t>L0981</t>
  </si>
  <si>
    <t>L0982</t>
  </si>
  <si>
    <t>L0983</t>
  </si>
  <si>
    <t>L0984</t>
  </si>
  <si>
    <t>L0985</t>
  </si>
  <si>
    <t>L0986</t>
  </si>
  <si>
    <t>L0987</t>
  </si>
  <si>
    <t>L0988</t>
  </si>
  <si>
    <t>L0989</t>
  </si>
  <si>
    <t>L0990</t>
  </si>
  <si>
    <t>L0991</t>
  </si>
  <si>
    <t>L0992</t>
  </si>
  <si>
    <t>L0993</t>
  </si>
  <si>
    <t>L0994</t>
  </si>
  <si>
    <t>L0995</t>
  </si>
  <si>
    <t>L0996</t>
  </si>
  <si>
    <t>L0997</t>
  </si>
  <si>
    <t>L0998</t>
  </si>
  <si>
    <t>L0999</t>
  </si>
  <si>
    <t>L1000</t>
  </si>
  <si>
    <t>Rohan Nair</t>
  </si>
  <si>
    <t>Deepika Joshi</t>
  </si>
  <si>
    <t>Pooja Reddy</t>
  </si>
  <si>
    <t>Raj Kumar</t>
  </si>
  <si>
    <t>Sneha Pillai</t>
  </si>
  <si>
    <t>Aarav Patel</t>
  </si>
  <si>
    <t>Kiran Menon</t>
  </si>
  <si>
    <t>Isha Verma</t>
  </si>
  <si>
    <t>Vikram Das</t>
  </si>
  <si>
    <t>Arjun Mehta</t>
  </si>
  <si>
    <t>Aditya Sharma</t>
  </si>
  <si>
    <t>Rina Kapoor</t>
  </si>
  <si>
    <t>Mohit Jain</t>
  </si>
  <si>
    <t>Neha Sharma</t>
  </si>
  <si>
    <t>Meena George</t>
  </si>
  <si>
    <t>Priya Singh</t>
  </si>
  <si>
    <t>Rohit Khanna</t>
  </si>
  <si>
    <t>Amit Yadav</t>
  </si>
  <si>
    <t>Tanya Rao</t>
  </si>
  <si>
    <t>Sahil Gupta</t>
  </si>
  <si>
    <t>M</t>
  </si>
  <si>
    <t>F</t>
  </si>
  <si>
    <t>Salaried</t>
  </si>
  <si>
    <t>Self-Employed</t>
  </si>
  <si>
    <t>Business</t>
  </si>
  <si>
    <t>Car Loan</t>
  </si>
  <si>
    <t>Business Loan</t>
  </si>
  <si>
    <t>Home Loan</t>
  </si>
  <si>
    <t>Personal Loan</t>
  </si>
  <si>
    <t>Default</t>
  </si>
  <si>
    <t>Paid</t>
  </si>
  <si>
    <t>South</t>
  </si>
  <si>
    <t>East</t>
  </si>
  <si>
    <t>North</t>
  </si>
  <si>
    <t>West</t>
  </si>
  <si>
    <t>Monthly EMI</t>
  </si>
  <si>
    <t>Total Payable Amount</t>
  </si>
  <si>
    <t>Interest Payable</t>
  </si>
  <si>
    <t>Loan Age</t>
  </si>
  <si>
    <t>Row Labels</t>
  </si>
  <si>
    <t>Grand Total</t>
  </si>
  <si>
    <t>Count of Loan_Status</t>
  </si>
  <si>
    <t>Sum of Loan_Amount</t>
  </si>
  <si>
    <t>Credit Score Range</t>
  </si>
  <si>
    <t>600-649</t>
  </si>
  <si>
    <t>650-699</t>
  </si>
  <si>
    <t>700-749</t>
  </si>
  <si>
    <t>750-799</t>
  </si>
  <si>
    <t>800-850</t>
  </si>
  <si>
    <t>2018</t>
  </si>
  <si>
    <t>2019</t>
  </si>
  <si>
    <t>2020</t>
  </si>
  <si>
    <t>2021</t>
  </si>
  <si>
    <t>2022</t>
  </si>
  <si>
    <t>2023</t>
  </si>
  <si>
    <t>2024</t>
  </si>
  <si>
    <t>Average of Interest_Rate</t>
  </si>
  <si>
    <t>Average of Loan_Amount</t>
  </si>
  <si>
    <t>Column Labels</t>
  </si>
  <si>
    <t>InstaBank – Loan Portfolio Risk Dashboard</t>
  </si>
  <si>
    <t>What is the total Loan Amount disbursed for each Loan_Type?</t>
  </si>
  <si>
    <t>Loan_type</t>
  </si>
  <si>
    <t>loan_amount</t>
  </si>
  <si>
    <t>Find the total Loan Amount disbursed in the “North” region for Paid loans.</t>
  </si>
  <si>
    <t>Answer--&gt;</t>
  </si>
  <si>
    <t>Calculate the average Annual Income of salaried customers who took a Car Loan.</t>
  </si>
  <si>
    <t>How many “Personal Loans” were issued to “Self-Employed” customers?</t>
  </si>
  <si>
    <t>Count of Employment_Type</t>
  </si>
  <si>
    <t>Find the % of Default Loans out of total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</si>
</sst>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43" formatCode="_ * #,##0.00_ ;_ * \-#,##0.00_ ;_ * &quot;-&quot;??_ ;_ @_ "/>
    <numFmt numFmtId="164" formatCode="yyyy\-mm\-dd"/>
    <numFmt numFmtId="165" formatCode="_ [$₹-4009]\ * #,##0_ ;_ [$₹-4009]\ * \-#,##0_ ;_ [$₹-4009]\ * &quot;-&quot;??_ ;_ @_ "/>
    <numFmt numFmtId="166" formatCode="_ [$₹-4009]\ * #,##0.00_ ;_ [$₹-4009]\ * \-#,##0.00_ ;_ [$₹-4009]\ * &quot;-&quot;??_ ;_ @_ "/>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20"/>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24">
    <xf numFmtId="0" fontId="0" fillId="0" borderId="0" xfId="0"/>
    <xf numFmtId="165" fontId="0" fillId="0" borderId="0" xfId="1" applyNumberFormat="1" applyFont="1"/>
    <xf numFmtId="0" fontId="1" fillId="2" borderId="1" xfId="0" applyFont="1" applyFill="1" applyBorder="1" applyAlignment="1">
      <alignment horizontal="center" vertical="top"/>
    </xf>
    <xf numFmtId="165" fontId="1" fillId="2" borderId="1" xfId="1" applyNumberFormat="1" applyFont="1" applyFill="1" applyBorder="1" applyAlignment="1">
      <alignment horizontal="center" vertical="top"/>
    </xf>
    <xf numFmtId="0" fontId="0" fillId="0" borderId="0" xfId="0" pivotButton="1"/>
    <xf numFmtId="0" fontId="0" fillId="0" borderId="0" xfId="0" applyAlignment="1">
      <alignment horizontal="left"/>
    </xf>
    <xf numFmtId="165" fontId="0" fillId="0" borderId="0" xfId="0" applyNumberFormat="1"/>
    <xf numFmtId="0" fontId="0" fillId="3" borderId="0" xfId="0" applyFill="1"/>
    <xf numFmtId="0" fontId="1" fillId="4" borderId="0" xfId="0" applyFont="1" applyFill="1"/>
    <xf numFmtId="166" fontId="0" fillId="0" borderId="0" xfId="0" applyNumberFormat="1"/>
    <xf numFmtId="0" fontId="1" fillId="2" borderId="1" xfId="0" applyFont="1" applyFill="1" applyBorder="1"/>
    <xf numFmtId="0" fontId="0" fillId="0" borderId="1" xfId="0" applyBorder="1"/>
    <xf numFmtId="165" fontId="0" fillId="0" borderId="1" xfId="1" applyNumberFormat="1" applyFont="1" applyBorder="1"/>
    <xf numFmtId="164" fontId="0" fillId="0" borderId="1" xfId="0" applyNumberFormat="1" applyBorder="1"/>
    <xf numFmtId="8" fontId="0" fillId="0" borderId="1" xfId="0" applyNumberFormat="1" applyBorder="1"/>
    <xf numFmtId="165" fontId="0" fillId="0" borderId="1" xfId="0" applyNumberFormat="1" applyBorder="1"/>
    <xf numFmtId="0" fontId="1" fillId="0" borderId="1" xfId="0" applyFont="1" applyBorder="1"/>
    <xf numFmtId="0" fontId="1" fillId="0" borderId="0" xfId="0" applyFont="1"/>
    <xf numFmtId="2" fontId="0" fillId="0" borderId="0" xfId="0" applyNumberFormat="1"/>
    <xf numFmtId="0" fontId="3" fillId="2" borderId="0" xfId="0" applyFont="1" applyFill="1" applyAlignment="1">
      <alignment horizontal="center"/>
    </xf>
    <xf numFmtId="0" fontId="0" fillId="2" borderId="0" xfId="0" applyFill="1" applyAlignment="1">
      <alignment horizontal="center"/>
    </xf>
    <xf numFmtId="0" fontId="0" fillId="5" borderId="0" xfId="0" applyFill="1" applyAlignment="1">
      <alignment horizontal="center" wrapText="1"/>
    </xf>
    <xf numFmtId="0" fontId="0" fillId="5" borderId="0" xfId="0" applyFill="1" applyAlignment="1">
      <alignment horizontal="center"/>
    </xf>
    <xf numFmtId="0" fontId="0" fillId="0" borderId="0" xfId="0" applyNumberFormat="1"/>
  </cellXfs>
  <cellStyles count="2">
    <cellStyle name="Comma" xfId="1" builtinId="3"/>
    <cellStyle name="Normal" xfId="0" builtinId="0"/>
  </cellStyles>
  <dxfs count="6">
    <dxf>
      <font>
        <color rgb="FF9C0006"/>
      </font>
      <fill>
        <patternFill>
          <bgColor rgb="FFFFC7CE"/>
        </patternFill>
      </fill>
    </dxf>
    <dxf>
      <font>
        <color rgb="FF006100"/>
      </font>
      <fill>
        <patternFill>
          <bgColor rgb="FFC6EFCE"/>
        </patternFill>
      </fill>
    </dxf>
    <dxf>
      <fill>
        <patternFill>
          <bgColor theme="9"/>
        </patternFill>
      </fill>
    </dxf>
    <dxf>
      <numFmt numFmtId="165" formatCode="_ [$₹-4009]\ * #,##0_ ;_ [$₹-4009]\ * \-#,##0_ ;_ [$₹-4009]\ * &quot;-&quot;??_ ;_ @_ "/>
    </dxf>
    <dxf>
      <numFmt numFmtId="167" formatCode="_ [$₹-4009]\ * #,##0.0_ ;_ [$₹-4009]\ * \-#,##0.0_ ;_ [$₹-4009]\ * &quot;-&quot;??_ ;_ @_ "/>
    </dxf>
    <dxf>
      <numFmt numFmtId="166" formatCode="_ [$₹-4009]\ * #,##0.00_ ;_ [$₹-4009]\ * \-#,##0.00_ ;_ [$₹-4009]\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[Financial_Risk_Analysis_Bank_CaseStudy.xlsx]Loantype vs loanstatus!PivotTable1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Loan</a:t>
            </a:r>
            <a:r>
              <a:rPr lang="en-IN" baseline="0"/>
              <a:t> type vs loan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'Loantype vs loanstatus'!$B$3:$B$4</c:f>
              <c:strCache>
                <c:ptCount val="1"/>
                <c:pt idx="0">
                  <c:v>Default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'Loantype vs loanstatus'!$A$5:$A$8</c:f>
              <c:strCache>
                <c:ptCount val="4"/>
                <c:pt idx="0">
                  <c:v>Business Loan</c:v>
                </c:pt>
                <c:pt idx="1">
                  <c:v>Car Loan</c:v>
                </c:pt>
                <c:pt idx="2">
                  <c:v>Home Loan</c:v>
                </c:pt>
                <c:pt idx="3">
                  <c:v>Personal Loan</c:v>
                </c:pt>
              </c:strCache>
            </c:strRef>
          </c:cat>
          <c:val>
            <c:numRef>
              <c:f>'Loantype vs loanstatus'!$B$5:$B$8</c:f>
              <c:numCache>
                <c:formatCode>General</c:formatCode>
                <c:ptCount val="4"/>
                <c:pt idx="0">
                  <c:v>52</c:v>
                </c:pt>
                <c:pt idx="1">
                  <c:v>45</c:v>
                </c:pt>
                <c:pt idx="2">
                  <c:v>46</c:v>
                </c:pt>
                <c:pt idx="3">
                  <c:v>53</c:v>
                </c:pt>
              </c:numCache>
            </c:numRef>
          </c:val>
          <c:extLst>
            <c:ext xmlns:c16="http://schemas.microsoft.com/office/drawing/2014/chart" uri="{C3380CC4-5D6E-409C-BE32-E72D297353CC}">
              <c16:uniqueId val="{00000000-D7AF-4312-89C7-B71C561887FA}"/>
            </c:ext>
          </c:extLst>
        </c:ser>
        <c:ser>
          <c:idx val="1"/>
          <c:order val="1"/>
          <c:tx>
            <c:strRef>
              <c:f>'Loantype vs loanstatus'!$C$3:$C$4</c:f>
              <c:strCache>
                <c:ptCount val="1"/>
                <c:pt idx="0">
                  <c:v>Paid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'Loantype vs loanstatus'!$A$5:$A$8</c:f>
              <c:strCache>
                <c:ptCount val="4"/>
                <c:pt idx="0">
                  <c:v>Business Loan</c:v>
                </c:pt>
                <c:pt idx="1">
                  <c:v>Car Loan</c:v>
                </c:pt>
                <c:pt idx="2">
                  <c:v>Home Loan</c:v>
                </c:pt>
                <c:pt idx="3">
                  <c:v>Personal Loan</c:v>
                </c:pt>
              </c:strCache>
            </c:strRef>
          </c:cat>
          <c:val>
            <c:numRef>
              <c:f>'Loantype vs loanstatus'!$C$5:$C$8</c:f>
              <c:numCache>
                <c:formatCode>General</c:formatCode>
                <c:ptCount val="4"/>
                <c:pt idx="0">
                  <c:v>206</c:v>
                </c:pt>
                <c:pt idx="1">
                  <c:v>208</c:v>
                </c:pt>
                <c:pt idx="2">
                  <c:v>201</c:v>
                </c:pt>
                <c:pt idx="3">
                  <c:v>189</c:v>
                </c:pt>
              </c:numCache>
            </c:numRef>
          </c:val>
          <c:extLst>
            <c:ext xmlns:c16="http://schemas.microsoft.com/office/drawing/2014/chart" uri="{C3380CC4-5D6E-409C-BE32-E72D297353CC}">
              <c16:uniqueId val="{00000001-D7AF-4312-89C7-B71C561887FA}"/>
            </c:ext>
          </c:extLst>
        </c:ser>
        <c:dLbls>
          <c:dLblPos val="outEnd"/>
          <c:showLegendKey val="0"/>
          <c:showVal val="1"/>
          <c:showCatName val="0"/>
          <c:showSerName val="0"/>
          <c:showPercent val="0"/>
          <c:showBubbleSize val="0"/>
        </c:dLbls>
        <c:gapWidth val="100"/>
        <c:overlap val="-24"/>
        <c:axId val="1757619728"/>
        <c:axId val="1757636528"/>
      </c:barChart>
      <c:catAx>
        <c:axId val="1757619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36528"/>
        <c:crosses val="autoZero"/>
        <c:auto val="1"/>
        <c:lblAlgn val="ctr"/>
        <c:lblOffset val="100"/>
        <c:noMultiLvlLbl val="0"/>
      </c:catAx>
      <c:valAx>
        <c:axId val="1757636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1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[Financial_Risk_Analysis_Bank_CaseStudy.xlsx]region vs loanstatus!PivotTable2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vs loanstatus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'region vs loanstatus'!$B$3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850-420F-963A-6149DF97C61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850-420F-963A-6149DF97C61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850-420F-963A-6149DF97C61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850-420F-963A-6149DF97C6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vs loanstatus'!$A$4:$A$8</c:f>
              <c:strCache>
                <c:ptCount val="4"/>
                <c:pt idx="0">
                  <c:v>East</c:v>
                </c:pt>
                <c:pt idx="1">
                  <c:v>North</c:v>
                </c:pt>
                <c:pt idx="2">
                  <c:v>South</c:v>
                </c:pt>
                <c:pt idx="3">
                  <c:v>West</c:v>
                </c:pt>
              </c:strCache>
            </c:strRef>
          </c:cat>
          <c:val>
            <c:numRef>
              <c:f>'region vs loanstatus'!$B$4:$B$8</c:f>
              <c:numCache>
                <c:formatCode>General</c:formatCode>
                <c:ptCount val="4"/>
                <c:pt idx="0">
                  <c:v>57</c:v>
                </c:pt>
                <c:pt idx="1">
                  <c:v>49</c:v>
                </c:pt>
                <c:pt idx="2">
                  <c:v>47</c:v>
                </c:pt>
                <c:pt idx="3">
                  <c:v>43</c:v>
                </c:pt>
              </c:numCache>
            </c:numRef>
          </c:val>
          <c:extLst>
            <c:ext xmlns:c16="http://schemas.microsoft.com/office/drawing/2014/chart" uri="{C3380CC4-5D6E-409C-BE32-E72D297353CC}">
              <c16:uniqueId val="{00000000-3C22-4F43-A04C-C7248B3D81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[Financial_Risk_Analysis_Bank_CaseStudy.xlsx]Emplomenttype vs loanamount!PivotTable3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Employement type</a:t>
            </a:r>
            <a:r>
              <a:rPr lang="en-US" baseline="0"/>
              <a:t> vs avg loan amount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'Emplomenttype vs loanamount'!$B$3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'Emplomenttype vs loanamount'!$A$4:$A$6</c:f>
              <c:strCache>
                <c:ptCount val="3"/>
                <c:pt idx="0">
                  <c:v>Business</c:v>
                </c:pt>
                <c:pt idx="1">
                  <c:v>Salaried</c:v>
                </c:pt>
                <c:pt idx="2">
                  <c:v>Self-Employed</c:v>
                </c:pt>
              </c:strCache>
            </c:strRef>
          </c:cat>
          <c:val>
            <c:numRef>
              <c:f>'Emplomenttype vs loanamount'!$B$4:$B$6</c:f>
              <c:numCache>
                <c:formatCode>_ [$₹-4009]\ * #,##0_ ;_ [$₹-4009]\ * \-#,##0_ ;_ [$₹-4009]\ * "-"??_ ;_ @_ </c:formatCode>
                <c:ptCount val="3"/>
                <c:pt idx="0">
                  <c:v>1091415.6578171093</c:v>
                </c:pt>
                <c:pt idx="1">
                  <c:v>1079794.3695014662</c:v>
                </c:pt>
                <c:pt idx="2">
                  <c:v>1059649.175</c:v>
                </c:pt>
              </c:numCache>
            </c:numRef>
          </c:val>
          <c:extLst>
            <c:ext xmlns:c16="http://schemas.microsoft.com/office/drawing/2014/chart" uri="{C3380CC4-5D6E-409C-BE32-E72D297353CC}">
              <c16:uniqueId val="{00000000-A3FE-4A2F-A2A2-19AC8F6818C5}"/>
            </c:ext>
          </c:extLst>
        </c:ser>
        <c:dLbls>
          <c:dLblPos val="outEnd"/>
          <c:showLegendKey val="0"/>
          <c:showVal val="1"/>
          <c:showCatName val="0"/>
          <c:showSerName val="0"/>
          <c:showPercent val="0"/>
          <c:showBubbleSize val="0"/>
        </c:dLbls>
        <c:gapWidth val="115"/>
        <c:overlap val="-20"/>
        <c:axId val="1757639408"/>
        <c:axId val="1757639888"/>
      </c:barChart>
      <c:catAx>
        <c:axId val="17576394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39888"/>
        <c:crosses val="autoZero"/>
        <c:auto val="1"/>
        <c:lblAlgn val="ctr"/>
        <c:lblOffset val="100"/>
        <c:noMultiLvlLbl val="0"/>
      </c:catAx>
      <c:valAx>
        <c:axId val="1757639888"/>
        <c:scaling>
          <c:orientation val="minMax"/>
        </c:scaling>
        <c:delete val="0"/>
        <c:axPos val="b"/>
        <c:majorGridlines>
          <c:spPr>
            <a:ln w="9525" cap="flat" cmpd="sng" algn="ctr">
              <a:solidFill>
                <a:schemeClr val="lt1">
                  <a:lumMod val="95000"/>
                  <a:alpha val="10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3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[Financial_Risk_Analysis_Bank_CaseStudy.xlsx]creditscoregroup vs loanstatus!PivotTable4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creditscoregroup</a:t>
            </a:r>
            <a:r>
              <a:rPr lang="en-US" baseline="0"/>
              <a:t> vs loanstatus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'creditscoregroup vs loanstatus'!$B$3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'creditscoregroup vs loanstatus'!$A$4:$A$9</c:f>
              <c:strCache>
                <c:ptCount val="5"/>
                <c:pt idx="0">
                  <c:v>600-649</c:v>
                </c:pt>
                <c:pt idx="1">
                  <c:v>650-699</c:v>
                </c:pt>
                <c:pt idx="2">
                  <c:v>700-749</c:v>
                </c:pt>
                <c:pt idx="3">
                  <c:v>750-799</c:v>
                </c:pt>
                <c:pt idx="4">
                  <c:v>800-850</c:v>
                </c:pt>
              </c:strCache>
            </c:strRef>
          </c:cat>
          <c:val>
            <c:numRef>
              <c:f>'creditscoregroup vs loanstatus'!$B$4:$B$9</c:f>
              <c:numCache>
                <c:formatCode>General</c:formatCode>
                <c:ptCount val="5"/>
                <c:pt idx="0">
                  <c:v>47</c:v>
                </c:pt>
                <c:pt idx="1">
                  <c:v>36</c:v>
                </c:pt>
                <c:pt idx="2">
                  <c:v>42</c:v>
                </c:pt>
                <c:pt idx="3">
                  <c:v>39</c:v>
                </c:pt>
                <c:pt idx="4">
                  <c:v>32</c:v>
                </c:pt>
              </c:numCache>
            </c:numRef>
          </c:val>
          <c:smooth val="0"/>
          <c:extLst>
            <c:ext xmlns:c16="http://schemas.microsoft.com/office/drawing/2014/chart" uri="{C3380CC4-5D6E-409C-BE32-E72D297353CC}">
              <c16:uniqueId val="{00000000-94AB-460C-BBD2-748FAB54D25B}"/>
            </c:ext>
          </c:extLst>
        </c:ser>
        <c:dLbls>
          <c:dLblPos val="t"/>
          <c:showLegendKey val="0"/>
          <c:showVal val="1"/>
          <c:showCatName val="0"/>
          <c:showSerName val="0"/>
          <c:showPercent val="0"/>
          <c:showBubbleSize val="0"/>
        </c:dLbls>
        <c:marker val="1"/>
        <c:smooth val="0"/>
        <c:axId val="1757652368"/>
        <c:axId val="1757659088"/>
      </c:lineChart>
      <c:catAx>
        <c:axId val="17576523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7659088"/>
        <c:crosses val="autoZero"/>
        <c:auto val="1"/>
        <c:lblAlgn val="ctr"/>
        <c:lblOffset val="100"/>
        <c:noMultiLvlLbl val="0"/>
      </c:catAx>
      <c:valAx>
        <c:axId val="1757659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765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[Financial_Risk_Analysis_Bank_CaseStudy.xlsx]year vs loan amount!PivotTable5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Loans</a:t>
            </a:r>
            <a:r>
              <a:rPr lang="en-IN" baseline="0"/>
              <a:t> issued by years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vs loan amount'!$B$3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vs loan amount'!$A$4:$A$10</c:f>
              <c:strCache>
                <c:ptCount val="7"/>
                <c:pt idx="0">
                  <c:v>2018</c:v>
                </c:pt>
                <c:pt idx="1">
                  <c:v>2019</c:v>
                </c:pt>
                <c:pt idx="2">
                  <c:v>2020</c:v>
                </c:pt>
                <c:pt idx="3">
                  <c:v>2021</c:v>
                </c:pt>
                <c:pt idx="4">
                  <c:v>2022</c:v>
                </c:pt>
                <c:pt idx="5">
                  <c:v>2023</c:v>
                </c:pt>
                <c:pt idx="6">
                  <c:v>2024</c:v>
                </c:pt>
              </c:strCache>
            </c:strRef>
          </c:cat>
          <c:val>
            <c:numRef>
              <c:f>'year vs loan amount'!$B$4:$B$10</c:f>
              <c:numCache>
                <c:formatCode>_ [$₹-4009]\ * #,##0_ ;_ [$₹-4009]\ * \-#,##0_ ;_ [$₹-4009]\ * "-"??_ ;_ @_ </c:formatCode>
                <c:ptCount val="7"/>
                <c:pt idx="0">
                  <c:v>171340915</c:v>
                </c:pt>
                <c:pt idx="1">
                  <c:v>160134041</c:v>
                </c:pt>
                <c:pt idx="2">
                  <c:v>140250258</c:v>
                </c:pt>
                <c:pt idx="3">
                  <c:v>156088949</c:v>
                </c:pt>
                <c:pt idx="4">
                  <c:v>146004441</c:v>
                </c:pt>
                <c:pt idx="5">
                  <c:v>161576276</c:v>
                </c:pt>
                <c:pt idx="6">
                  <c:v>141892644</c:v>
                </c:pt>
              </c:numCache>
            </c:numRef>
          </c:val>
          <c:extLst>
            <c:ext xmlns:c16="http://schemas.microsoft.com/office/drawing/2014/chart" uri="{C3380CC4-5D6E-409C-BE32-E72D297353CC}">
              <c16:uniqueId val="{00000000-6968-47F1-92F5-038BDA77B1B0}"/>
            </c:ext>
          </c:extLst>
        </c:ser>
        <c:dLbls>
          <c:showLegendKey val="0"/>
          <c:showVal val="0"/>
          <c:showCatName val="0"/>
          <c:showSerName val="0"/>
          <c:showPercent val="0"/>
          <c:showBubbleSize val="0"/>
        </c:dLbls>
        <c:gapWidth val="100"/>
        <c:overlap val="-24"/>
        <c:axId val="1623800464"/>
        <c:axId val="1623811504"/>
      </c:barChart>
      <c:catAx>
        <c:axId val="1623800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3811504"/>
        <c:crosses val="autoZero"/>
        <c:auto val="1"/>
        <c:lblAlgn val="ctr"/>
        <c:lblOffset val="100"/>
        <c:noMultiLvlLbl val="0"/>
      </c:catAx>
      <c:valAx>
        <c:axId val="1623811504"/>
        <c:scaling>
          <c:orientation val="minMax"/>
        </c:scaling>
        <c:delete val="0"/>
        <c:axPos val="l"/>
        <c:majorGridlines>
          <c:spPr>
            <a:ln w="9525" cap="flat" cmpd="sng" algn="ctr">
              <a:solidFill>
                <a:schemeClr val="lt1">
                  <a:lumMod val="95000"/>
                  <a:alpha val="10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380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[Financial_Risk_Analysis_Bank_CaseStudy.xlsx]creditscoregroup vs loanstatus!PivotTable4</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creditscoregroup</a:t>
            </a:r>
            <a:r>
              <a:rPr lang="en-US" baseline="0"/>
              <a:t> vs loanstatus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'creditscoregroup vs loanstatus'!$B$3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'creditscoregroup vs loanstatus'!$A$4:$A$9</c:f>
              <c:strCache>
                <c:ptCount val="5"/>
                <c:pt idx="0">
                  <c:v>600-649</c:v>
                </c:pt>
                <c:pt idx="1">
                  <c:v>650-699</c:v>
                </c:pt>
                <c:pt idx="2">
                  <c:v>700-749</c:v>
                </c:pt>
                <c:pt idx="3">
                  <c:v>750-799</c:v>
                </c:pt>
                <c:pt idx="4">
                  <c:v>800-850</c:v>
                </c:pt>
              </c:strCache>
            </c:strRef>
          </c:cat>
          <c:val>
            <c:numRef>
              <c:f>'creditscoregroup vs loanstatus'!$B$4:$B$9</c:f>
              <c:numCache>
                <c:formatCode>General</c:formatCode>
                <c:ptCount val="5"/>
                <c:pt idx="0">
                  <c:v>47</c:v>
                </c:pt>
                <c:pt idx="1">
                  <c:v>36</c:v>
                </c:pt>
                <c:pt idx="2">
                  <c:v>42</c:v>
                </c:pt>
                <c:pt idx="3">
                  <c:v>39</c:v>
                </c:pt>
                <c:pt idx="4">
                  <c:v>32</c:v>
                </c:pt>
              </c:numCache>
            </c:numRef>
          </c:val>
          <c:smooth val="0"/>
          <c:extLst>
            <c:ext xmlns:c16="http://schemas.microsoft.com/office/drawing/2014/chart" uri="{C3380CC4-5D6E-409C-BE32-E72D297353CC}">
              <c16:uniqueId val="{00000000-FB08-4160-9A4A-BB8E30472A92}"/>
            </c:ext>
          </c:extLst>
        </c:ser>
        <c:dLbls>
          <c:dLblPos val="t"/>
          <c:showLegendKey val="0"/>
          <c:showVal val="1"/>
          <c:showCatName val="0"/>
          <c:showSerName val="0"/>
          <c:showPercent val="0"/>
          <c:showBubbleSize val="0"/>
        </c:dLbls>
        <c:marker val="1"/>
        <c:smooth val="0"/>
        <c:axId val="1757652368"/>
        <c:axId val="1757659088"/>
      </c:lineChart>
      <c:catAx>
        <c:axId val="17576523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7659088"/>
        <c:crosses val="autoZero"/>
        <c:auto val="1"/>
        <c:lblAlgn val="ctr"/>
        <c:lblOffset val="100"/>
        <c:noMultiLvlLbl val="0"/>
      </c:catAx>
      <c:valAx>
        <c:axId val="1757659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765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[Financial_Risk_Analysis_Bank_CaseStudy.xlsx]Emplomenttype vs loanamount!PivotTable3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Employement type</a:t>
            </a:r>
            <a:r>
              <a:rPr lang="en-US" baseline="0"/>
              <a:t> vs avg loan amount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'Emplomenttype vs loanamount'!$B$3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'Emplomenttype vs loanamount'!$A$4:$A$6</c:f>
              <c:strCache>
                <c:ptCount val="3"/>
                <c:pt idx="0">
                  <c:v>Business</c:v>
                </c:pt>
                <c:pt idx="1">
                  <c:v>Salaried</c:v>
                </c:pt>
                <c:pt idx="2">
                  <c:v>Self-Employed</c:v>
                </c:pt>
              </c:strCache>
            </c:strRef>
          </c:cat>
          <c:val>
            <c:numRef>
              <c:f>'Emplomenttype vs loanamount'!$B$4:$B$6</c:f>
              <c:numCache>
                <c:formatCode>_ [$₹-4009]\ * #,##0_ ;_ [$₹-4009]\ * \-#,##0_ ;_ [$₹-4009]\ * "-"??_ ;_ @_ </c:formatCode>
                <c:ptCount val="3"/>
                <c:pt idx="0">
                  <c:v>1091415.6578171093</c:v>
                </c:pt>
                <c:pt idx="1">
                  <c:v>1079794.3695014662</c:v>
                </c:pt>
                <c:pt idx="2">
                  <c:v>1059649.175</c:v>
                </c:pt>
              </c:numCache>
            </c:numRef>
          </c:val>
          <c:extLst>
            <c:ext xmlns:c16="http://schemas.microsoft.com/office/drawing/2014/chart" uri="{C3380CC4-5D6E-409C-BE32-E72D297353CC}">
              <c16:uniqueId val="{00000000-0565-47B9-884A-0B5E2B1A43DE}"/>
            </c:ext>
          </c:extLst>
        </c:ser>
        <c:dLbls>
          <c:dLblPos val="outEnd"/>
          <c:showLegendKey val="0"/>
          <c:showVal val="1"/>
          <c:showCatName val="0"/>
          <c:showSerName val="0"/>
          <c:showPercent val="0"/>
          <c:showBubbleSize val="0"/>
        </c:dLbls>
        <c:gapWidth val="115"/>
        <c:overlap val="-20"/>
        <c:axId val="1757639408"/>
        <c:axId val="1757639888"/>
      </c:barChart>
      <c:catAx>
        <c:axId val="175763940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39888"/>
        <c:crosses val="autoZero"/>
        <c:auto val="1"/>
        <c:lblAlgn val="ctr"/>
        <c:lblOffset val="100"/>
        <c:noMultiLvlLbl val="0"/>
      </c:catAx>
      <c:valAx>
        <c:axId val="1757639888"/>
        <c:scaling>
          <c:orientation val="minMax"/>
        </c:scaling>
        <c:delete val="0"/>
        <c:axPos val="b"/>
        <c:majorGridlines>
          <c:spPr>
            <a:ln w="9525" cap="flat" cmpd="sng" algn="ctr">
              <a:solidFill>
                <a:schemeClr val="lt1">
                  <a:lumMod val="95000"/>
                  <a:alpha val="10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3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[Financial_Risk_Analysis_Bank_CaseStudy.xlsx]region vs loanstatus!PivotTable2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vs loanstatus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'region vs loanstatus'!$B$3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A7B-4748-818F-B1872B057CC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A7B-4748-818F-B1872B057CC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A7B-4748-818F-B1872B057CC3}"/>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A7B-4748-818F-B1872B057C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'region vs loanstatus'!$A$4:$A$8</c:f>
              <c:strCache>
                <c:ptCount val="4"/>
                <c:pt idx="0">
                  <c:v>East</c:v>
                </c:pt>
                <c:pt idx="1">
                  <c:v>North</c:v>
                </c:pt>
                <c:pt idx="2">
                  <c:v>South</c:v>
                </c:pt>
                <c:pt idx="3">
                  <c:v>West</c:v>
                </c:pt>
              </c:strCache>
            </c:strRef>
          </c:cat>
          <c:val>
            <c:numRef>
              <c:f>'region vs loanstatus'!$B$4:$B$8</c:f>
              <c:numCache>
                <c:formatCode>General</c:formatCode>
                <c:ptCount val="4"/>
                <c:pt idx="0">
                  <c:v>57</c:v>
                </c:pt>
                <c:pt idx="1">
                  <c:v>49</c:v>
                </c:pt>
                <c:pt idx="2">
                  <c:v>47</c:v>
                </c:pt>
                <c:pt idx="3">
                  <c:v>43</c:v>
                </c:pt>
              </c:numCache>
            </c:numRef>
          </c:val>
          <c:extLst>
            <c:ext xmlns:c16="http://schemas.microsoft.com/office/drawing/2014/chart" uri="{C3380CC4-5D6E-409C-BE32-E72D297353CC}">
              <c16:uniqueId val="{00000008-0A7B-4748-818F-B1872B057CC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[Financial_Risk_Analysis_Bank_CaseStudy.xlsx]Loantype vs loanstatus!PivotTable1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Loan</a:t>
            </a:r>
            <a:r>
              <a:rPr lang="en-IN" baseline="0"/>
              <a:t> type vs loan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'Loantype vs loanstatus'!$B$3:$B$4</c:f>
              <c:strCache>
                <c:ptCount val="1"/>
                <c:pt idx="0">
                  <c:v>Default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'Loantype vs loanstatus'!$A$5:$A$8</c:f>
              <c:strCache>
                <c:ptCount val="4"/>
                <c:pt idx="0">
                  <c:v>Business Loan</c:v>
                </c:pt>
                <c:pt idx="1">
                  <c:v>Car Loan</c:v>
                </c:pt>
                <c:pt idx="2">
                  <c:v>Home Loan</c:v>
                </c:pt>
                <c:pt idx="3">
                  <c:v>Personal Loan</c:v>
                </c:pt>
              </c:strCache>
            </c:strRef>
          </c:cat>
          <c:val>
            <c:numRef>
              <c:f>'Loantype vs loanstatus'!$B$5:$B$8</c:f>
              <c:numCache>
                <c:formatCode>General</c:formatCode>
                <c:ptCount val="4"/>
                <c:pt idx="0">
                  <c:v>52</c:v>
                </c:pt>
                <c:pt idx="1">
                  <c:v>45</c:v>
                </c:pt>
                <c:pt idx="2">
                  <c:v>46</c:v>
                </c:pt>
                <c:pt idx="3">
                  <c:v>53</c:v>
                </c:pt>
              </c:numCache>
            </c:numRef>
          </c:val>
          <c:extLst>
            <c:ext xmlns:c16="http://schemas.microsoft.com/office/drawing/2014/chart" uri="{C3380CC4-5D6E-409C-BE32-E72D297353CC}">
              <c16:uniqueId val="{00000000-C76D-4547-8466-9E2F93E89E21}"/>
            </c:ext>
          </c:extLst>
        </c:ser>
        <c:ser>
          <c:idx val="1"/>
          <c:order val="1"/>
          <c:tx>
            <c:strRef>
              <c:f>'Loantype vs loanstatus'!$C$3:$C$4</c:f>
              <c:strCache>
                <c:ptCount val="1"/>
                <c:pt idx="0">
                  <c:v>Paid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'Loantype vs loanstatus'!$A$5:$A$8</c:f>
              <c:strCache>
                <c:ptCount val="4"/>
                <c:pt idx="0">
                  <c:v>Business Loan</c:v>
                </c:pt>
                <c:pt idx="1">
                  <c:v>Car Loan</c:v>
                </c:pt>
                <c:pt idx="2">
                  <c:v>Home Loan</c:v>
                </c:pt>
                <c:pt idx="3">
                  <c:v>Personal Loan</c:v>
                </c:pt>
              </c:strCache>
            </c:strRef>
          </c:cat>
          <c:val>
            <c:numRef>
              <c:f>'Loantype vs loanstatus'!$C$5:$C$8</c:f>
              <c:numCache>
                <c:formatCode>General</c:formatCode>
                <c:ptCount val="4"/>
                <c:pt idx="0">
                  <c:v>206</c:v>
                </c:pt>
                <c:pt idx="1">
                  <c:v>208</c:v>
                </c:pt>
                <c:pt idx="2">
                  <c:v>201</c:v>
                </c:pt>
                <c:pt idx="3">
                  <c:v>189</c:v>
                </c:pt>
              </c:numCache>
            </c:numRef>
          </c:val>
          <c:extLst>
            <c:ext xmlns:c16="http://schemas.microsoft.com/office/drawing/2014/chart" uri="{C3380CC4-5D6E-409C-BE32-E72D297353CC}">
              <c16:uniqueId val="{00000001-C76D-4547-8466-9E2F93E89E21}"/>
            </c:ext>
          </c:extLst>
        </c:ser>
        <c:dLbls>
          <c:dLblPos val="outEnd"/>
          <c:showLegendKey val="0"/>
          <c:showVal val="1"/>
          <c:showCatName val="0"/>
          <c:showSerName val="0"/>
          <c:showPercent val="0"/>
          <c:showBubbleSize val="0"/>
        </c:dLbls>
        <c:gapWidth val="100"/>
        <c:overlap val="-24"/>
        <c:axId val="1757619728"/>
        <c:axId val="1757636528"/>
      </c:barChart>
      <c:catAx>
        <c:axId val="1757619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36528"/>
        <c:crosses val="autoZero"/>
        <c:auto val="1"/>
        <c:lblAlgn val="ctr"/>
        <c:lblOffset val="100"/>
        <c:noMultiLvlLbl val="0"/>
      </c:catAx>
      <c:valAx>
        <c:axId val="1757636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19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[Financial_Risk_Analysis_Bank_CaseStudy.xlsx]loantype vs interestrate!PivotTable1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loantype</a:t>
            </a:r>
            <a:r>
              <a:rPr lang="en-IN" baseline="0"/>
              <a:t> vs I,A</a:t>
            </a:r>
            <a:endParaRPr lang="en-IN"/>
          </a:p>
        </c:rich>
      </c:tx>
      <c:layout>
        <c:manualLayout>
          <c:xMode val="edge"/>
          <c:yMode val="edge"/>
          <c:x val="9.8614476075105963E-3"/>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50398027169676E-2"/>
          <c:y val="0.18300925925925926"/>
          <c:w val="0.76318987770759428"/>
          <c:h val="0.70959135316418775"/>
        </c:manualLayout>
      </c:layout>
      <c:barChart>
        <c:barDir val="col"/>
        <c:grouping val="clustered"/>
        <c:varyColors val="0"/>
        <c:ser>
          <c:idx val="0"/>
          <c:order val="0"/>
          <c:tx>
            <c:strRef>
              <c:f>'loantype vs interestrate'!$B$3</c:f>
              <c:strCache>
                <c:ptCount val="1"/>
                <c:pt idx="0">
                  <c:v>Average of Interest_Rate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'loantype vs interestrate'!$A$4:$A$7</c:f>
              <c:strCache>
                <c:ptCount val="4"/>
                <c:pt idx="0">
                  <c:v>Business Loan</c:v>
                </c:pt>
                <c:pt idx="1">
                  <c:v>Car Loan</c:v>
                </c:pt>
                <c:pt idx="2">
                  <c:v>Home Loan</c:v>
                </c:pt>
                <c:pt idx="3">
                  <c:v>Personal Loan</c:v>
                </c:pt>
              </c:strCache>
            </c:strRef>
          </c:cat>
          <c:val>
            <c:numRef>
              <c:f>'loantype vs interestrate'!$B$4:$B$7</c:f>
              <c:numCache>
                <c:formatCode>General</c:formatCode>
                <c:ptCount val="4"/>
                <c:pt idx="0">
                  <c:v>11.356007751937977</c:v>
                </c:pt>
                <c:pt idx="1">
                  <c:v>11.261264822134391</c:v>
                </c:pt>
                <c:pt idx="2">
                  <c:v>11.340404858299587</c:v>
                </c:pt>
                <c:pt idx="3">
                  <c:v>11.566322314049582</c:v>
                </c:pt>
              </c:numCache>
            </c:numRef>
          </c:val>
          <c:extLst>
            <c:ext xmlns:c16="http://schemas.microsoft.com/office/drawing/2014/chart" uri="{C3380CC4-5D6E-409C-BE32-E72D297353CC}">
              <c16:uniqueId val="{00000000-9AF6-44AB-89CE-5BBA128FD66B}"/>
            </c:ext>
          </c:extLst>
        </c:ser>
        <c:dLbls>
          <c:showLegendKey val="0"/>
          <c:showVal val="0"/>
          <c:showCatName val="0"/>
          <c:showSerName val="0"/>
          <c:showPercent val="0"/>
          <c:showBubbleSize val="0"/>
        </c:dLbls>
        <c:gapWidth val="219"/>
        <c:overlap val="-27"/>
        <c:axId val="1757661968"/>
        <c:axId val="1757657168"/>
      </c:barChart>
      <c:lineChart>
        <c:grouping val="standard"/>
        <c:varyColors val="0"/>
        <c:ser>
          <c:idx val="1"/>
          <c:order val="1"/>
          <c:tx>
            <c:strRef>
              <c:f>'loantype vs interestrate'!$C$3</c:f>
              <c:strCache>
                <c:ptCount val="1"/>
                <c:pt idx="0">
                  <c:v>Average of Loan_Amount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'loantype vs interestrate'!$A$4:$A$7</c:f>
              <c:strCache>
                <c:ptCount val="4"/>
                <c:pt idx="0">
                  <c:v>Business Loan</c:v>
                </c:pt>
                <c:pt idx="1">
                  <c:v>Car Loan</c:v>
                </c:pt>
                <c:pt idx="2">
                  <c:v>Home Loan</c:v>
                </c:pt>
                <c:pt idx="3">
                  <c:v>Personal Loan</c:v>
                </c:pt>
              </c:strCache>
            </c:strRef>
          </c:cat>
          <c:val>
            <c:numRef>
              <c:f>'loantype vs interestrate'!$C$4:$C$7</c:f>
              <c:numCache>
                <c:formatCode>_ [$₹-4009]\ * #,##0_ ;_ [$₹-4009]\ * \-#,##0_ ;_ [$₹-4009]\ * "-"??_ ;_ @_ </c:formatCode>
                <c:ptCount val="4"/>
                <c:pt idx="0">
                  <c:v>1091587.9069767443</c:v>
                </c:pt>
                <c:pt idx="1">
                  <c:v>1080481.4703557312</c:v>
                </c:pt>
                <c:pt idx="2">
                  <c:v>1069508.9271255061</c:v>
                </c:pt>
                <c:pt idx="3">
                  <c:v>1066641.8471074379</c:v>
                </c:pt>
              </c:numCache>
            </c:numRef>
          </c:val>
          <c:smooth val="0"/>
          <c:extLst>
            <c:ext xmlns:c16="http://schemas.microsoft.com/office/drawing/2014/chart" uri="{C3380CC4-5D6E-409C-BE32-E72D297353CC}">
              <c16:uniqueId val="{00000001-9AF6-44AB-89CE-5BBA128FD66B}"/>
            </c:ext>
          </c:extLst>
        </c:ser>
        <c:dLbls>
          <c:showLegendKey val="0"/>
          <c:showVal val="0"/>
          <c:showCatName val="0"/>
          <c:showSerName val="0"/>
          <c:showPercent val="0"/>
          <c:showBubbleSize val="0"/>
        </c:dLbls>
        <c:marker val="1"/>
        <c:smooth val="0"/>
        <c:axId val="1757653328"/>
        <c:axId val="1757667248"/>
      </c:lineChart>
      <c:catAx>
        <c:axId val="1757661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57168"/>
        <c:crosses val="autoZero"/>
        <c:auto val="1"/>
        <c:lblAlgn val="ctr"/>
        <c:lblOffset val="100"/>
        <c:noMultiLvlLbl val="0"/>
      </c:catAx>
      <c:valAx>
        <c:axId val="1757657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61968"/>
        <c:crosses val="autoZero"/>
        <c:crossBetween val="between"/>
      </c:valAx>
      <c:valAx>
        <c:axId val="1757667248"/>
        <c:scaling>
          <c:orientation val="minMax"/>
        </c:scaling>
        <c:delete val="0"/>
        <c:axPos val="r"/>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53328"/>
        <c:crosses val="max"/>
        <c:crossBetween val="between"/>
      </c:valAx>
      <c:catAx>
        <c:axId val="1757653328"/>
        <c:scaling>
          <c:orientation val="minMax"/>
        </c:scaling>
        <c:delete val="1"/>
        <c:axPos val="b"/>
        <c:numFmt formatCode="General" sourceLinked="1"/>
        <c:majorTickMark val="none"/>
        <c:minorTickMark val="none"/>
        <c:tickLblPos val="nextTo"/>
        <c:crossAx val="1757667248"/>
        <c:crosses val="autoZero"/>
        <c:auto val="1"/>
        <c:lblAlgn val="ctr"/>
        <c:lblOffset val="100"/>
        <c:noMultiLvlLbl val="0"/>
      </c:catAx>
      <c:spPr>
        <a:noFill/>
        <a:ln>
          <a:noFill/>
        </a:ln>
        <a:effectLst/>
      </c:spPr>
    </c:plotArea>
    <c:legend>
      <c:legendPos val="r"/>
      <c:layout>
        <c:manualLayout>
          <c:xMode val="edge"/>
          <c:yMode val="edge"/>
          <c:x val="0.42044323786449772"/>
          <c:y val="1.5693715368912221E-2"/>
          <c:w val="0.5543736119523521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[Financial_Risk_Analysis_Bank_CaseStudy.xlsx]year vs loan amount!PivotTable5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Loans</a:t>
            </a:r>
            <a:r>
              <a:rPr lang="en-IN" baseline="0"/>
              <a:t> issued by years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vs loan amount'!$B$3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'year vs loan amount'!$A$4:$A$10</c:f>
              <c:strCache>
                <c:ptCount val="7"/>
                <c:pt idx="0">
                  <c:v>2018</c:v>
                </c:pt>
                <c:pt idx="1">
                  <c:v>2019</c:v>
                </c:pt>
                <c:pt idx="2">
                  <c:v>2020</c:v>
                </c:pt>
                <c:pt idx="3">
                  <c:v>2021</c:v>
                </c:pt>
                <c:pt idx="4">
                  <c:v>2022</c:v>
                </c:pt>
                <c:pt idx="5">
                  <c:v>2023</c:v>
                </c:pt>
                <c:pt idx="6">
                  <c:v>2024</c:v>
                </c:pt>
              </c:strCache>
            </c:strRef>
          </c:cat>
          <c:val>
            <c:numRef>
              <c:f>'year vs loan amount'!$B$4:$B$10</c:f>
              <c:numCache>
                <c:formatCode>_ [$₹-4009]\ * #,##0_ ;_ [$₹-4009]\ * \-#,##0_ ;_ [$₹-4009]\ * "-"??_ ;_ @_ </c:formatCode>
                <c:ptCount val="7"/>
                <c:pt idx="0">
                  <c:v>171340915</c:v>
                </c:pt>
                <c:pt idx="1">
                  <c:v>160134041</c:v>
                </c:pt>
                <c:pt idx="2">
                  <c:v>140250258</c:v>
                </c:pt>
                <c:pt idx="3">
                  <c:v>156088949</c:v>
                </c:pt>
                <c:pt idx="4">
                  <c:v>146004441</c:v>
                </c:pt>
                <c:pt idx="5">
                  <c:v>161576276</c:v>
                </c:pt>
                <c:pt idx="6">
                  <c:v>141892644</c:v>
                </c:pt>
              </c:numCache>
            </c:numRef>
          </c:val>
          <c:extLst>
            <c:ext xmlns:c16="http://schemas.microsoft.com/office/drawing/2014/chart" uri="{C3380CC4-5D6E-409C-BE32-E72D297353CC}">
              <c16:uniqueId val="{00000000-90AE-4A40-9134-94857DF20D5C}"/>
            </c:ext>
          </c:extLst>
        </c:ser>
        <c:dLbls>
          <c:showLegendKey val="0"/>
          <c:showVal val="0"/>
          <c:showCatName val="0"/>
          <c:showSerName val="0"/>
          <c:showPercent val="0"/>
          <c:showBubbleSize val="0"/>
        </c:dLbls>
        <c:gapWidth val="100"/>
        <c:overlap val="-24"/>
        <c:axId val="1623800464"/>
        <c:axId val="1623811504"/>
      </c:barChart>
      <c:catAx>
        <c:axId val="16238004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3811504"/>
        <c:crosses val="autoZero"/>
        <c:auto val="1"/>
        <c:lblAlgn val="ctr"/>
        <c:lblOffset val="100"/>
        <c:noMultiLvlLbl val="0"/>
      </c:catAx>
      <c:valAx>
        <c:axId val="1623811504"/>
        <c:scaling>
          <c:orientation val="minMax"/>
        </c:scaling>
        <c:delete val="0"/>
        <c:axPos val="l"/>
        <c:majorGridlines>
          <c:spPr>
            <a:ln w="9525" cap="flat" cmpd="sng" algn="ctr">
              <a:solidFill>
                <a:schemeClr val="lt1">
                  <a:lumMod val="95000"/>
                  <a:alpha val="10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380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[Financial_Risk_Analysis_Bank_CaseStudy.xlsx]loantype vs interestrate!PivotTable1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loantype</a:t>
            </a:r>
            <a:r>
              <a:rPr lang="en-IN" baseline="0"/>
              <a:t> vs I,A</a:t>
            </a:r>
            <a:endParaRPr lang="en-IN"/>
          </a:p>
        </c:rich>
      </c:tx>
      <c:layout>
        <c:manualLayout>
          <c:xMode val="edge"/>
          <c:yMode val="edge"/>
          <c:x val="9.8614476075105963E-3"/>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50398027169676E-2"/>
          <c:y val="0.18300925925925926"/>
          <c:w val="0.76318987770759428"/>
          <c:h val="0.70959135316418775"/>
        </c:manualLayout>
      </c:layout>
      <c:barChart>
        <c:barDir val="col"/>
        <c:grouping val="clustered"/>
        <c:varyColors val="0"/>
        <c:ser>
          <c:idx val="0"/>
          <c:order val="0"/>
          <c:tx>
            <c:strRef>
              <c:f>'loantype vs interestrate'!$B$3</c:f>
              <c:strCache>
                <c:ptCount val="1"/>
                <c:pt idx="0">
                  <c:v>Average of Interest_Rate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'loantype vs interestrate'!$A$4:$A$7</c:f>
              <c:strCache>
                <c:ptCount val="4"/>
                <c:pt idx="0">
                  <c:v>Business Loan</c:v>
                </c:pt>
                <c:pt idx="1">
                  <c:v>Car Loan</c:v>
                </c:pt>
                <c:pt idx="2">
                  <c:v>Home Loan</c:v>
                </c:pt>
                <c:pt idx="3">
                  <c:v>Personal Loan</c:v>
                </c:pt>
              </c:strCache>
            </c:strRef>
          </c:cat>
          <c:val>
            <c:numRef>
              <c:f>'loantype vs interestrate'!$B$4:$B$7</c:f>
              <c:numCache>
                <c:formatCode>General</c:formatCode>
                <c:ptCount val="4"/>
                <c:pt idx="0">
                  <c:v>11.356007751937977</c:v>
                </c:pt>
                <c:pt idx="1">
                  <c:v>11.261264822134391</c:v>
                </c:pt>
                <c:pt idx="2">
                  <c:v>11.340404858299587</c:v>
                </c:pt>
                <c:pt idx="3">
                  <c:v>11.566322314049582</c:v>
                </c:pt>
              </c:numCache>
            </c:numRef>
          </c:val>
          <c:extLst>
            <c:ext xmlns:c16="http://schemas.microsoft.com/office/drawing/2014/chart" uri="{C3380CC4-5D6E-409C-BE32-E72D297353CC}">
              <c16:uniqueId val="{00000000-B0F8-4EB9-BAB6-217E98B91B42}"/>
            </c:ext>
          </c:extLst>
        </c:ser>
        <c:dLbls>
          <c:showLegendKey val="0"/>
          <c:showVal val="0"/>
          <c:showCatName val="0"/>
          <c:showSerName val="0"/>
          <c:showPercent val="0"/>
          <c:showBubbleSize val="0"/>
        </c:dLbls>
        <c:gapWidth val="219"/>
        <c:overlap val="-27"/>
        <c:axId val="1757661968"/>
        <c:axId val="1757657168"/>
      </c:barChart>
      <c:lineChart>
        <c:grouping val="standard"/>
        <c:varyColors val="0"/>
        <c:ser>
          <c:idx val="1"/>
          <c:order val="1"/>
          <c:tx>
            <c:strRef>
              <c:f>'loantype vs interestrate'!$C$3</c:f>
              <c:strCache>
                <c:ptCount val="1"/>
                <c:pt idx="0">
                  <c:v>Average of Loan_Amount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'loantype vs interestrate'!$A$4:$A$7</c:f>
              <c:strCache>
                <c:ptCount val="4"/>
                <c:pt idx="0">
                  <c:v>Business Loan</c:v>
                </c:pt>
                <c:pt idx="1">
                  <c:v>Car Loan</c:v>
                </c:pt>
                <c:pt idx="2">
                  <c:v>Home Loan</c:v>
                </c:pt>
                <c:pt idx="3">
                  <c:v>Personal Loan</c:v>
                </c:pt>
              </c:strCache>
            </c:strRef>
          </c:cat>
          <c:val>
            <c:numRef>
              <c:f>'loantype vs interestrate'!$C$4:$C$7</c:f>
              <c:numCache>
                <c:formatCode>_ [$₹-4009]\ * #,##0_ ;_ [$₹-4009]\ * \-#,##0_ ;_ [$₹-4009]\ * "-"??_ ;_ @_ </c:formatCode>
                <c:ptCount val="4"/>
                <c:pt idx="0">
                  <c:v>1091587.9069767443</c:v>
                </c:pt>
                <c:pt idx="1">
                  <c:v>1080481.4703557312</c:v>
                </c:pt>
                <c:pt idx="2">
                  <c:v>1069508.9271255061</c:v>
                </c:pt>
                <c:pt idx="3">
                  <c:v>1066641.8471074379</c:v>
                </c:pt>
              </c:numCache>
            </c:numRef>
          </c:val>
          <c:smooth val="0"/>
          <c:extLst>
            <c:ext xmlns:c16="http://schemas.microsoft.com/office/drawing/2014/chart" uri="{C3380CC4-5D6E-409C-BE32-E72D297353CC}">
              <c16:uniqueId val="{00000001-B0F8-4EB9-BAB6-217E98B91B42}"/>
            </c:ext>
          </c:extLst>
        </c:ser>
        <c:dLbls>
          <c:showLegendKey val="0"/>
          <c:showVal val="0"/>
          <c:showCatName val="0"/>
          <c:showSerName val="0"/>
          <c:showPercent val="0"/>
          <c:showBubbleSize val="0"/>
        </c:dLbls>
        <c:marker val="1"/>
        <c:smooth val="0"/>
        <c:axId val="1757653328"/>
        <c:axId val="1757667248"/>
      </c:lineChart>
      <c:catAx>
        <c:axId val="17576619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57168"/>
        <c:crosses val="autoZero"/>
        <c:auto val="1"/>
        <c:lblAlgn val="ctr"/>
        <c:lblOffset val="100"/>
        <c:noMultiLvlLbl val="0"/>
      </c:catAx>
      <c:valAx>
        <c:axId val="1757657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61968"/>
        <c:crosses val="autoZero"/>
        <c:crossBetween val="between"/>
      </c:valAx>
      <c:valAx>
        <c:axId val="1757667248"/>
        <c:scaling>
          <c:orientation val="minMax"/>
        </c:scaling>
        <c:delete val="0"/>
        <c:axPos val="r"/>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7653328"/>
        <c:crosses val="max"/>
        <c:crossBetween val="between"/>
      </c:valAx>
      <c:catAx>
        <c:axId val="1757653328"/>
        <c:scaling>
          <c:orientation val="minMax"/>
        </c:scaling>
        <c:delete val="1"/>
        <c:axPos val="b"/>
        <c:numFmt formatCode="General" sourceLinked="1"/>
        <c:majorTickMark val="none"/>
        <c:minorTickMark val="none"/>
        <c:tickLblPos val="nextTo"/>
        <c:crossAx val="1757667248"/>
        <c:crosses val="autoZero"/>
        <c:auto val="1"/>
        <c:lblAlgn val="ctr"/>
        <c:lblOffset val="100"/>
        <c:noMultiLvlLbl val="0"/>
      </c:catAx>
      <c:spPr>
        <a:noFill/>
        <a:ln>
          <a:noFill/>
        </a:ln>
        <a:effectLst/>
      </c:spPr>
    </c:plotArea>
    <c:legend>
      <c:legendPos val="r"/>
      <c:layout>
        <c:manualLayout>
          <c:xMode val="edge"/>
          <c:yMode val="edge"/>
          <c:x val="0.42044323786449772"/>
          <c:y val="1.5693715368912221E-2"/>
          <c:w val="0.5543736119523521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464820</xdr:colOff>
      <xdr:row>8</xdr:row>
      <xdr:rowOff>137160</xdr:rowOff>
    </xdr:from>
    <xdr:to>
      <xdr:col>12</xdr:col>
      <xdr:colOff>160020</xdr:colOff>
      <xdr:row>23</xdr:row>
      <xdr:rowOff>137160</xdr:rowOff>
    </xdr:to>
    <xdr:graphicFrame macro="">
      <xdr:nvGraphicFramePr>
        <xdr:cNvPr id="2" name="Chart 1">
          <a:extLst>
            <a:ext uri="{FF2B5EF4-FFF2-40B4-BE49-F238E27FC236}">
              <a16:creationId xmlns:a16="http://schemas.microsoft.com/office/drawing/2014/main" id="{DF1B64BE-8720-5492-46DD-EDF4D8935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175260</xdr:colOff>
      <xdr:row>8</xdr:row>
      <xdr:rowOff>137160</xdr:rowOff>
    </xdr:from>
    <xdr:to>
      <xdr:col>13</xdr:col>
      <xdr:colOff>480060</xdr:colOff>
      <xdr:row>23</xdr:row>
      <xdr:rowOff>137160</xdr:rowOff>
    </xdr:to>
    <xdr:graphicFrame macro="">
      <xdr:nvGraphicFramePr>
        <xdr:cNvPr id="3" name="Chart 2">
          <a:extLst>
            <a:ext uri="{FF2B5EF4-FFF2-40B4-BE49-F238E27FC236}">
              <a16:creationId xmlns:a16="http://schemas.microsoft.com/office/drawing/2014/main" id="{BD266356-73EC-57C6-9B5C-1A4FF5CC7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129540</xdr:colOff>
      <xdr:row>8</xdr:row>
      <xdr:rowOff>137160</xdr:rowOff>
    </xdr:from>
    <xdr:to>
      <xdr:col>11</xdr:col>
      <xdr:colOff>434340</xdr:colOff>
      <xdr:row>23</xdr:row>
      <xdr:rowOff>137160</xdr:rowOff>
    </xdr:to>
    <xdr:graphicFrame macro="">
      <xdr:nvGraphicFramePr>
        <xdr:cNvPr id="2" name="Chart 1">
          <a:extLst>
            <a:ext uri="{FF2B5EF4-FFF2-40B4-BE49-F238E27FC236}">
              <a16:creationId xmlns:a16="http://schemas.microsoft.com/office/drawing/2014/main" id="{129BA503-D581-6252-EE96-C4D88F3F8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457200</xdr:colOff>
      <xdr:row>8</xdr:row>
      <xdr:rowOff>137160</xdr:rowOff>
    </xdr:from>
    <xdr:to>
      <xdr:col>11</xdr:col>
      <xdr:colOff>152400</xdr:colOff>
      <xdr:row>23</xdr:row>
      <xdr:rowOff>137160</xdr:rowOff>
    </xdr:to>
    <xdr:graphicFrame macro="">
      <xdr:nvGraphicFramePr>
        <xdr:cNvPr id="2" name="Chart 1">
          <a:extLst>
            <a:ext uri="{FF2B5EF4-FFF2-40B4-BE49-F238E27FC236}">
              <a16:creationId xmlns:a16="http://schemas.microsoft.com/office/drawing/2014/main" id="{0114A71E-23BB-A0FF-53DE-D4BA31CEA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6</xdr:col>
      <xdr:colOff>518160</xdr:colOff>
      <xdr:row>14</xdr:row>
      <xdr:rowOff>38100</xdr:rowOff>
    </xdr:to>
    <xdr:graphicFrame macro="">
      <xdr:nvGraphicFramePr>
        <xdr:cNvPr id="2" name="Chart 1">
          <a:extLst>
            <a:ext uri="{FF2B5EF4-FFF2-40B4-BE49-F238E27FC236}">
              <a16:creationId xmlns:a16="http://schemas.microsoft.com/office/drawing/2014/main" id="{CA0FF4F1-8167-4379-8810-B5AAAB5D4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68580</xdr:colOff>
      <xdr:row>1</xdr:row>
      <xdr:rowOff>167640</xdr:rowOff>
    </xdr:from>
    <xdr:to>
      <xdr:col>12</xdr:col>
      <xdr:colOff>449580</xdr:colOff>
      <xdr:row>14</xdr:row>
      <xdr:rowOff>38100</xdr:rowOff>
    </xdr:to>
    <xdr:graphicFrame macro="">
      <xdr:nvGraphicFramePr>
        <xdr:cNvPr id="3" name="Chart 2">
          <a:extLst>
            <a:ext uri="{FF2B5EF4-FFF2-40B4-BE49-F238E27FC236}">
              <a16:creationId xmlns:a16="http://schemas.microsoft.com/office/drawing/2014/main" id="{812E8C3F-48B1-47F0-B8D8-9FF26FD2CB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xdr:row>
      <xdr:rowOff>0</xdr:rowOff>
    </xdr:from>
    <xdr:to>
      <xdr:col>18</xdr:col>
      <xdr:colOff>518160</xdr:colOff>
      <xdr:row>14</xdr:row>
      <xdr:rowOff>38100</xdr:rowOff>
    </xdr:to>
    <xdr:graphicFrame macro="">
      <xdr:nvGraphicFramePr>
        <xdr:cNvPr id="4" name="Chart 3">
          <a:extLst>
            <a:ext uri="{FF2B5EF4-FFF2-40B4-BE49-F238E27FC236}">
              <a16:creationId xmlns:a16="http://schemas.microsoft.com/office/drawing/2014/main" id="{3AAC79E5-3829-409F-8E56-53B8C8405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0</xdr:rowOff>
    </xdr:from>
    <xdr:to>
      <xdr:col>6</xdr:col>
      <xdr:colOff>533400</xdr:colOff>
      <xdr:row>30</xdr:row>
      <xdr:rowOff>0</xdr:rowOff>
    </xdr:to>
    <xdr:graphicFrame macro="">
      <xdr:nvGraphicFramePr>
        <xdr:cNvPr id="5" name="Chart 4">
          <a:extLst>
            <a:ext uri="{FF2B5EF4-FFF2-40B4-BE49-F238E27FC236}">
              <a16:creationId xmlns:a16="http://schemas.microsoft.com/office/drawing/2014/main" id="{F80ACA44-E9A4-4CFB-B351-529914B7B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15</xdr:row>
      <xdr:rowOff>0</xdr:rowOff>
    </xdr:from>
    <xdr:to>
      <xdr:col>12</xdr:col>
      <xdr:colOff>449580</xdr:colOff>
      <xdr:row>30</xdr:row>
      <xdr:rowOff>0</xdr:rowOff>
    </xdr:to>
    <xdr:graphicFrame macro="">
      <xdr:nvGraphicFramePr>
        <xdr:cNvPr id="6" name="Chart 5">
          <a:extLst>
            <a:ext uri="{FF2B5EF4-FFF2-40B4-BE49-F238E27FC236}">
              <a16:creationId xmlns:a16="http://schemas.microsoft.com/office/drawing/2014/main" id="{266CC419-938C-4B80-9B97-3B843FAD3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15</xdr:row>
      <xdr:rowOff>0</xdr:rowOff>
    </xdr:from>
    <xdr:to>
      <xdr:col>18</xdr:col>
      <xdr:colOff>548640</xdr:colOff>
      <xdr:row>30</xdr:row>
      <xdr:rowOff>0</xdr:rowOff>
    </xdr:to>
    <xdr:graphicFrame macro="">
      <xdr:nvGraphicFramePr>
        <xdr:cNvPr id="7" name="Chart 6">
          <a:extLst>
            <a:ext uri="{FF2B5EF4-FFF2-40B4-BE49-F238E27FC236}">
              <a16:creationId xmlns:a16="http://schemas.microsoft.com/office/drawing/2014/main" id="{45A9866C-157D-45D5-8416-67FD607F0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137160</xdr:colOff>
      <xdr:row>19</xdr:row>
      <xdr:rowOff>1</xdr:rowOff>
    </xdr:from>
    <xdr:to>
      <xdr:col>22</xdr:col>
      <xdr:colOff>137160</xdr:colOff>
      <xdr:row>25</xdr:row>
      <xdr:rowOff>60961</xdr:rowOff>
    </xdr:to>
    <mc:AlternateContent xmlns:mc="http://schemas.openxmlformats.org/markup-compatibility/2006" xmlns:a14="http://schemas.microsoft.com/office/drawing/2010/main">
      <mc:Choice Requires="a14">
        <xdr:graphicFrame macro="">
          <xdr:nvGraphicFramePr>
            <xdr:cNvPr id="8" name="Employment_Type">
              <a:extLst>
                <a:ext uri="{FF2B5EF4-FFF2-40B4-BE49-F238E27FC236}">
                  <a16:creationId xmlns:a16="http://schemas.microsoft.com/office/drawing/2014/main" id="{717019BB-224A-E2C3-3352-98C620C210BC}"/>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11719560" y="347472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137160</xdr:colOff>
      <xdr:row>2</xdr:row>
      <xdr:rowOff>114301</xdr:rowOff>
    </xdr:from>
    <xdr:to>
      <xdr:col>22</xdr:col>
      <xdr:colOff>137160</xdr:colOff>
      <xdr:row>10</xdr:row>
      <xdr:rowOff>129541</xdr:rowOff>
    </xdr:to>
    <mc:AlternateContent xmlns:mc="http://schemas.openxmlformats.org/markup-compatibility/2006" xmlns:a14="http://schemas.microsoft.com/office/drawing/2010/main">
      <mc:Choice Requires="a14">
        <xdr:graphicFrame macro="">
          <xdr:nvGraphicFramePr>
            <xdr:cNvPr id="9" name="Loan_Type">
              <a:extLst>
                <a:ext uri="{FF2B5EF4-FFF2-40B4-BE49-F238E27FC236}">
                  <a16:creationId xmlns:a16="http://schemas.microsoft.com/office/drawing/2014/main" id="{FFB734B3-A379-8F24-F756-735138AB4B40}"/>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mlns="">
        <xdr:sp macro="" textlink="">
          <xdr:nvSpPr>
            <xdr:cNvPr id="0" name=""/>
            <xdr:cNvSpPr>
              <a:spLocks noTextEdit="1"/>
            </xdr:cNvSpPr>
          </xdr:nvSpPr>
          <xdr:spPr>
            <a:xfrm>
              <a:off x="11719560" y="480061"/>
              <a:ext cx="18288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129540</xdr:colOff>
      <xdr:row>10</xdr:row>
      <xdr:rowOff>167641</xdr:rowOff>
    </xdr:from>
    <xdr:to>
      <xdr:col>22</xdr:col>
      <xdr:colOff>129540</xdr:colOff>
      <xdr:row>18</xdr:row>
      <xdr:rowOff>137161</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2F5F8BD5-8239-3328-11B3-A8A34116E9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11940" y="199644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358140</xdr:colOff>
      <xdr:row>8</xdr:row>
      <xdr:rowOff>137160</xdr:rowOff>
    </xdr:from>
    <xdr:to>
      <xdr:col>12</xdr:col>
      <xdr:colOff>53340</xdr:colOff>
      <xdr:row>23</xdr:row>
      <xdr:rowOff>137160</xdr:rowOff>
    </xdr:to>
    <xdr:graphicFrame macro="">
      <xdr:nvGraphicFramePr>
        <xdr:cNvPr id="2" name="Chart 1">
          <a:extLst>
            <a:ext uri="{FF2B5EF4-FFF2-40B4-BE49-F238E27FC236}">
              <a16:creationId xmlns:a16="http://schemas.microsoft.com/office/drawing/2014/main" id="{268D1C3C-E23E-A237-1818-2A3E4FE48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876300</xdr:colOff>
      <xdr:row>8</xdr:row>
      <xdr:rowOff>137160</xdr:rowOff>
    </xdr:from>
    <xdr:to>
      <xdr:col>10</xdr:col>
      <xdr:colOff>586740</xdr:colOff>
      <xdr:row>23</xdr:row>
      <xdr:rowOff>137160</xdr:rowOff>
    </xdr:to>
    <xdr:graphicFrame macro="">
      <xdr:nvGraphicFramePr>
        <xdr:cNvPr id="2" name="Chart 1">
          <a:extLst>
            <a:ext uri="{FF2B5EF4-FFF2-40B4-BE49-F238E27FC236}">
              <a16:creationId xmlns:a16="http://schemas.microsoft.com/office/drawing/2014/main" id="{F53E9B82-3B7B-C4A9-1F41-E7B4B504C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dengai" refreshedDate="45945.507511805554" createdVersion="6" refreshedVersion="6" minRefreshableVersion="3" recordCount="1000" xr:uid="{00000000-000A-0000-FFFF-FFFF07000000}">
  <cacheSource type="worksheet">
    <worksheetSource ref="A1:R1001" sheet="Financial data"/>
  </cacheSource>
  <cacheFields count="18">
    <cacheField name="Loan_ID" numFmtId="0">
      <sharedItems/>
    </cacheField>
    <cacheField name="Customer_Name" numFmtId="0">
      <sharedItems/>
    </cacheField>
    <cacheField name="Age" numFmtId="0">
      <sharedItems containsSemiMixedTypes="0" containsString="0" containsNumber="1" containsInteger="1" minValue="25" maxValue="60"/>
    </cacheField>
    <cacheField name="Gender" numFmtId="0">
      <sharedItems/>
    </cacheField>
    <cacheField name="Employment_Type" numFmtId="0">
      <sharedItems count="3">
        <s v="Salaried"/>
        <s v="Self-Employed"/>
        <s v="Business"/>
      </sharedItems>
    </cacheField>
    <cacheField name="Annual_Income" numFmtId="165">
      <sharedItems containsSemiMixedTypes="0" containsString="0" containsNumber="1" containsInteger="1" minValue="300405" maxValue="1999759"/>
    </cacheField>
    <cacheField name="Loan_Amount" numFmtId="165">
      <sharedItems containsSemiMixedTypes="0" containsString="0" containsNumber="1" containsInteger="1" minValue="200991" maxValue="1998199"/>
    </cacheField>
    <cacheField name="Interest_Rate" numFmtId="0">
      <sharedItems containsSemiMixedTypes="0" containsString="0" containsNumber="1" minValue="7.51" maxValue="14.99"/>
    </cacheField>
    <cacheField name="Loan_Term_Months" numFmtId="0">
      <sharedItems containsSemiMixedTypes="0" containsString="0" containsNumber="1" containsInteger="1" minValue="36" maxValue="120"/>
    </cacheField>
    <cacheField name="Credit_Score" numFmtId="0">
      <sharedItems containsSemiMixedTypes="0" containsString="0" containsNumber="1" containsInteger="1" minValue="600" maxValue="850"/>
    </cacheField>
    <cacheField name="Loan_Type" numFmtId="0">
      <sharedItems count="4">
        <s v="Car Loan"/>
        <s v="Business Loan"/>
        <s v="Home Loan"/>
        <s v="Personal Loan"/>
      </sharedItems>
    </cacheField>
    <cacheField name="Loan_Status" numFmtId="0">
      <sharedItems count="2">
        <s v="Default"/>
        <s v="Paid"/>
      </sharedItems>
    </cacheField>
    <cacheField name="Issue_Date" numFmtId="164">
      <sharedItems containsSemiMixedTypes="0" containsNonDate="0" containsDate="1" containsString="0" minDate="2018-01-04T00:00:00" maxDate="2024-11-02T00:00:00"/>
    </cacheField>
    <cacheField name="Region" numFmtId="0">
      <sharedItems count="4">
        <s v="South"/>
        <s v="East"/>
        <s v="North"/>
        <s v="West"/>
      </sharedItems>
    </cacheField>
    <cacheField name="Monthly EMI" numFmtId="8">
      <sharedItems containsSemiMixedTypes="0" containsString="0" containsNumber="1" minValue="2772.0655177000626" maxValue="65259.024935977781"/>
    </cacheField>
    <cacheField name="Total Payable Amount" numFmtId="8">
      <sharedItems containsSemiMixedTypes="0" containsString="0" containsNumber="1" minValue="245381.94577834875" maxValue="3421833.0560425315"/>
    </cacheField>
    <cacheField name="Interest Payable" numFmtId="8">
      <sharedItems containsSemiMixedTypes="0" containsString="0" containsNumber="1" minValue="33170.610456784867" maxValue="1632706.0560425315"/>
    </cacheField>
    <cacheField name="Loan Age" numFmtId="0">
      <sharedItems containsSemiMixedTypes="0" containsString="0"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dengai" refreshedDate="45945.52109652778" createdVersion="6" refreshedVersion="6" minRefreshableVersion="3" recordCount="1000" xr:uid="{00000000-000A-0000-FFFF-FFFF0C000000}">
  <cacheSource type="worksheet">
    <worksheetSource ref="A1:S1001" sheet="Financial data"/>
  </cacheSource>
  <cacheFields count="22">
    <cacheField name="Loan_ID" numFmtId="0">
      <sharedItems/>
    </cacheField>
    <cacheField name="Customer_Name" numFmtId="0">
      <sharedItems/>
    </cacheField>
    <cacheField name="Age" numFmtId="0">
      <sharedItems containsSemiMixedTypes="0" containsString="0" containsNumber="1" containsInteger="1" minValue="25" maxValue="60"/>
    </cacheField>
    <cacheField name="Gender" numFmtId="0">
      <sharedItems/>
    </cacheField>
    <cacheField name="Employment_Type" numFmtId="0">
      <sharedItems count="3">
        <s v="Salaried"/>
        <s v="Self-Employed"/>
        <s v="Business"/>
      </sharedItems>
    </cacheField>
    <cacheField name="Annual_Income" numFmtId="165">
      <sharedItems containsSemiMixedTypes="0" containsString="0" containsNumber="1" containsInteger="1" minValue="300405" maxValue="1999759"/>
    </cacheField>
    <cacheField name="Loan_Amount" numFmtId="165">
      <sharedItems containsSemiMixedTypes="0" containsString="0" containsNumber="1" containsInteger="1" minValue="200991" maxValue="1998199"/>
    </cacheField>
    <cacheField name="Interest_Rate" numFmtId="0">
      <sharedItems containsSemiMixedTypes="0" containsString="0" containsNumber="1" minValue="7.51" maxValue="14.99"/>
    </cacheField>
    <cacheField name="Loan_Term_Months" numFmtId="0">
      <sharedItems containsSemiMixedTypes="0" containsString="0" containsNumber="1" containsInteger="1" minValue="36" maxValue="120"/>
    </cacheField>
    <cacheField name="Credit_Score" numFmtId="0">
      <sharedItems containsSemiMixedTypes="0" containsString="0" containsNumber="1" containsInteger="1" minValue="600" maxValue="850"/>
    </cacheField>
    <cacheField name="Loan_Type" numFmtId="0">
      <sharedItems count="4">
        <s v="Car Loan"/>
        <s v="Business Loan"/>
        <s v="Home Loan"/>
        <s v="Personal Loan"/>
      </sharedItems>
    </cacheField>
    <cacheField name="Loan_Status" numFmtId="0">
      <sharedItems count="2">
        <s v="Default"/>
        <s v="Paid"/>
      </sharedItems>
    </cacheField>
    <cacheField name="Issue_Date" numFmtId="164">
      <sharedItems containsSemiMixedTypes="0" containsNonDate="0" containsDate="1" containsString="0" minDate="2018-01-04T00:00:00" maxDate="2024-11-02T00:00:00" count="821">
        <d v="2019-08-17T00:00:00"/>
        <d v="2018-01-23T00:00:00"/>
        <d v="2018-06-26T00:00:00"/>
        <d v="2020-01-30T00:00:00"/>
        <d v="2018-05-03T00:00:00"/>
        <d v="2023-12-13T00:00:00"/>
        <d v="2022-08-15T00:00:00"/>
        <d v="2018-06-14T00:00:00"/>
        <d v="2024-01-19T00:00:00"/>
        <d v="2023-04-20T00:00:00"/>
        <d v="2021-10-18T00:00:00"/>
        <d v="2018-01-19T00:00:00"/>
        <d v="2021-01-27T00:00:00"/>
        <d v="2021-04-09T00:00:00"/>
        <d v="2018-11-22T00:00:00"/>
        <d v="2023-05-17T00:00:00"/>
        <d v="2022-08-10T00:00:00"/>
        <d v="2021-11-27T00:00:00"/>
        <d v="2023-02-05T00:00:00"/>
        <d v="2024-01-27T00:00:00"/>
        <d v="2018-03-01T00:00:00"/>
        <d v="2022-11-15T00:00:00"/>
        <d v="2024-01-25T00:00:00"/>
        <d v="2024-06-16T00:00:00"/>
        <d v="2018-08-18T00:00:00"/>
        <d v="2022-05-02T00:00:00"/>
        <d v="2022-07-09T00:00:00"/>
        <d v="2023-07-12T00:00:00"/>
        <d v="2023-09-20T00:00:00"/>
        <d v="2019-08-21T00:00:00"/>
        <d v="2023-03-16T00:00:00"/>
        <d v="2022-01-08T00:00:00"/>
        <d v="2022-02-07T00:00:00"/>
        <d v="2019-08-29T00:00:00"/>
        <d v="2019-07-04T00:00:00"/>
        <d v="2024-04-01T00:00:00"/>
        <d v="2019-07-10T00:00:00"/>
        <d v="2023-06-08T00:00:00"/>
        <d v="2019-04-11T00:00:00"/>
        <d v="2024-01-23T00:00:00"/>
        <d v="2021-11-06T00:00:00"/>
        <d v="2020-12-26T00:00:00"/>
        <d v="2018-11-15T00:00:00"/>
        <d v="2023-09-15T00:00:00"/>
        <d v="2020-12-08T00:00:00"/>
        <d v="2020-02-28T00:00:00"/>
        <d v="2020-09-15T00:00:00"/>
        <d v="2023-11-17T00:00:00"/>
        <d v="2024-09-29T00:00:00"/>
        <d v="2020-06-03T00:00:00"/>
        <d v="2020-10-27T00:00:00"/>
        <d v="2021-11-23T00:00:00"/>
        <d v="2024-11-01T00:00:00"/>
        <d v="2022-05-26T00:00:00"/>
        <d v="2019-08-23T00:00:00"/>
        <d v="2021-05-26T00:00:00"/>
        <d v="2022-02-14T00:00:00"/>
        <d v="2020-04-08T00:00:00"/>
        <d v="2018-12-16T00:00:00"/>
        <d v="2023-08-27T00:00:00"/>
        <d v="2021-11-22T00:00:00"/>
        <d v="2021-09-19T00:00:00"/>
        <d v="2024-03-22T00:00:00"/>
        <d v="2018-01-04T00:00:00"/>
        <d v="2022-08-03T00:00:00"/>
        <d v="2023-07-02T00:00:00"/>
        <d v="2022-03-31T00:00:00"/>
        <d v="2021-10-16T00:00:00"/>
        <d v="2019-09-12T00:00:00"/>
        <d v="2018-09-30T00:00:00"/>
        <d v="2023-01-18T00:00:00"/>
        <d v="2023-07-29T00:00:00"/>
        <d v="2021-11-25T00:00:00"/>
        <d v="2019-05-23T00:00:00"/>
        <d v="2022-12-15T00:00:00"/>
        <d v="2024-08-01T00:00:00"/>
        <d v="2023-10-28T00:00:00"/>
        <d v="2021-12-16T00:00:00"/>
        <d v="2019-06-02T00:00:00"/>
        <d v="2023-08-25T00:00:00"/>
        <d v="2024-05-14T00:00:00"/>
        <d v="2020-05-29T00:00:00"/>
        <d v="2022-02-22T00:00:00"/>
        <d v="2023-08-16T00:00:00"/>
        <d v="2020-11-27T00:00:00"/>
        <d v="2018-10-15T00:00:00"/>
        <d v="2022-08-08T00:00:00"/>
        <d v="2024-08-20T00:00:00"/>
        <d v="2021-10-06T00:00:00"/>
        <d v="2018-09-02T00:00:00"/>
        <d v="2021-06-17T00:00:00"/>
        <d v="2021-03-23T00:00:00"/>
        <d v="2018-04-11T00:00:00"/>
        <d v="2023-11-01T00:00:00"/>
        <d v="2023-02-28T00:00:00"/>
        <d v="2023-07-15T00:00:00"/>
        <d v="2021-05-31T00:00:00"/>
        <d v="2019-02-04T00:00:00"/>
        <d v="2021-04-30T00:00:00"/>
        <d v="2024-02-01T00:00:00"/>
        <d v="2023-06-29T00:00:00"/>
        <d v="2022-12-23T00:00:00"/>
        <d v="2018-10-25T00:00:00"/>
        <d v="2022-01-21T00:00:00"/>
        <d v="2018-09-21T00:00:00"/>
        <d v="2019-01-12T00:00:00"/>
        <d v="2018-12-04T00:00:00"/>
        <d v="2020-02-15T00:00:00"/>
        <d v="2020-03-07T00:00:00"/>
        <d v="2020-01-28T00:00:00"/>
        <d v="2021-11-15T00:00:00"/>
        <d v="2021-10-15T00:00:00"/>
        <d v="2021-10-04T00:00:00"/>
        <d v="2022-01-04T00:00:00"/>
        <d v="2020-01-14T00:00:00"/>
        <d v="2021-10-19T00:00:00"/>
        <d v="2023-05-07T00:00:00"/>
        <d v="2023-08-02T00:00:00"/>
        <d v="2022-09-10T00:00:00"/>
        <d v="2022-08-21T00:00:00"/>
        <d v="2018-02-13T00:00:00"/>
        <d v="2022-04-20T00:00:00"/>
        <d v="2019-12-12T00:00:00"/>
        <d v="2022-09-03T00:00:00"/>
        <d v="2024-04-12T00:00:00"/>
        <d v="2022-06-27T00:00:00"/>
        <d v="2024-08-29T00:00:00"/>
        <d v="2021-02-12T00:00:00"/>
        <d v="2020-05-16T00:00:00"/>
        <d v="2023-07-18T00:00:00"/>
        <d v="2018-06-09T00:00:00"/>
        <d v="2019-10-08T00:00:00"/>
        <d v="2020-03-16T00:00:00"/>
        <d v="2022-03-16T00:00:00"/>
        <d v="2023-05-12T00:00:00"/>
        <d v="2021-07-07T00:00:00"/>
        <d v="2023-10-19T00:00:00"/>
        <d v="2018-05-12T00:00:00"/>
        <d v="2019-01-27T00:00:00"/>
        <d v="2022-07-07T00:00:00"/>
        <d v="2020-12-01T00:00:00"/>
        <d v="2020-04-29T00:00:00"/>
        <d v="2018-08-07T00:00:00"/>
        <d v="2018-07-17T00:00:00"/>
        <d v="2021-06-22T00:00:00"/>
        <d v="2018-11-02T00:00:00"/>
        <d v="2020-01-20T00:00:00"/>
        <d v="2020-02-29T00:00:00"/>
        <d v="2019-03-02T00:00:00"/>
        <d v="2023-12-27T00:00:00"/>
        <d v="2024-02-27T00:00:00"/>
        <d v="2021-04-15T00:00:00"/>
        <d v="2022-06-09T00:00:00"/>
        <d v="2019-06-09T00:00:00"/>
        <d v="2023-07-26T00:00:00"/>
        <d v="2019-11-15T00:00:00"/>
        <d v="2022-04-09T00:00:00"/>
        <d v="2024-01-11T00:00:00"/>
        <d v="2023-12-30T00:00:00"/>
        <d v="2020-12-05T00:00:00"/>
        <d v="2019-10-11T00:00:00"/>
        <d v="2020-07-16T00:00:00"/>
        <d v="2024-08-22T00:00:00"/>
        <d v="2018-05-25T00:00:00"/>
        <d v="2022-08-01T00:00:00"/>
        <d v="2024-03-16T00:00:00"/>
        <d v="2023-11-30T00:00:00"/>
        <d v="2022-01-25T00:00:00"/>
        <d v="2024-05-30T00:00:00"/>
        <d v="2018-03-12T00:00:00"/>
        <d v="2018-03-21T00:00:00"/>
        <d v="2023-07-07T00:00:00"/>
        <d v="2019-09-27T00:00:00"/>
        <d v="2024-06-11T00:00:00"/>
        <d v="2018-05-18T00:00:00"/>
        <d v="2024-09-21T00:00:00"/>
        <d v="2024-04-19T00:00:00"/>
        <d v="2018-01-20T00:00:00"/>
        <d v="2024-07-22T00:00:00"/>
        <d v="2018-02-14T00:00:00"/>
        <d v="2020-01-01T00:00:00"/>
        <d v="2019-02-11T00:00:00"/>
        <d v="2021-01-19T00:00:00"/>
        <d v="2022-05-12T00:00:00"/>
        <d v="2019-10-10T00:00:00"/>
        <d v="2019-06-21T00:00:00"/>
        <d v="2024-09-12T00:00:00"/>
        <d v="2018-05-31T00:00:00"/>
        <d v="2019-02-21T00:00:00"/>
        <d v="2024-09-19T00:00:00"/>
        <d v="2018-11-12T00:00:00"/>
        <d v="2020-07-10T00:00:00"/>
        <d v="2024-07-12T00:00:00"/>
        <d v="2024-01-01T00:00:00"/>
        <d v="2019-09-25T00:00:00"/>
        <d v="2024-03-12T00:00:00"/>
        <d v="2018-03-15T00:00:00"/>
        <d v="2023-04-28T00:00:00"/>
        <d v="2022-07-11T00:00:00"/>
        <d v="2020-04-24T00:00:00"/>
        <d v="2021-11-24T00:00:00"/>
        <d v="2019-10-23T00:00:00"/>
        <d v="2018-10-14T00:00:00"/>
        <d v="2023-01-14T00:00:00"/>
        <d v="2018-03-29T00:00:00"/>
        <d v="2019-07-17T00:00:00"/>
        <d v="2023-04-15T00:00:00"/>
        <d v="2022-03-09T00:00:00"/>
        <d v="2022-07-16T00:00:00"/>
        <d v="2024-03-23T00:00:00"/>
        <d v="2024-10-07T00:00:00"/>
        <d v="2019-01-01T00:00:00"/>
        <d v="2019-03-21T00:00:00"/>
        <d v="2022-03-01T00:00:00"/>
        <d v="2021-07-05T00:00:00"/>
        <d v="2023-07-25T00:00:00"/>
        <d v="2023-03-30T00:00:00"/>
        <d v="2021-11-19T00:00:00"/>
        <d v="2023-09-16T00:00:00"/>
        <d v="2019-04-20T00:00:00"/>
        <d v="2024-04-17T00:00:00"/>
        <d v="2018-03-09T00:00:00"/>
        <d v="2021-11-26T00:00:00"/>
        <d v="2024-10-02T00:00:00"/>
        <d v="2023-12-24T00:00:00"/>
        <d v="2022-03-07T00:00:00"/>
        <d v="2023-02-12T00:00:00"/>
        <d v="2022-01-13T00:00:00"/>
        <d v="2020-07-25T00:00:00"/>
        <d v="2018-05-01T00:00:00"/>
        <d v="2021-01-04T00:00:00"/>
        <d v="2019-02-25T00:00:00"/>
        <d v="2019-07-18T00:00:00"/>
        <d v="2022-02-11T00:00:00"/>
        <d v="2021-07-24T00:00:00"/>
        <d v="2020-08-19T00:00:00"/>
        <d v="2020-01-31T00:00:00"/>
        <d v="2021-04-18T00:00:00"/>
        <d v="2020-09-21T00:00:00"/>
        <d v="2019-03-28T00:00:00"/>
        <d v="2023-12-06T00:00:00"/>
        <d v="2020-12-19T00:00:00"/>
        <d v="2022-03-08T00:00:00"/>
        <d v="2020-07-28T00:00:00"/>
        <d v="2024-03-05T00:00:00"/>
        <d v="2022-09-27T00:00:00"/>
        <d v="2024-06-08T00:00:00"/>
        <d v="2019-12-06T00:00:00"/>
        <d v="2021-11-30T00:00:00"/>
        <d v="2018-07-18T00:00:00"/>
        <d v="2020-10-06T00:00:00"/>
        <d v="2018-12-27T00:00:00"/>
        <d v="2019-02-20T00:00:00"/>
        <d v="2024-03-20T00:00:00"/>
        <d v="2024-05-21T00:00:00"/>
        <d v="2022-05-14T00:00:00"/>
        <d v="2018-07-09T00:00:00"/>
        <d v="2024-10-09T00:00:00"/>
        <d v="2021-05-14T00:00:00"/>
        <d v="2020-04-17T00:00:00"/>
        <d v="2019-04-01T00:00:00"/>
        <d v="2019-06-22T00:00:00"/>
        <d v="2023-12-08T00:00:00"/>
        <d v="2023-01-28T00:00:00"/>
        <d v="2023-03-25T00:00:00"/>
        <d v="2023-08-06T00:00:00"/>
        <d v="2022-11-18T00:00:00"/>
        <d v="2024-02-19T00:00:00"/>
        <d v="2024-03-07T00:00:00"/>
        <d v="2024-09-06T00:00:00"/>
        <d v="2020-03-28T00:00:00"/>
        <d v="2022-04-24T00:00:00"/>
        <d v="2018-11-24T00:00:00"/>
        <d v="2024-10-01T00:00:00"/>
        <d v="2022-11-14T00:00:00"/>
        <d v="2024-01-14T00:00:00"/>
        <d v="2024-05-29T00:00:00"/>
        <d v="2019-07-27T00:00:00"/>
        <d v="2018-05-05T00:00:00"/>
        <d v="2018-05-06T00:00:00"/>
        <d v="2021-07-03T00:00:00"/>
        <d v="2024-07-31T00:00:00"/>
        <d v="2023-01-07T00:00:00"/>
        <d v="2021-10-21T00:00:00"/>
        <d v="2022-07-27T00:00:00"/>
        <d v="2023-02-09T00:00:00"/>
        <d v="2021-06-03T00:00:00"/>
        <d v="2022-06-07T00:00:00"/>
        <d v="2022-01-28T00:00:00"/>
        <d v="2021-04-07T00:00:00"/>
        <d v="2019-04-29T00:00:00"/>
        <d v="2020-08-06T00:00:00"/>
        <d v="2023-08-08T00:00:00"/>
        <d v="2019-01-20T00:00:00"/>
        <d v="2022-09-19T00:00:00"/>
        <d v="2023-08-30T00:00:00"/>
        <d v="2020-06-18T00:00:00"/>
        <d v="2023-07-22T00:00:00"/>
        <d v="2020-08-25T00:00:00"/>
        <d v="2022-10-10T00:00:00"/>
        <d v="2018-12-25T00:00:00"/>
        <d v="2023-09-08T00:00:00"/>
        <d v="2018-04-12T00:00:00"/>
        <d v="2022-09-12T00:00:00"/>
        <d v="2018-01-29T00:00:00"/>
        <d v="2023-05-19T00:00:00"/>
        <d v="2018-10-10T00:00:00"/>
        <d v="2018-06-02T00:00:00"/>
        <d v="2022-05-30T00:00:00"/>
        <d v="2023-12-07T00:00:00"/>
        <d v="2019-03-16T00:00:00"/>
        <d v="2022-10-09T00:00:00"/>
        <d v="2020-11-04T00:00:00"/>
        <d v="2021-09-23T00:00:00"/>
        <d v="2024-04-27T00:00:00"/>
        <d v="2022-04-18T00:00:00"/>
        <d v="2023-09-26T00:00:00"/>
        <d v="2022-08-26T00:00:00"/>
        <d v="2019-04-07T00:00:00"/>
        <d v="2019-02-16T00:00:00"/>
        <d v="2020-07-21T00:00:00"/>
        <d v="2020-02-16T00:00:00"/>
        <d v="2019-01-26T00:00:00"/>
        <d v="2020-08-10T00:00:00"/>
        <d v="2023-02-20T00:00:00"/>
        <d v="2023-06-10T00:00:00"/>
        <d v="2019-05-15T00:00:00"/>
        <d v="2020-06-10T00:00:00"/>
        <d v="2018-05-28T00:00:00"/>
        <d v="2021-04-20T00:00:00"/>
        <d v="2019-11-02T00:00:00"/>
        <d v="2018-02-04T00:00:00"/>
        <d v="2018-10-11T00:00:00"/>
        <d v="2019-09-13T00:00:00"/>
        <d v="2019-09-22T00:00:00"/>
        <d v="2019-02-27T00:00:00"/>
        <d v="2021-04-21T00:00:00"/>
        <d v="2022-04-19T00:00:00"/>
        <d v="2021-12-29T00:00:00"/>
        <d v="2021-02-14T00:00:00"/>
        <d v="2021-09-22T00:00:00"/>
        <d v="2024-02-22T00:00:00"/>
        <d v="2022-02-10T00:00:00"/>
        <d v="2020-12-12T00:00:00"/>
        <d v="2019-01-25T00:00:00"/>
        <d v="2021-05-04T00:00:00"/>
        <d v="2018-07-19T00:00:00"/>
        <d v="2022-04-22T00:00:00"/>
        <d v="2019-07-29T00:00:00"/>
        <d v="2018-07-27T00:00:00"/>
        <d v="2020-04-14T00:00:00"/>
        <d v="2024-04-14T00:00:00"/>
        <d v="2020-06-16T00:00:00"/>
        <d v="2019-11-22T00:00:00"/>
        <d v="2021-12-06T00:00:00"/>
        <d v="2020-12-31T00:00:00"/>
        <d v="2019-04-27T00:00:00"/>
        <d v="2024-07-05T00:00:00"/>
        <d v="2021-12-31T00:00:00"/>
        <d v="2020-10-23T00:00:00"/>
        <d v="2022-09-21T00:00:00"/>
        <d v="2020-03-12T00:00:00"/>
        <d v="2023-08-10T00:00:00"/>
        <d v="2024-02-23T00:00:00"/>
        <d v="2018-05-26T00:00:00"/>
        <d v="2024-03-13T00:00:00"/>
        <d v="2022-12-22T00:00:00"/>
        <d v="2023-01-26T00:00:00"/>
        <d v="2018-09-24T00:00:00"/>
        <d v="2019-01-10T00:00:00"/>
        <d v="2019-11-24T00:00:00"/>
        <d v="2019-12-09T00:00:00"/>
        <d v="2023-07-19T00:00:00"/>
        <d v="2021-08-01T00:00:00"/>
        <d v="2023-02-17T00:00:00"/>
        <d v="2018-12-10T00:00:00"/>
        <d v="2019-08-24T00:00:00"/>
        <d v="2022-04-28T00:00:00"/>
        <d v="2024-01-05T00:00:00"/>
        <d v="2024-09-20T00:00:00"/>
        <d v="2022-06-08T00:00:00"/>
        <d v="2022-08-11T00:00:00"/>
        <d v="2021-03-09T00:00:00"/>
        <d v="2019-09-23T00:00:00"/>
        <d v="2023-10-10T00:00:00"/>
        <d v="2020-05-03T00:00:00"/>
        <d v="2022-09-16T00:00:00"/>
        <d v="2018-12-02T00:00:00"/>
        <d v="2021-06-23T00:00:00"/>
        <d v="2020-01-02T00:00:00"/>
        <d v="2020-03-21T00:00:00"/>
        <d v="2019-10-12T00:00:00"/>
        <d v="2019-09-20T00:00:00"/>
        <d v="2022-12-03T00:00:00"/>
        <d v="2024-03-18T00:00:00"/>
        <d v="2023-03-28T00:00:00"/>
        <d v="2021-06-09T00:00:00"/>
        <d v="2018-04-25T00:00:00"/>
        <d v="2020-07-18T00:00:00"/>
        <d v="2023-11-15T00:00:00"/>
        <d v="2024-04-11T00:00:00"/>
        <d v="2018-12-31T00:00:00"/>
        <d v="2021-04-06T00:00:00"/>
        <d v="2024-02-11T00:00:00"/>
        <d v="2018-11-18T00:00:00"/>
        <d v="2018-12-06T00:00:00"/>
        <d v="2018-10-03T00:00:00"/>
        <d v="2019-01-16T00:00:00"/>
        <d v="2018-03-25T00:00:00"/>
        <d v="2020-12-25T00:00:00"/>
        <d v="2020-07-29T00:00:00"/>
        <d v="2024-03-21T00:00:00"/>
        <d v="2018-07-20T00:00:00"/>
        <d v="2021-07-25T00:00:00"/>
        <d v="2019-07-21T00:00:00"/>
        <d v="2021-06-26T00:00:00"/>
        <d v="2023-09-30T00:00:00"/>
        <d v="2020-12-16T00:00:00"/>
        <d v="2021-07-26T00:00:00"/>
        <d v="2022-08-25T00:00:00"/>
        <d v="2022-09-24T00:00:00"/>
        <d v="2018-05-08T00:00:00"/>
        <d v="2023-05-06T00:00:00"/>
        <d v="2024-04-09T00:00:00"/>
        <d v="2021-05-09T00:00:00"/>
        <d v="2023-05-03T00:00:00"/>
        <d v="2024-05-11T00:00:00"/>
        <d v="2020-09-16T00:00:00"/>
        <d v="2019-06-14T00:00:00"/>
        <d v="2019-06-25T00:00:00"/>
        <d v="2024-10-27T00:00:00"/>
        <d v="2023-01-25T00:00:00"/>
        <d v="2019-01-13T00:00:00"/>
        <d v="2022-11-24T00:00:00"/>
        <d v="2022-11-28T00:00:00"/>
        <d v="2020-03-27T00:00:00"/>
        <d v="2023-11-06T00:00:00"/>
        <d v="2022-04-02T00:00:00"/>
        <d v="2019-04-26T00:00:00"/>
        <d v="2024-06-28T00:00:00"/>
        <d v="2022-12-07T00:00:00"/>
        <d v="2019-11-18T00:00:00"/>
        <d v="2020-05-12T00:00:00"/>
        <d v="2019-08-26T00:00:00"/>
        <d v="2018-09-17T00:00:00"/>
        <d v="2022-05-13T00:00:00"/>
        <d v="2019-03-01T00:00:00"/>
        <d v="2018-12-26T00:00:00"/>
        <d v="2018-08-13T00:00:00"/>
        <d v="2021-10-14T00:00:00"/>
        <d v="2023-07-04T00:00:00"/>
        <d v="2024-08-18T00:00:00"/>
        <d v="2023-04-05T00:00:00"/>
        <d v="2021-04-25T00:00:00"/>
        <d v="2018-01-26T00:00:00"/>
        <d v="2021-04-08T00:00:00"/>
        <d v="2023-04-26T00:00:00"/>
        <d v="2020-02-21T00:00:00"/>
        <d v="2019-04-16T00:00:00"/>
        <d v="2020-09-22T00:00:00"/>
        <d v="2022-07-19T00:00:00"/>
        <d v="2019-10-21T00:00:00"/>
        <d v="2019-04-28T00:00:00"/>
        <d v="2021-05-06T00:00:00"/>
        <d v="2020-02-27T00:00:00"/>
        <d v="2024-10-22T00:00:00"/>
        <d v="2021-12-02T00:00:00"/>
        <d v="2023-06-28T00:00:00"/>
        <d v="2022-05-09T00:00:00"/>
        <d v="2021-01-14T00:00:00"/>
        <d v="2018-05-11T00:00:00"/>
        <d v="2022-05-31T00:00:00"/>
        <d v="2021-08-15T00:00:00"/>
        <d v="2022-10-13T00:00:00"/>
        <d v="2023-01-29T00:00:00"/>
        <d v="2024-04-20T00:00:00"/>
        <d v="2020-11-03T00:00:00"/>
        <d v="2019-12-24T00:00:00"/>
        <d v="2020-10-11T00:00:00"/>
        <d v="2022-04-10T00:00:00"/>
        <d v="2018-06-13T00:00:00"/>
        <d v="2021-12-10T00:00:00"/>
        <d v="2024-07-30T00:00:00"/>
        <d v="2018-10-01T00:00:00"/>
        <d v="2022-03-30T00:00:00"/>
        <d v="2020-12-28T00:00:00"/>
        <d v="2019-10-24T00:00:00"/>
        <d v="2023-10-08T00:00:00"/>
        <d v="2018-08-17T00:00:00"/>
        <d v="2023-10-07T00:00:00"/>
        <d v="2021-02-17T00:00:00"/>
        <d v="2021-03-16T00:00:00"/>
        <d v="2020-04-26T00:00:00"/>
        <d v="2022-08-20T00:00:00"/>
        <d v="2023-07-13T00:00:00"/>
        <d v="2018-11-19T00:00:00"/>
        <d v="2022-04-26T00:00:00"/>
        <d v="2019-10-01T00:00:00"/>
        <d v="2020-04-02T00:00:00"/>
        <d v="2023-03-23T00:00:00"/>
        <d v="2023-12-22T00:00:00"/>
        <d v="2019-12-23T00:00:00"/>
        <d v="2021-09-01T00:00:00"/>
        <d v="2018-02-26T00:00:00"/>
        <d v="2020-06-26T00:00:00"/>
        <d v="2021-10-03T00:00:00"/>
        <d v="2022-03-18T00:00:00"/>
        <d v="2018-03-30T00:00:00"/>
        <d v="2019-03-09T00:00:00"/>
        <d v="2021-05-25T00:00:00"/>
        <d v="2023-08-26T00:00:00"/>
        <d v="2023-02-21T00:00:00"/>
        <d v="2024-03-15T00:00:00"/>
        <d v="2019-09-08T00:00:00"/>
        <d v="2021-10-17T00:00:00"/>
        <d v="2018-12-24T00:00:00"/>
        <d v="2020-04-27T00:00:00"/>
        <d v="2022-06-03T00:00:00"/>
        <d v="2019-12-05T00:00:00"/>
        <d v="2020-02-05T00:00:00"/>
        <d v="2018-07-10T00:00:00"/>
        <d v="2022-11-10T00:00:00"/>
        <d v="2020-06-24T00:00:00"/>
        <d v="2020-10-03T00:00:00"/>
        <d v="2022-08-07T00:00:00"/>
        <d v="2024-04-03T00:00:00"/>
        <d v="2022-11-02T00:00:00"/>
        <d v="2020-02-24T00:00:00"/>
        <d v="2018-04-06T00:00:00"/>
        <d v="2021-08-05T00:00:00"/>
        <d v="2018-01-06T00:00:00"/>
        <d v="2021-12-28T00:00:00"/>
        <d v="2021-08-27T00:00:00"/>
        <d v="2019-12-08T00:00:00"/>
        <d v="2020-08-31T00:00:00"/>
        <d v="2018-12-28T00:00:00"/>
        <d v="2024-06-18T00:00:00"/>
        <d v="2021-08-26T00:00:00"/>
        <d v="2021-01-20T00:00:00"/>
        <d v="2022-01-03T00:00:00"/>
        <d v="2019-07-08T00:00:00"/>
        <d v="2020-01-24T00:00:00"/>
        <d v="2019-04-25T00:00:00"/>
        <d v="2022-01-02T00:00:00"/>
        <d v="2019-05-07T00:00:00"/>
        <d v="2018-06-12T00:00:00"/>
        <d v="2021-04-16T00:00:00"/>
        <d v="2019-08-08T00:00:00"/>
        <d v="2024-10-23T00:00:00"/>
        <d v="2023-11-13T00:00:00"/>
        <d v="2021-01-29T00:00:00"/>
        <d v="2021-01-13T00:00:00"/>
        <d v="2018-08-04T00:00:00"/>
        <d v="2022-02-16T00:00:00"/>
        <d v="2020-01-25T00:00:00"/>
        <d v="2024-08-08T00:00:00"/>
        <d v="2023-12-09T00:00:00"/>
        <d v="2018-01-09T00:00:00"/>
        <d v="2018-04-05T00:00:00"/>
        <d v="2022-07-18T00:00:00"/>
        <d v="2018-11-06T00:00:00"/>
        <d v="2018-06-27T00:00:00"/>
        <d v="2023-04-10T00:00:00"/>
        <d v="2020-12-13T00:00:00"/>
        <d v="2021-02-11T00:00:00"/>
        <d v="2021-11-18T00:00:00"/>
        <d v="2020-08-30T00:00:00"/>
        <d v="2024-07-23T00:00:00"/>
        <d v="2022-02-23T00:00:00"/>
        <d v="2019-07-25T00:00:00"/>
        <d v="2021-03-30T00:00:00"/>
        <d v="2018-12-22T00:00:00"/>
        <d v="2023-08-18T00:00:00"/>
        <d v="2021-06-10T00:00:00"/>
        <d v="2018-06-28T00:00:00"/>
        <d v="2024-06-24T00:00:00"/>
        <d v="2024-09-03T00:00:00"/>
        <d v="2018-01-24T00:00:00"/>
        <d v="2021-08-13T00:00:00"/>
        <d v="2019-02-07T00:00:00"/>
        <d v="2018-10-09T00:00:00"/>
        <d v="2019-03-18T00:00:00"/>
        <d v="2020-01-17T00:00:00"/>
        <d v="2020-11-16T00:00:00"/>
        <d v="2018-12-03T00:00:00"/>
        <d v="2023-10-21T00:00:00"/>
        <d v="2023-05-21T00:00:00"/>
        <d v="2024-06-14T00:00:00"/>
        <d v="2024-10-30T00:00:00"/>
        <d v="2021-07-13T00:00:00"/>
        <d v="2019-10-20T00:00:00"/>
        <d v="2024-07-28T00:00:00"/>
        <d v="2022-06-13T00:00:00"/>
        <d v="2018-07-21T00:00:00"/>
        <d v="2023-10-27T00:00:00"/>
        <d v="2021-09-18T00:00:00"/>
        <d v="2018-10-27T00:00:00"/>
        <d v="2021-07-11T00:00:00"/>
        <d v="2019-02-24T00:00:00"/>
        <d v="2021-09-17T00:00:00"/>
        <d v="2021-05-30T00:00:00"/>
        <d v="2023-02-14T00:00:00"/>
        <d v="2020-10-05T00:00:00"/>
        <d v="2023-05-27T00:00:00"/>
        <d v="2018-02-27T00:00:00"/>
        <d v="2021-01-07T00:00:00"/>
        <d v="2020-05-27T00:00:00"/>
        <d v="2024-02-24T00:00:00"/>
        <d v="2023-11-25T00:00:00"/>
        <d v="2024-09-02T00:00:00"/>
        <d v="2018-02-06T00:00:00"/>
        <d v="2020-07-31T00:00:00"/>
        <d v="2023-12-15T00:00:00"/>
        <d v="2021-03-13T00:00:00"/>
        <d v="2022-02-13T00:00:00"/>
        <d v="2019-08-06T00:00:00"/>
        <d v="2020-07-27T00:00:00"/>
        <d v="2019-06-17T00:00:00"/>
        <d v="2021-02-10T00:00:00"/>
        <d v="2023-08-19T00:00:00"/>
        <d v="2023-02-08T00:00:00"/>
        <d v="2021-02-15T00:00:00"/>
        <d v="2023-02-13T00:00:00"/>
        <d v="2019-01-28T00:00:00"/>
        <d v="2019-05-12T00:00:00"/>
        <d v="2023-09-17T00:00:00"/>
        <d v="2019-05-13T00:00:00"/>
        <d v="2018-03-02T00:00:00"/>
        <d v="2022-05-03T00:00:00"/>
        <d v="2021-06-25T00:00:00"/>
        <d v="2023-10-03T00:00:00"/>
        <d v="2019-07-11T00:00:00"/>
        <d v="2018-04-02T00:00:00"/>
        <d v="2023-12-21T00:00:00"/>
        <d v="2024-01-29T00:00:00"/>
        <d v="2021-01-22T00:00:00"/>
        <d v="2023-03-03T00:00:00"/>
        <d v="2020-03-22T00:00:00"/>
        <d v="2022-09-17T00:00:00"/>
        <d v="2018-08-29T00:00:00"/>
        <d v="2019-07-28T00:00:00"/>
        <d v="2018-07-13T00:00:00"/>
        <d v="2023-05-24T00:00:00"/>
        <d v="2024-06-04T00:00:00"/>
        <d v="2018-11-26T00:00:00"/>
        <d v="2019-03-23T00:00:00"/>
        <d v="2018-02-25T00:00:00"/>
        <d v="2023-05-01T00:00:00"/>
        <d v="2024-08-07T00:00:00"/>
        <d v="2021-07-08T00:00:00"/>
        <d v="2020-10-30T00:00:00"/>
        <d v="2023-01-01T00:00:00"/>
        <d v="2020-03-15T00:00:00"/>
        <d v="2022-08-28T00:00:00"/>
        <d v="2023-06-11T00:00:00"/>
        <d v="2018-04-04T00:00:00"/>
        <d v="2024-05-04T00:00:00"/>
        <d v="2021-01-23T00:00:00"/>
        <d v="2023-09-29T00:00:00"/>
        <d v="2021-01-01T00:00:00"/>
        <d v="2023-08-15T00:00:00"/>
        <d v="2023-09-09T00:00:00"/>
        <d v="2018-08-02T00:00:00"/>
        <d v="2018-09-05T00:00:00"/>
        <d v="2020-08-05T00:00:00"/>
        <d v="2023-07-09T00:00:00"/>
        <d v="2018-02-01T00:00:00"/>
        <d v="2023-04-16T00:00:00"/>
        <d v="2023-09-02T00:00:00"/>
        <d v="2018-11-23T00:00:00"/>
        <d v="2020-05-22T00:00:00"/>
        <d v="2020-11-25T00:00:00"/>
        <d v="2020-08-04T00:00:00"/>
        <d v="2022-05-07T00:00:00"/>
        <d v="2022-02-28T00:00:00"/>
        <d v="2024-05-12T00:00:00"/>
        <d v="2019-11-11T00:00:00"/>
        <d v="2021-05-21T00:00:00"/>
        <d v="2022-05-10T00:00:00"/>
        <d v="2024-05-02T00:00:00"/>
        <d v="2023-03-18T00:00:00"/>
        <d v="2020-09-17T00:00:00"/>
        <d v="2019-04-08T00:00:00"/>
        <d v="2018-08-06T00:00:00"/>
        <d v="2022-11-16T00:00:00"/>
        <d v="2023-04-27T00:00:00"/>
        <d v="2020-06-23T00:00:00"/>
        <d v="2021-08-29T00:00:00"/>
        <d v="2019-07-30T00:00:00"/>
        <d v="2024-02-13T00:00:00"/>
        <d v="2021-02-21T00:00:00"/>
        <d v="2020-11-18T00:00:00"/>
        <d v="2021-01-21T00:00:00"/>
        <d v="2021-05-24T00:00:00"/>
        <d v="2023-07-28T00:00:00"/>
        <d v="2024-03-24T00:00:00"/>
        <d v="2019-06-06T00:00:00"/>
        <d v="2019-05-08T00:00:00"/>
        <d v="2019-03-15T00:00:00"/>
        <d v="2021-08-28T00:00:00"/>
        <d v="2020-03-23T00:00:00"/>
        <d v="2020-06-01T00:00:00"/>
        <d v="2022-11-19T00:00:00"/>
        <d v="2020-07-01T00:00:00"/>
        <d v="2019-08-13T00:00:00"/>
        <d v="2019-09-07T00:00:00"/>
        <d v="2018-04-28T00:00:00"/>
        <d v="2018-03-24T00:00:00"/>
        <d v="2019-06-12T00:00:00"/>
        <d v="2018-01-30T00:00:00"/>
        <d v="2022-09-05T00:00:00"/>
        <d v="2024-04-15T00:00:00"/>
        <d v="2019-12-21T00:00:00"/>
        <d v="2019-01-31T00:00:00"/>
        <d v="2020-05-11T00:00:00"/>
        <d v="2019-11-26T00:00:00"/>
        <d v="2023-02-19T00:00:00"/>
        <d v="2019-12-28T00:00:00"/>
        <d v="2024-04-29T00:00:00"/>
        <d v="2019-04-15T00:00:00"/>
        <d v="2022-05-17T00:00:00"/>
        <d v="2018-09-16T00:00:00"/>
        <d v="2023-09-19T00:00:00"/>
        <d v="2018-05-27T00:00:00"/>
        <d v="2021-05-12T00:00:00"/>
        <d v="2024-03-10T00:00:00"/>
        <d v="2020-06-19T00:00:00"/>
        <d v="2021-11-17T00:00:00"/>
        <d v="2023-08-24T00:00:00"/>
        <d v="2018-02-10T00:00:00"/>
        <d v="2020-04-06T00:00:00"/>
        <d v="2018-08-12T00:00:00"/>
        <d v="2020-05-26T00:00:00"/>
        <d v="2020-09-14T00:00:00"/>
        <d v="2022-04-07T00:00:00"/>
        <d v="2019-10-31T00:00:00"/>
        <d v="2023-01-27T00:00:00"/>
        <d v="2018-05-22T00:00:00"/>
        <d v="2020-09-18T00:00:00"/>
        <d v="2021-08-21T00:00:00"/>
        <d v="2018-02-18T00:00:00"/>
        <d v="2020-04-22T00:00:00"/>
        <d v="2023-09-13T00:00:00"/>
        <d v="2022-10-16T00:00:00"/>
        <d v="2018-06-17T00:00:00"/>
        <d v="2024-06-30T00:00:00"/>
        <d v="2020-08-09T00:00:00"/>
        <d v="2019-04-30T00:00:00"/>
        <d v="2018-03-07T00:00:00"/>
        <d v="2018-02-15T00:00:00"/>
        <d v="2018-08-05T00:00:00"/>
        <d v="2022-01-14T00:00:00"/>
        <d v="2018-12-05T00:00:00"/>
        <d v="2021-03-11T00:00:00"/>
        <d v="2022-06-23T00:00:00"/>
        <d v="2022-08-22T00:00:00"/>
        <d v="2018-08-10T00:00:00"/>
        <d v="2022-07-13T00:00:00"/>
        <d v="2019-07-22T00:00:00"/>
        <d v="2024-03-17T00:00:00"/>
        <d v="2022-04-11T00:00:00"/>
        <d v="2018-05-07T00:00:00"/>
        <d v="2018-09-26T00:00:00"/>
        <d v="2021-01-10T00:00:00"/>
        <d v="2022-05-21T00:00:00"/>
        <d v="2020-08-01T00:00:00"/>
        <d v="2020-07-06T00:00:00"/>
        <d v="2018-10-04T00:00:00"/>
        <d v="2019-01-08T00:00:00"/>
        <d v="2023-03-27T00:00:00"/>
        <d v="2020-06-15T00:00:00"/>
        <d v="2022-09-07T00:00:00"/>
        <d v="2023-04-24T00:00:00"/>
        <d v="2019-09-28T00:00:00"/>
        <d v="2023-11-22T00:00:00"/>
        <d v="2024-09-14T00:00:00"/>
        <d v="2023-01-02T00:00:00"/>
        <d v="2018-05-04T00:00:00"/>
        <d v="2021-09-03T00:00:00"/>
        <d v="2019-09-01T00:00:00"/>
        <d v="2024-03-27T00:00:00"/>
        <d v="2020-05-28T00:00:00"/>
        <d v="2023-07-17T00:00:00"/>
        <d v="2021-03-10T00:00:00"/>
        <d v="2022-09-20T00:00:00"/>
        <d v="2020-06-22T00:00:00"/>
        <d v="2022-03-15T00:00:00"/>
        <d v="2021-10-24T00:00:00"/>
        <d v="2021-03-17T00:00:00"/>
        <d v="2022-03-03T00:00:00"/>
        <d v="2021-08-12T00:00:00"/>
        <d v="2019-01-09T00:00:00"/>
        <d v="2022-03-06T00:00:00"/>
        <d v="2023-07-05T00:00:00"/>
        <d v="2024-02-16T00:00:00"/>
        <d v="2020-04-12T00:00:00"/>
        <d v="2021-10-10T00:00:00"/>
        <d v="2018-06-11T00:00:00"/>
        <d v="2020-09-10T00:00:00"/>
        <d v="2020-01-15T00:00:00"/>
        <d v="2018-09-15T00:00:00"/>
        <d v="2020-05-01T00:00:00"/>
        <d v="2021-03-01T00:00:00"/>
        <d v="2019-07-15T00:00:00"/>
        <d v="2018-03-06T00:00:00"/>
        <d v="2019-12-10T00:00:00"/>
        <d v="2019-06-08T00:00:00"/>
        <d v="2024-01-12T00:00:00"/>
        <d v="2018-02-23T00:00:00"/>
        <d v="2024-05-24T00:00:00"/>
        <d v="2020-06-11T00:00:00"/>
        <d v="2019-04-10T00:00:00"/>
        <d v="2024-07-26T00:00:00"/>
        <d v="2024-06-12T00:00:00"/>
        <d v="2024-07-18T00:00:00"/>
        <d v="2019-05-11T00:00:00"/>
        <d v="2018-06-25T00:00:00"/>
        <d v="2021-10-09T00:00:00"/>
        <d v="2022-07-02T00:00:00"/>
        <d v="2022-11-27T00:00:00"/>
        <d v="2023-12-10T00:00:00"/>
      </sharedItems>
      <fieldGroup par="21"/>
    </cacheField>
    <cacheField name="Region" numFmtId="0">
      <sharedItems count="4">
        <s v="South"/>
        <s v="East"/>
        <s v="North"/>
        <s v="West"/>
      </sharedItems>
    </cacheField>
    <cacheField name="Monthly EMI" numFmtId="8">
      <sharedItems containsSemiMixedTypes="0" containsString="0" containsNumber="1" minValue="2772.0655177000626" maxValue="65259.024935977781"/>
    </cacheField>
    <cacheField name="Total Payable Amount" numFmtId="8">
      <sharedItems containsSemiMixedTypes="0" containsString="0" containsNumber="1" minValue="245381.94577834875" maxValue="3421833.0560425315"/>
    </cacheField>
    <cacheField name="Interest Payable" numFmtId="8">
      <sharedItems containsSemiMixedTypes="0" containsString="0" containsNumber="1" minValue="33170.610456784867" maxValue="1632706.0560425315"/>
    </cacheField>
    <cacheField name="Loan Age" numFmtId="0">
      <sharedItems containsSemiMixedTypes="0" containsString="0" containsNumber="1" containsInteger="1" minValue="1" maxValue="7"/>
    </cacheField>
    <cacheField name="Credit Score Range" numFmtId="0">
      <sharedItems count="5">
        <s v="650-699"/>
        <s v="700-749"/>
        <s v="800-850"/>
        <s v="600-649"/>
        <s v="750-799"/>
      </sharedItems>
    </cacheField>
    <cacheField name="Months (Issue_Date)" numFmtId="0" databaseField="0">
      <fieldGroup base="12">
        <rangePr groupBy="months" startDate="2018-01-04T00:00:00" endDate="2024-11-02T00:00:00"/>
        <groupItems count="14">
          <s v="&lt;04-01-2018"/>
          <s v="Jan"/>
          <s v="Feb"/>
          <s v="Mar"/>
          <s v="Apr"/>
          <s v="May"/>
          <s v="Jun"/>
          <s v="Jul"/>
          <s v="Aug"/>
          <s v="Sep"/>
          <s v="Oct"/>
          <s v="Nov"/>
          <s v="Dec"/>
          <s v="&gt;02-11-2024"/>
        </groupItems>
      </fieldGroup>
    </cacheField>
    <cacheField name="Quarters (Issue_Date)" numFmtId="0" databaseField="0">
      <fieldGroup base="12">
        <rangePr groupBy="quarters" startDate="2018-01-04T00:00:00" endDate="2024-11-02T00:00:00"/>
        <groupItems count="6">
          <s v="&lt;04-01-2018"/>
          <s v="Qtr1"/>
          <s v="Qtr2"/>
          <s v="Qtr3"/>
          <s v="Qtr4"/>
          <s v="&gt;02-11-2024"/>
        </groupItems>
      </fieldGroup>
    </cacheField>
    <cacheField name="Years (Issue_Date)" numFmtId="0" databaseField="0">
      <fieldGroup base="12">
        <rangePr groupBy="years" startDate="2018-01-04T00:00:00" endDate="2024-11-02T00:00:00"/>
        <groupItems count="9">
          <s v="&lt;04-01-2018"/>
          <s v="2018"/>
          <s v="2019"/>
          <s v="2020"/>
          <s v="2021"/>
          <s v="2022"/>
          <s v="2023"/>
          <s v="2024"/>
          <s v="&gt;02-11-2024"/>
        </groupItems>
      </fieldGroup>
    </cacheField>
  </cacheFields>
  <extLst>
    <ext xmlns:x14="http://schemas.microsoft.com/office/spreadsheetml/2009/9/main" uri="{725AE2AE-9491-48be-B2B4-4EB974FC3084}">
      <x14:pivotCacheDefinition pivotCacheId="32999703"/>
    </ext>
  </extLst>
</pivotCacheDefinition>
</file>

<file path=xl/pivotCache/pivotCacheRecords1.xml><?xml version="1.0" encoding="utf-8"?>
<pivotCacheRecords xmlns="http://schemas.openxmlformats.org/spreadsheetml/2006/main" xmlns:r="http://schemas.openxmlformats.org/officeDocument/2006/relationships" count="1000">
  <r>
    <s v="L0001"/>
    <s v="Rohan Nair"/>
    <n v="53"/>
    <s v="M"/>
    <x v="0"/>
    <n v="1559545"/>
    <n v="1896607"/>
    <n v="10.58"/>
    <n v="120"/>
    <n v="684"/>
    <x v="0"/>
    <x v="0"/>
    <d v="2019-08-17T00:00:00"/>
    <x v="0"/>
    <n v="25676.899223733013"/>
    <n v="3081227.9068479617"/>
    <n v="1184620.9068479617"/>
    <n v="6"/>
  </r>
  <r>
    <s v="L0002"/>
    <s v="Deepika Joshi"/>
    <n v="33"/>
    <s v="F"/>
    <x v="0"/>
    <n v="906411"/>
    <n v="1934916"/>
    <n v="7.98"/>
    <n v="72"/>
    <n v="743"/>
    <x v="0"/>
    <x v="1"/>
    <d v="2018-01-23T00:00:00"/>
    <x v="0"/>
    <n v="33906.455503768135"/>
    <n v="2441264.7962713055"/>
    <n v="506348.79627130553"/>
    <n v="7"/>
  </r>
  <r>
    <s v="L0003"/>
    <s v="Pooja Reddy"/>
    <n v="56"/>
    <s v="F"/>
    <x v="1"/>
    <n v="559073"/>
    <n v="1726509"/>
    <n v="12.09"/>
    <n v="48"/>
    <n v="686"/>
    <x v="1"/>
    <x v="1"/>
    <d v="2018-06-26T00:00:00"/>
    <x v="0"/>
    <n v="45541.934315552739"/>
    <n v="2186012.8471465316"/>
    <n v="459503.84714653157"/>
    <n v="7"/>
  </r>
  <r>
    <s v="L0004"/>
    <s v="Pooja Reddy"/>
    <n v="49"/>
    <s v="F"/>
    <x v="0"/>
    <n v="1720556"/>
    <n v="1503158"/>
    <n v="11.01"/>
    <n v="84"/>
    <n v="832"/>
    <x v="2"/>
    <x v="1"/>
    <d v="2020-01-30T00:00:00"/>
    <x v="0"/>
    <n v="25745.631472382302"/>
    <n v="2162633.0436801133"/>
    <n v="659475.04368011327"/>
    <n v="5"/>
  </r>
  <r>
    <s v="L0005"/>
    <s v="Raj Kumar"/>
    <n v="28"/>
    <s v="M"/>
    <x v="0"/>
    <n v="1057812"/>
    <n v="1531645"/>
    <n v="11.04"/>
    <n v="48"/>
    <n v="672"/>
    <x v="3"/>
    <x v="1"/>
    <d v="2018-05-03T00:00:00"/>
    <x v="1"/>
    <n v="39615.924587436646"/>
    <n v="1901564.380196959"/>
    <n v="369919.38019695901"/>
    <n v="7"/>
  </r>
  <r>
    <s v="L0006"/>
    <s v="Rohan Nair"/>
    <n v="54"/>
    <s v="F"/>
    <x v="1"/>
    <n v="1109203"/>
    <n v="1300500"/>
    <n v="10.050000000000001"/>
    <n v="120"/>
    <n v="614"/>
    <x v="2"/>
    <x v="1"/>
    <d v="2023-12-13T00:00:00"/>
    <x v="2"/>
    <n v="17222.231428533731"/>
    <n v="2066667.7714240476"/>
    <n v="766167.77142404765"/>
    <n v="2"/>
  </r>
  <r>
    <s v="L0007"/>
    <s v="Sneha Pillai"/>
    <n v="35"/>
    <s v="M"/>
    <x v="0"/>
    <n v="1418999"/>
    <n v="936676"/>
    <n v="10.76"/>
    <n v="96"/>
    <n v="773"/>
    <x v="1"/>
    <x v="0"/>
    <d v="2022-08-15T00:00:00"/>
    <x v="2"/>
    <n v="14592.7293610003"/>
    <n v="1400902.0186560289"/>
    <n v="464226.0186560289"/>
    <n v="3"/>
  </r>
  <r>
    <s v="L0008"/>
    <s v="Pooja Reddy"/>
    <n v="53"/>
    <s v="F"/>
    <x v="0"/>
    <n v="1679830"/>
    <n v="656065"/>
    <n v="13.99"/>
    <n v="36"/>
    <n v="832"/>
    <x v="0"/>
    <x v="1"/>
    <d v="2018-06-14T00:00:00"/>
    <x v="1"/>
    <n v="22419.560352201072"/>
    <n v="807104.1726792386"/>
    <n v="151039.1726792386"/>
    <n v="7"/>
  </r>
  <r>
    <s v="L0009"/>
    <s v="Deepika Joshi"/>
    <n v="48"/>
    <s v="F"/>
    <x v="1"/>
    <n v="348744"/>
    <n v="684365"/>
    <n v="14.73"/>
    <n v="60"/>
    <n v="703"/>
    <x v="3"/>
    <x v="0"/>
    <d v="2024-01-19T00:00:00"/>
    <x v="2"/>
    <n v="16184.163941259883"/>
    <n v="971049.83647559304"/>
    <n v="286684.83647559304"/>
    <n v="1"/>
  </r>
  <r>
    <s v="L0010"/>
    <s v="Aarav Patel"/>
    <n v="38"/>
    <s v="M"/>
    <x v="1"/>
    <n v="1034744"/>
    <n v="361395"/>
    <n v="12.53"/>
    <n v="60"/>
    <n v="813"/>
    <x v="2"/>
    <x v="1"/>
    <d v="2023-04-20T00:00:00"/>
    <x v="1"/>
    <n v="8136.1579162020553"/>
    <n v="488169.47497212334"/>
    <n v="126774.47497212334"/>
    <n v="2"/>
  </r>
  <r>
    <s v="L0011"/>
    <s v="Kiran Menon"/>
    <n v="48"/>
    <s v="F"/>
    <x v="1"/>
    <n v="543972"/>
    <n v="803441"/>
    <n v="7.77"/>
    <n v="36"/>
    <n v="749"/>
    <x v="0"/>
    <x v="1"/>
    <d v="2021-10-18T00:00:00"/>
    <x v="3"/>
    <n v="25091.759990711162"/>
    <n v="903303.35966560186"/>
    <n v="99862.359665601864"/>
    <n v="4"/>
  </r>
  <r>
    <s v="L0012"/>
    <s v="Isha Verma"/>
    <n v="33"/>
    <s v="M"/>
    <x v="1"/>
    <n v="1472509"/>
    <n v="1597755"/>
    <n v="11.53"/>
    <n v="120"/>
    <n v="726"/>
    <x v="2"/>
    <x v="1"/>
    <d v="2018-01-19T00:00:00"/>
    <x v="3"/>
    <n v="22491.138535036684"/>
    <n v="2698936.6242044019"/>
    <n v="1101181.6242044019"/>
    <n v="7"/>
  </r>
  <r>
    <s v="L0013"/>
    <s v="Vikram Das"/>
    <n v="43"/>
    <s v="F"/>
    <x v="0"/>
    <n v="405485"/>
    <n v="1188704"/>
    <n v="9.5399999999999991"/>
    <n v="96"/>
    <n v="658"/>
    <x v="3"/>
    <x v="1"/>
    <d v="2021-01-27T00:00:00"/>
    <x v="2"/>
    <n v="17749.554925499466"/>
    <n v="1703957.2728479486"/>
    <n v="515253.2728479486"/>
    <n v="4"/>
  </r>
  <r>
    <s v="L0014"/>
    <s v="Arjun Mehta"/>
    <n v="44"/>
    <s v="M"/>
    <x v="1"/>
    <n v="769056"/>
    <n v="508910"/>
    <n v="9.9600000000000009"/>
    <n v="72"/>
    <n v="815"/>
    <x v="3"/>
    <x v="1"/>
    <d v="2021-04-09T00:00:00"/>
    <x v="1"/>
    <n v="9417.7219717097596"/>
    <n v="678075.98196310271"/>
    <n v="169165.98196310271"/>
    <n v="4"/>
  </r>
  <r>
    <s v="L0015"/>
    <s v="Rohan Nair"/>
    <n v="43"/>
    <s v="M"/>
    <x v="1"/>
    <n v="1411713"/>
    <n v="888810"/>
    <n v="8.1999999999999993"/>
    <n v="60"/>
    <n v="727"/>
    <x v="0"/>
    <x v="0"/>
    <d v="2018-11-22T00:00:00"/>
    <x v="3"/>
    <n v="18107.056313206729"/>
    <n v="1086423.3787924037"/>
    <n v="197613.37879240373"/>
    <n v="7"/>
  </r>
  <r>
    <s v="L0016"/>
    <s v="Raj Kumar"/>
    <n v="32"/>
    <s v="M"/>
    <x v="2"/>
    <n v="718149"/>
    <n v="1372912"/>
    <n v="14.02"/>
    <n v="72"/>
    <n v="620"/>
    <x v="0"/>
    <x v="1"/>
    <d v="2023-05-17T00:00:00"/>
    <x v="3"/>
    <n v="28304.572113031965"/>
    <n v="2037929.1921383014"/>
    <n v="665017.19213830144"/>
    <n v="2"/>
  </r>
  <r>
    <s v="L0017"/>
    <s v="Kiran Menon"/>
    <n v="26"/>
    <s v="M"/>
    <x v="1"/>
    <n v="1776570"/>
    <n v="207067"/>
    <n v="12.37"/>
    <n v="36"/>
    <n v="839"/>
    <x v="3"/>
    <x v="0"/>
    <d v="2022-08-10T00:00:00"/>
    <x v="1"/>
    <n v="6914.2375972098771"/>
    <n v="248912.55349955556"/>
    <n v="41845.553499555564"/>
    <n v="3"/>
  </r>
  <r>
    <s v="L0018"/>
    <s v="Aditya Sharma"/>
    <n v="35"/>
    <s v="M"/>
    <x v="0"/>
    <n v="1458086"/>
    <n v="1422232"/>
    <n v="11.02"/>
    <n v="120"/>
    <n v="809"/>
    <x v="3"/>
    <x v="1"/>
    <d v="2021-11-27T00:00:00"/>
    <x v="3"/>
    <n v="19607.352128619437"/>
    <n v="2352882.2554343324"/>
    <n v="930650.25543433242"/>
    <n v="4"/>
  </r>
  <r>
    <s v="L0019"/>
    <s v="Rina Kapoor"/>
    <n v="49"/>
    <s v="M"/>
    <x v="1"/>
    <n v="1422519"/>
    <n v="1593381"/>
    <n v="13.17"/>
    <n v="84"/>
    <n v="708"/>
    <x v="0"/>
    <x v="1"/>
    <d v="2023-02-05T00:00:00"/>
    <x v="0"/>
    <n v="29134.195234268795"/>
    <n v="2447272.3996785786"/>
    <n v="853891.3996785786"/>
    <n v="2"/>
  </r>
  <r>
    <s v="L0020"/>
    <s v="Mohit Jain"/>
    <n v="50"/>
    <s v="F"/>
    <x v="0"/>
    <n v="1293844"/>
    <n v="1602669"/>
    <n v="9.49"/>
    <n v="96"/>
    <n v="608"/>
    <x v="0"/>
    <x v="1"/>
    <d v="2024-01-27T00:00:00"/>
    <x v="3"/>
    <n v="23888.820281242952"/>
    <n v="2293326.7469993234"/>
    <n v="690657.74699932337"/>
    <n v="1"/>
  </r>
  <r>
    <s v="L0021"/>
    <s v="Neha Sharma"/>
    <n v="25"/>
    <s v="M"/>
    <x v="2"/>
    <n v="1017659"/>
    <n v="1458736"/>
    <n v="13.76"/>
    <n v="84"/>
    <n v="764"/>
    <x v="3"/>
    <x v="1"/>
    <d v="2018-03-01T00:00:00"/>
    <x v="2"/>
    <n v="27143.696075889573"/>
    <n v="2280070.4703747239"/>
    <n v="821334.4703747239"/>
    <n v="7"/>
  </r>
  <r>
    <s v="L0022"/>
    <s v="Meena George"/>
    <n v="32"/>
    <s v="M"/>
    <x v="0"/>
    <n v="849506"/>
    <n v="1711239"/>
    <n v="12.89"/>
    <n v="36"/>
    <n v="700"/>
    <x v="3"/>
    <x v="1"/>
    <d v="2022-11-15T00:00:00"/>
    <x v="0"/>
    <n v="57567.780184846866"/>
    <n v="2072440.0866544871"/>
    <n v="361201.08665448707"/>
    <n v="3"/>
  </r>
  <r>
    <s v="L0023"/>
    <s v="Deepika Joshi"/>
    <n v="55"/>
    <s v="M"/>
    <x v="1"/>
    <n v="1756371"/>
    <n v="348472"/>
    <n v="11.3"/>
    <n v="120"/>
    <n v="678"/>
    <x v="3"/>
    <x v="1"/>
    <d v="2024-01-25T00:00:00"/>
    <x v="2"/>
    <n v="4859.5689771274865"/>
    <n v="583148.27725529834"/>
    <n v="234676.27725529834"/>
    <n v="1"/>
  </r>
  <r>
    <s v="L0024"/>
    <s v="Aarav Patel"/>
    <n v="56"/>
    <s v="M"/>
    <x v="2"/>
    <n v="1690372"/>
    <n v="1684169"/>
    <n v="8.86"/>
    <n v="72"/>
    <n v="750"/>
    <x v="3"/>
    <x v="1"/>
    <d v="2024-06-16T00:00:00"/>
    <x v="0"/>
    <n v="30241.161576127481"/>
    <n v="2177363.6334811784"/>
    <n v="493194.63348117843"/>
    <n v="1"/>
  </r>
  <r>
    <s v="L0025"/>
    <s v="Priya Singh"/>
    <n v="43"/>
    <s v="F"/>
    <x v="1"/>
    <n v="362436"/>
    <n v="540212"/>
    <n v="11"/>
    <n v="72"/>
    <n v="603"/>
    <x v="3"/>
    <x v="0"/>
    <d v="2018-08-18T00:00:00"/>
    <x v="3"/>
    <n v="10282.437885129282"/>
    <n v="740335.52772930835"/>
    <n v="200123.52772930835"/>
    <n v="7"/>
  </r>
  <r>
    <s v="L0026"/>
    <s v="Rohit Khanna"/>
    <n v="47"/>
    <s v="F"/>
    <x v="0"/>
    <n v="1080006"/>
    <n v="846952"/>
    <n v="7.73"/>
    <n v="72"/>
    <n v="778"/>
    <x v="0"/>
    <x v="0"/>
    <d v="2022-05-02T00:00:00"/>
    <x v="0"/>
    <n v="14738.405067673193"/>
    <n v="1061165.1648724698"/>
    <n v="214213.16487246985"/>
    <n v="3"/>
  </r>
  <r>
    <s v="L0027"/>
    <s v="Pooja Reddy"/>
    <n v="44"/>
    <s v="F"/>
    <x v="0"/>
    <n v="1198977"/>
    <n v="345195"/>
    <n v="11.43"/>
    <n v="84"/>
    <n v="710"/>
    <x v="3"/>
    <x v="1"/>
    <d v="2022-07-09T00:00:00"/>
    <x v="0"/>
    <n v="5988.9129422854321"/>
    <n v="503068.68715197628"/>
    <n v="157873.68715197628"/>
    <n v="3"/>
  </r>
  <r>
    <s v="L0028"/>
    <s v="Pooja Reddy"/>
    <n v="49"/>
    <s v="M"/>
    <x v="2"/>
    <n v="651311"/>
    <n v="1965525"/>
    <n v="13.9"/>
    <n v="72"/>
    <n v="600"/>
    <x v="1"/>
    <x v="0"/>
    <d v="2023-07-12T00:00:00"/>
    <x v="2"/>
    <n v="40395.923615263557"/>
    <n v="2908506.500298976"/>
    <n v="942981.50029897597"/>
    <n v="2"/>
  </r>
  <r>
    <s v="L0029"/>
    <s v="Raj Kumar"/>
    <n v="56"/>
    <s v="M"/>
    <x v="0"/>
    <n v="1052804"/>
    <n v="1853373"/>
    <n v="11.32"/>
    <n v="72"/>
    <n v="807"/>
    <x v="3"/>
    <x v="1"/>
    <d v="2023-09-20T00:00:00"/>
    <x v="2"/>
    <n v="35581.763254507416"/>
    <n v="2561886.9543245342"/>
    <n v="708513.95432453416"/>
    <n v="2"/>
  </r>
  <r>
    <s v="L0030"/>
    <s v="Aditya Sharma"/>
    <n v="26"/>
    <s v="F"/>
    <x v="0"/>
    <n v="980550"/>
    <n v="963491"/>
    <n v="10.88"/>
    <n v="36"/>
    <n v="642"/>
    <x v="0"/>
    <x v="1"/>
    <d v="2019-08-21T00:00:00"/>
    <x v="2"/>
    <n v="31488.734585064041"/>
    <n v="1133594.4450623055"/>
    <n v="170103.44506230555"/>
    <n v="6"/>
  </r>
  <r>
    <s v="L0031"/>
    <s v="Rohan Nair"/>
    <n v="44"/>
    <s v="F"/>
    <x v="0"/>
    <n v="962615"/>
    <n v="1028895"/>
    <n v="10.86"/>
    <n v="72"/>
    <n v="679"/>
    <x v="3"/>
    <x v="1"/>
    <d v="2023-03-16T00:00:00"/>
    <x v="2"/>
    <n v="19510.369687798335"/>
    <n v="1404746.6175214802"/>
    <n v="375851.61752148019"/>
    <n v="2"/>
  </r>
  <r>
    <s v="L0032"/>
    <s v="Kiran Menon"/>
    <n v="25"/>
    <s v="F"/>
    <x v="0"/>
    <n v="877370"/>
    <n v="1480468"/>
    <n v="13.76"/>
    <n v="72"/>
    <n v="835"/>
    <x v="0"/>
    <x v="1"/>
    <d v="2022-01-08T00:00:00"/>
    <x v="1"/>
    <n v="30316.20554585474"/>
    <n v="2182766.7993015414"/>
    <n v="702298.79930154141"/>
    <n v="3"/>
  </r>
  <r>
    <s v="L0033"/>
    <s v="Rina Kapoor"/>
    <n v="58"/>
    <s v="M"/>
    <x v="2"/>
    <n v="809412"/>
    <n v="656058"/>
    <n v="13.83"/>
    <n v="60"/>
    <n v="656"/>
    <x v="2"/>
    <x v="1"/>
    <d v="2024-01-27T00:00:00"/>
    <x v="0"/>
    <n v="15207.562546336945"/>
    <n v="912453.75278021675"/>
    <n v="256395.75278021675"/>
    <n v="1"/>
  </r>
  <r>
    <s v="L0034"/>
    <s v="Priya Singh"/>
    <n v="49"/>
    <s v="M"/>
    <x v="2"/>
    <n v="1926568"/>
    <n v="1471781"/>
    <n v="14.41"/>
    <n v="84"/>
    <n v="847"/>
    <x v="1"/>
    <x v="1"/>
    <d v="2022-02-07T00:00:00"/>
    <x v="3"/>
    <n v="27915.611437224841"/>
    <n v="2344911.3607268864"/>
    <n v="873130.36072688643"/>
    <n v="3"/>
  </r>
  <r>
    <s v="L0035"/>
    <s v="Amit Yadav"/>
    <n v="48"/>
    <s v="M"/>
    <x v="2"/>
    <n v="1622926"/>
    <n v="1900245"/>
    <n v="10.68"/>
    <n v="72"/>
    <n v="713"/>
    <x v="2"/>
    <x v="1"/>
    <d v="2019-08-29T00:00:00"/>
    <x v="2"/>
    <n v="35858.728972018616"/>
    <n v="2581828.4859853406"/>
    <n v="681583.48598534055"/>
    <n v="6"/>
  </r>
  <r>
    <s v="L0036"/>
    <s v="Rohit Khanna"/>
    <n v="27"/>
    <s v="F"/>
    <x v="1"/>
    <n v="1192494"/>
    <n v="871151"/>
    <n v="11.32"/>
    <n v="60"/>
    <n v="810"/>
    <x v="0"/>
    <x v="0"/>
    <d v="2019-07-04T00:00:00"/>
    <x v="1"/>
    <n v="19080.254067996899"/>
    <n v="1144815.2440798138"/>
    <n v="273664.24407981383"/>
    <n v="6"/>
  </r>
  <r>
    <s v="L0037"/>
    <s v="Raj Kumar"/>
    <n v="46"/>
    <s v="F"/>
    <x v="1"/>
    <n v="1211256"/>
    <n v="427008"/>
    <n v="8.9600000000000009"/>
    <n v="60"/>
    <n v="678"/>
    <x v="0"/>
    <x v="1"/>
    <d v="2024-04-01T00:00:00"/>
    <x v="0"/>
    <n v="8855.6964286928687"/>
    <n v="531341.78572157212"/>
    <n v="104333.78572157212"/>
    <n v="1"/>
  </r>
  <r>
    <s v="L0038"/>
    <s v="Amit Yadav"/>
    <n v="56"/>
    <s v="M"/>
    <x v="2"/>
    <n v="1279751"/>
    <n v="1998199"/>
    <n v="12.58"/>
    <n v="84"/>
    <n v="812"/>
    <x v="0"/>
    <x v="1"/>
    <d v="2019-07-10T00:00:00"/>
    <x v="0"/>
    <n v="35896.457418026119"/>
    <n v="3015302.4231141941"/>
    <n v="1017103.4231141941"/>
    <n v="6"/>
  </r>
  <r>
    <s v="L0039"/>
    <s v="Amit Yadav"/>
    <n v="41"/>
    <s v="M"/>
    <x v="1"/>
    <n v="1511815"/>
    <n v="1472408"/>
    <n v="11.87"/>
    <n v="120"/>
    <n v="611"/>
    <x v="2"/>
    <x v="1"/>
    <d v="2023-06-08T00:00:00"/>
    <x v="0"/>
    <n v="21014.272357914604"/>
    <n v="2521712.6829497525"/>
    <n v="1049304.6829497525"/>
    <n v="2"/>
  </r>
  <r>
    <s v="L0040"/>
    <s v="Raj Kumar"/>
    <n v="40"/>
    <s v="M"/>
    <x v="1"/>
    <n v="1511979"/>
    <n v="1707498"/>
    <n v="11.87"/>
    <n v="72"/>
    <n v="783"/>
    <x v="0"/>
    <x v="0"/>
    <d v="2019-04-11T00:00:00"/>
    <x v="1"/>
    <n v="33266.594617778203"/>
    <n v="2395194.8124800306"/>
    <n v="687696.81248003058"/>
    <n v="6"/>
  </r>
  <r>
    <s v="L0041"/>
    <s v="Rina Kapoor"/>
    <n v="42"/>
    <s v="M"/>
    <x v="0"/>
    <n v="1289666"/>
    <n v="968173"/>
    <n v="10.77"/>
    <n v="48"/>
    <n v="720"/>
    <x v="2"/>
    <x v="0"/>
    <d v="2024-01-23T00:00:00"/>
    <x v="1"/>
    <n v="24914.934792922719"/>
    <n v="1195916.8700602904"/>
    <n v="227743.87006029044"/>
    <n v="1"/>
  </r>
  <r>
    <s v="L0042"/>
    <s v="Arjun Mehta"/>
    <n v="33"/>
    <s v="M"/>
    <x v="2"/>
    <n v="1741872"/>
    <n v="1666082"/>
    <n v="12.87"/>
    <n v="120"/>
    <n v="830"/>
    <x v="0"/>
    <x v="1"/>
    <d v="2021-11-06T00:00:00"/>
    <x v="3"/>
    <n v="24748.806496927176"/>
    <n v="2969856.7796312612"/>
    <n v="1303774.7796312612"/>
    <n v="4"/>
  </r>
  <r>
    <s v="L0043"/>
    <s v="Sneha Pillai"/>
    <n v="60"/>
    <s v="F"/>
    <x v="0"/>
    <n v="1983045"/>
    <n v="1471213"/>
    <n v="14.24"/>
    <n v="84"/>
    <n v="716"/>
    <x v="1"/>
    <x v="1"/>
    <d v="2020-12-26T00:00:00"/>
    <x v="1"/>
    <n v="27765.970119708469"/>
    <n v="2332341.4900555112"/>
    <n v="861128.49005551124"/>
    <n v="5"/>
  </r>
  <r>
    <s v="L0044"/>
    <s v="Sneha Pillai"/>
    <n v="46"/>
    <s v="F"/>
    <x v="1"/>
    <n v="826503"/>
    <n v="1294689"/>
    <n v="11.86"/>
    <n v="60"/>
    <n v="757"/>
    <x v="1"/>
    <x v="1"/>
    <d v="2018-11-15T00:00:00"/>
    <x v="0"/>
    <n v="28708.130673893233"/>
    <n v="1722487.8404335938"/>
    <n v="427798.84043359384"/>
    <n v="7"/>
  </r>
  <r>
    <s v="L0045"/>
    <s v="Priya Singh"/>
    <n v="35"/>
    <s v="F"/>
    <x v="2"/>
    <n v="1750909"/>
    <n v="573380"/>
    <n v="9.4"/>
    <n v="120"/>
    <n v="646"/>
    <x v="3"/>
    <x v="1"/>
    <d v="2023-09-15T00:00:00"/>
    <x v="0"/>
    <n v="7388.0402485181467"/>
    <n v="886564.82982217765"/>
    <n v="313184.82982217765"/>
    <n v="2"/>
  </r>
  <r>
    <s v="L0046"/>
    <s v="Mohit Jain"/>
    <n v="36"/>
    <s v="F"/>
    <x v="0"/>
    <n v="615911"/>
    <n v="1927867"/>
    <n v="8.82"/>
    <n v="36"/>
    <n v="843"/>
    <x v="2"/>
    <x v="1"/>
    <d v="2020-12-08T00:00:00"/>
    <x v="2"/>
    <n v="61144.277164330124"/>
    <n v="2201193.9779158845"/>
    <n v="273326.97791588446"/>
    <n v="5"/>
  </r>
  <r>
    <s v="L0047"/>
    <s v="Arjun Mehta"/>
    <n v="27"/>
    <s v="M"/>
    <x v="1"/>
    <n v="1294025"/>
    <n v="1202735"/>
    <n v="10.55"/>
    <n v="48"/>
    <n v="716"/>
    <x v="2"/>
    <x v="1"/>
    <d v="2020-02-28T00:00:00"/>
    <x v="2"/>
    <n v="30823.131496872018"/>
    <n v="1479510.3118498567"/>
    <n v="276775.31184985675"/>
    <n v="5"/>
  </r>
  <r>
    <s v="L0048"/>
    <s v="Aarav Patel"/>
    <n v="60"/>
    <s v="F"/>
    <x v="1"/>
    <n v="1001084"/>
    <n v="1561462"/>
    <n v="10.06"/>
    <n v="96"/>
    <n v="716"/>
    <x v="0"/>
    <x v="1"/>
    <d v="2020-09-15T00:00:00"/>
    <x v="0"/>
    <n v="23743.482995754657"/>
    <n v="2279374.367592447"/>
    <n v="717912.36759244697"/>
    <n v="5"/>
  </r>
  <r>
    <s v="L0049"/>
    <s v="Meena George"/>
    <n v="43"/>
    <s v="M"/>
    <x v="1"/>
    <n v="629458"/>
    <n v="1023291"/>
    <n v="13.15"/>
    <n v="120"/>
    <n v="780"/>
    <x v="1"/>
    <x v="0"/>
    <d v="2023-11-17T00:00:00"/>
    <x v="2"/>
    <n v="15369.501242203971"/>
    <n v="1844340.1490644766"/>
    <n v="821049.1490644766"/>
    <n v="2"/>
  </r>
  <r>
    <s v="L0050"/>
    <s v="Rohan Nair"/>
    <n v="37"/>
    <s v="F"/>
    <x v="0"/>
    <n v="1560769"/>
    <n v="1682271"/>
    <n v="11.61"/>
    <n v="72"/>
    <n v="676"/>
    <x v="0"/>
    <x v="1"/>
    <d v="2024-09-29T00:00:00"/>
    <x v="1"/>
    <n v="32548.53959202821"/>
    <n v="2343494.8506260309"/>
    <n v="661223.85062603094"/>
    <n v="1"/>
  </r>
  <r>
    <s v="L0051"/>
    <s v="Aditya Sharma"/>
    <n v="60"/>
    <s v="M"/>
    <x v="1"/>
    <n v="532674"/>
    <n v="466686"/>
    <n v="12.33"/>
    <n v="120"/>
    <n v="771"/>
    <x v="2"/>
    <x v="0"/>
    <d v="2020-06-03T00:00:00"/>
    <x v="1"/>
    <n v="6784.9182440059067"/>
    <n v="814190.18928070879"/>
    <n v="347504.18928070879"/>
    <n v="5"/>
  </r>
  <r>
    <s v="L0052"/>
    <s v="Raj Kumar"/>
    <n v="41"/>
    <s v="M"/>
    <x v="2"/>
    <n v="1549592"/>
    <n v="485689"/>
    <n v="10.52"/>
    <n v="48"/>
    <n v="739"/>
    <x v="3"/>
    <x v="1"/>
    <d v="2020-10-27T00:00:00"/>
    <x v="2"/>
    <n v="12439.971606332556"/>
    <n v="597118.63710396271"/>
    <n v="111429.63710396271"/>
    <n v="5"/>
  </r>
  <r>
    <s v="L0053"/>
    <s v="Kiran Menon"/>
    <n v="39"/>
    <s v="M"/>
    <x v="0"/>
    <n v="1177113"/>
    <n v="1178718"/>
    <n v="10.01"/>
    <n v="120"/>
    <n v="710"/>
    <x v="2"/>
    <x v="1"/>
    <d v="2021-11-23T00:00:00"/>
    <x v="3"/>
    <n v="15583.373165475961"/>
    <n v="1870004.7798571154"/>
    <n v="691286.77985711535"/>
    <n v="4"/>
  </r>
  <r>
    <s v="L0054"/>
    <s v="Kiran Menon"/>
    <n v="36"/>
    <s v="M"/>
    <x v="0"/>
    <n v="311595"/>
    <n v="1560011"/>
    <n v="10.92"/>
    <n v="96"/>
    <n v="654"/>
    <x v="0"/>
    <x v="1"/>
    <d v="2024-11-01T00:00:00"/>
    <x v="1"/>
    <n v="24438.05443598123"/>
    <n v="2346053.225854198"/>
    <n v="786042.22585419798"/>
    <n v="1"/>
  </r>
  <r>
    <s v="L0055"/>
    <s v="Vikram Das"/>
    <n v="39"/>
    <s v="F"/>
    <x v="1"/>
    <n v="1654524"/>
    <n v="1385829"/>
    <n v="10.44"/>
    <n v="48"/>
    <n v="749"/>
    <x v="3"/>
    <x v="1"/>
    <d v="2022-05-26T00:00:00"/>
    <x v="3"/>
    <n v="35441.76324348386"/>
    <n v="1701204.6356872253"/>
    <n v="315375.63568722527"/>
    <n v="3"/>
  </r>
  <r>
    <s v="L0056"/>
    <s v="Sneha Pillai"/>
    <n v="32"/>
    <s v="M"/>
    <x v="1"/>
    <n v="1792786"/>
    <n v="1554312"/>
    <n v="14.26"/>
    <n v="72"/>
    <n v="695"/>
    <x v="1"/>
    <x v="1"/>
    <d v="2019-08-23T00:00:00"/>
    <x v="0"/>
    <n v="32244.54309318736"/>
    <n v="2321607.1027094899"/>
    <n v="767295.10270948987"/>
    <n v="6"/>
  </r>
  <r>
    <s v="L0057"/>
    <s v="Kiran Menon"/>
    <n v="33"/>
    <s v="M"/>
    <x v="0"/>
    <n v="730533"/>
    <n v="1207882"/>
    <n v="7.55"/>
    <n v="60"/>
    <n v="600"/>
    <x v="0"/>
    <x v="1"/>
    <d v="2021-05-26T00:00:00"/>
    <x v="3"/>
    <n v="24232.186769447559"/>
    <n v="1453931.2061668534"/>
    <n v="246049.20616685343"/>
    <n v="4"/>
  </r>
  <r>
    <s v="L0058"/>
    <s v="Sneha Pillai"/>
    <n v="43"/>
    <s v="M"/>
    <x v="2"/>
    <n v="1995394"/>
    <n v="1674570"/>
    <n v="12.48"/>
    <n v="96"/>
    <n v="748"/>
    <x v="3"/>
    <x v="0"/>
    <d v="2022-02-14T00:00:00"/>
    <x v="0"/>
    <n v="27660.082102373286"/>
    <n v="2655367.8818278355"/>
    <n v="980797.88182783546"/>
    <n v="3"/>
  </r>
  <r>
    <s v="L0059"/>
    <s v="Vikram Das"/>
    <n v="60"/>
    <s v="M"/>
    <x v="2"/>
    <n v="1592232"/>
    <n v="516019"/>
    <n v="14.05"/>
    <n v="120"/>
    <n v="833"/>
    <x v="3"/>
    <x v="1"/>
    <d v="2020-04-08T00:00:00"/>
    <x v="2"/>
    <n v="8027.5634880754751"/>
    <n v="963307.61856905697"/>
    <n v="447288.61856905697"/>
    <n v="5"/>
  </r>
  <r>
    <s v="L0060"/>
    <s v="Meena George"/>
    <n v="39"/>
    <s v="M"/>
    <x v="0"/>
    <n v="552508"/>
    <n v="718320"/>
    <n v="10.199999999999999"/>
    <n v="72"/>
    <n v="678"/>
    <x v="3"/>
    <x v="1"/>
    <d v="2018-12-16T00:00:00"/>
    <x v="3"/>
    <n v="13380.040966981775"/>
    <n v="963362.94962268777"/>
    <n v="245042.94962268777"/>
    <n v="7"/>
  </r>
  <r>
    <s v="L0061"/>
    <s v="Tanya Rao"/>
    <n v="36"/>
    <s v="M"/>
    <x v="1"/>
    <n v="571901"/>
    <n v="1126857"/>
    <n v="14.13"/>
    <n v="48"/>
    <n v="754"/>
    <x v="2"/>
    <x v="0"/>
    <d v="2023-08-27T00:00:00"/>
    <x v="0"/>
    <n v="30866.566347154512"/>
    <n v="1481595.1846634166"/>
    <n v="354738.18466341658"/>
    <n v="2"/>
  </r>
  <r>
    <s v="L0062"/>
    <s v="Priya Singh"/>
    <n v="39"/>
    <s v="F"/>
    <x v="0"/>
    <n v="1237282"/>
    <n v="1559597"/>
    <n v="14.6"/>
    <n v="96"/>
    <n v="648"/>
    <x v="3"/>
    <x v="0"/>
    <d v="2021-11-22T00:00:00"/>
    <x v="1"/>
    <n v="27627.786862913894"/>
    <n v="2652267.5388397337"/>
    <n v="1092670.5388397337"/>
    <n v="4"/>
  </r>
  <r>
    <s v="L0063"/>
    <s v="Isha Verma"/>
    <n v="25"/>
    <s v="M"/>
    <x v="2"/>
    <n v="595564"/>
    <n v="1818993"/>
    <n v="12.29"/>
    <n v="48"/>
    <n v="728"/>
    <x v="1"/>
    <x v="1"/>
    <d v="2021-09-19T00:00:00"/>
    <x v="0"/>
    <n v="48160.472877545464"/>
    <n v="2311702.6981221824"/>
    <n v="492709.6981221824"/>
    <n v="4"/>
  </r>
  <r>
    <s v="L0064"/>
    <s v="Deepika Joshi"/>
    <n v="60"/>
    <s v="F"/>
    <x v="1"/>
    <n v="490337"/>
    <n v="630764"/>
    <n v="13.28"/>
    <n v="60"/>
    <n v="767"/>
    <x v="1"/>
    <x v="0"/>
    <d v="2024-03-22T00:00:00"/>
    <x v="2"/>
    <n v="14442.391678920405"/>
    <n v="866543.50073522434"/>
    <n v="235779.50073522434"/>
    <n v="1"/>
  </r>
  <r>
    <s v="L0065"/>
    <s v="Mohit Jain"/>
    <n v="40"/>
    <s v="M"/>
    <x v="0"/>
    <n v="1064580"/>
    <n v="318382"/>
    <n v="11.79"/>
    <n v="96"/>
    <n v="781"/>
    <x v="3"/>
    <x v="0"/>
    <d v="2018-01-04T00:00:00"/>
    <x v="2"/>
    <n v="5137.9466484709446"/>
    <n v="493242.87825321069"/>
    <n v="174860.87825321069"/>
    <n v="7"/>
  </r>
  <r>
    <s v="L0066"/>
    <s v="Tanya Rao"/>
    <n v="26"/>
    <s v="F"/>
    <x v="1"/>
    <n v="764905"/>
    <n v="926064"/>
    <n v="9.68"/>
    <n v="72"/>
    <n v="617"/>
    <x v="0"/>
    <x v="1"/>
    <d v="2022-08-03T00:00:00"/>
    <x v="0"/>
    <n v="17007.049143863685"/>
    <n v="1224507.5383581854"/>
    <n v="298443.53835818544"/>
    <n v="3"/>
  </r>
  <r>
    <s v="L0067"/>
    <s v="Isha Verma"/>
    <n v="37"/>
    <s v="F"/>
    <x v="1"/>
    <n v="1240190"/>
    <n v="1799096"/>
    <n v="8.06"/>
    <n v="96"/>
    <n v="703"/>
    <x v="1"/>
    <x v="1"/>
    <d v="2023-07-02T00:00:00"/>
    <x v="1"/>
    <n v="25488.142133353631"/>
    <n v="2446861.6448019487"/>
    <n v="647765.64480194869"/>
    <n v="2"/>
  </r>
  <r>
    <s v="L0068"/>
    <s v="Meena George"/>
    <n v="53"/>
    <s v="M"/>
    <x v="0"/>
    <n v="576170"/>
    <n v="802845"/>
    <n v="8.49"/>
    <n v="48"/>
    <n v="752"/>
    <x v="1"/>
    <x v="1"/>
    <d v="2022-03-31T00:00:00"/>
    <x v="1"/>
    <n v="19784.97692897201"/>
    <n v="949678.89259065641"/>
    <n v="146833.89259065641"/>
    <n v="3"/>
  </r>
  <r>
    <s v="L0069"/>
    <s v="Kiran Menon"/>
    <n v="25"/>
    <s v="M"/>
    <x v="1"/>
    <n v="1147695"/>
    <n v="245926"/>
    <n v="13.63"/>
    <n v="120"/>
    <n v="645"/>
    <x v="3"/>
    <x v="0"/>
    <d v="2021-10-16T00:00:00"/>
    <x v="3"/>
    <n v="3763.885419272161"/>
    <n v="451666.25031265931"/>
    <n v="205740.25031265931"/>
    <n v="4"/>
  </r>
  <r>
    <s v="L0070"/>
    <s v="Sneha Pillai"/>
    <n v="37"/>
    <s v="F"/>
    <x v="0"/>
    <n v="1547959"/>
    <n v="1537030"/>
    <n v="14.73"/>
    <n v="96"/>
    <n v="652"/>
    <x v="1"/>
    <x v="1"/>
    <d v="2019-09-12T00:00:00"/>
    <x v="3"/>
    <n v="27343.009839949653"/>
    <n v="2624928.9446351668"/>
    <n v="1087898.9446351668"/>
    <n v="6"/>
  </r>
  <r>
    <s v="L0071"/>
    <s v="Deepika Joshi"/>
    <n v="60"/>
    <s v="F"/>
    <x v="0"/>
    <n v="1217816"/>
    <n v="330475"/>
    <n v="12.57"/>
    <n v="120"/>
    <n v="641"/>
    <x v="0"/>
    <x v="1"/>
    <d v="2018-09-30T00:00:00"/>
    <x v="3"/>
    <n v="4850.8855551226106"/>
    <n v="582106.26661471324"/>
    <n v="251631.26661471324"/>
    <n v="7"/>
  </r>
  <r>
    <s v="L0072"/>
    <s v="Aarav Patel"/>
    <n v="41"/>
    <s v="M"/>
    <x v="2"/>
    <n v="1562311"/>
    <n v="273110"/>
    <n v="10.98"/>
    <n v="120"/>
    <n v="699"/>
    <x v="1"/>
    <x v="1"/>
    <d v="2023-01-18T00:00:00"/>
    <x v="0"/>
    <n v="3758.9993114536901"/>
    <n v="451079.9173744428"/>
    <n v="177969.9173744428"/>
    <n v="2"/>
  </r>
  <r>
    <s v="L0073"/>
    <s v="Aditya Sharma"/>
    <n v="55"/>
    <s v="F"/>
    <x v="0"/>
    <n v="1659508"/>
    <n v="989777"/>
    <n v="9.15"/>
    <n v="36"/>
    <n v="689"/>
    <x v="2"/>
    <x v="1"/>
    <d v="2023-07-29T00:00:00"/>
    <x v="3"/>
    <n v="31543.78773243248"/>
    <n v="1135576.3583675693"/>
    <n v="145799.35836756928"/>
    <n v="2"/>
  </r>
  <r>
    <s v="L0074"/>
    <s v="Rina Kapoor"/>
    <n v="51"/>
    <s v="F"/>
    <x v="1"/>
    <n v="1376172"/>
    <n v="323517"/>
    <n v="14.65"/>
    <n v="60"/>
    <n v="839"/>
    <x v="2"/>
    <x v="1"/>
    <d v="2021-11-25T00:00:00"/>
    <x v="1"/>
    <n v="7637.1383911255807"/>
    <n v="458228.30346753483"/>
    <n v="134711.30346753483"/>
    <n v="4"/>
  </r>
  <r>
    <s v="L0075"/>
    <s v="Sahil Gupta"/>
    <n v="44"/>
    <s v="F"/>
    <x v="2"/>
    <n v="1892654"/>
    <n v="653425"/>
    <n v="10.6"/>
    <n v="96"/>
    <n v="833"/>
    <x v="0"/>
    <x v="1"/>
    <d v="2019-05-23T00:00:00"/>
    <x v="3"/>
    <n v="10123.836378507245"/>
    <n v="971888.29233669559"/>
    <n v="318463.29233669559"/>
    <n v="6"/>
  </r>
  <r>
    <s v="L0076"/>
    <s v="Raj Kumar"/>
    <n v="48"/>
    <s v="M"/>
    <x v="0"/>
    <n v="1003091"/>
    <n v="353919"/>
    <n v="12.24"/>
    <n v="36"/>
    <n v="600"/>
    <x v="0"/>
    <x v="1"/>
    <d v="2022-12-15T00:00:00"/>
    <x v="1"/>
    <n v="11795.785865746684"/>
    <n v="424648.29116688063"/>
    <n v="70729.291166880634"/>
    <n v="3"/>
  </r>
  <r>
    <s v="L0077"/>
    <s v="Arjun Mehta"/>
    <n v="57"/>
    <s v="F"/>
    <x v="0"/>
    <n v="328849"/>
    <n v="1199993"/>
    <n v="10.27"/>
    <n v="84"/>
    <n v="704"/>
    <x v="3"/>
    <x v="1"/>
    <d v="2024-08-01T00:00:00"/>
    <x v="1"/>
    <n v="20089.112727001168"/>
    <n v="1687485.4690680981"/>
    <n v="487492.46906809811"/>
    <n v="1"/>
  </r>
  <r>
    <s v="L0078"/>
    <s v="Meena George"/>
    <n v="44"/>
    <s v="F"/>
    <x v="0"/>
    <n v="844540"/>
    <n v="702272"/>
    <n v="14.04"/>
    <n v="60"/>
    <n v="723"/>
    <x v="3"/>
    <x v="1"/>
    <d v="2023-10-28T00:00:00"/>
    <x v="2"/>
    <n v="16355.208071290941"/>
    <n v="981312.48427745642"/>
    <n v="279040.48427745642"/>
    <n v="2"/>
  </r>
  <r>
    <s v="L0079"/>
    <s v="Neha Sharma"/>
    <n v="39"/>
    <s v="F"/>
    <x v="1"/>
    <n v="1509416"/>
    <n v="1729443"/>
    <n v="9.66"/>
    <n v="120"/>
    <n v="771"/>
    <x v="1"/>
    <x v="1"/>
    <d v="2021-12-16T00:00:00"/>
    <x v="0"/>
    <n v="22530.348768199441"/>
    <n v="2703641.8521839329"/>
    <n v="974198.8521839329"/>
    <n v="4"/>
  </r>
  <r>
    <s v="L0080"/>
    <s v="Isha Verma"/>
    <n v="34"/>
    <s v="F"/>
    <x v="2"/>
    <n v="1250924"/>
    <n v="1050471"/>
    <n v="12.1"/>
    <n v="60"/>
    <n v="667"/>
    <x v="0"/>
    <x v="1"/>
    <d v="2019-06-02T00:00:00"/>
    <x v="3"/>
    <n v="23420.265612237406"/>
    <n v="1405215.9367342445"/>
    <n v="354744.93673424446"/>
    <n v="6"/>
  </r>
  <r>
    <s v="L0081"/>
    <s v="Kiran Menon"/>
    <n v="56"/>
    <s v="F"/>
    <x v="1"/>
    <n v="1999759"/>
    <n v="1114437"/>
    <n v="12.56"/>
    <n v="84"/>
    <n v="624"/>
    <x v="0"/>
    <x v="1"/>
    <d v="2023-08-25T00:00:00"/>
    <x v="3"/>
    <n v="20008.165624545472"/>
    <n v="1680685.9124618196"/>
    <n v="566248.91246181959"/>
    <n v="2"/>
  </r>
  <r>
    <s v="L0082"/>
    <s v="Raj Kumar"/>
    <n v="31"/>
    <s v="M"/>
    <x v="1"/>
    <n v="1706829"/>
    <n v="1176231"/>
    <n v="9.42"/>
    <n v="60"/>
    <n v="826"/>
    <x v="2"/>
    <x v="1"/>
    <d v="2024-05-14T00:00:00"/>
    <x v="1"/>
    <n v="24657.080494400721"/>
    <n v="1479424.8296640434"/>
    <n v="303193.82966404338"/>
    <n v="1"/>
  </r>
  <r>
    <s v="L0083"/>
    <s v="Priya Singh"/>
    <n v="60"/>
    <s v="M"/>
    <x v="1"/>
    <n v="1616835"/>
    <n v="1380297"/>
    <n v="9.92"/>
    <n v="84"/>
    <n v="734"/>
    <x v="3"/>
    <x v="1"/>
    <d v="2020-05-29T00:00:00"/>
    <x v="3"/>
    <n v="22857.549453050302"/>
    <n v="1920034.1540562254"/>
    <n v="539737.15405622544"/>
    <n v="5"/>
  </r>
  <r>
    <s v="L0084"/>
    <s v="Raj Kumar"/>
    <n v="49"/>
    <s v="M"/>
    <x v="0"/>
    <n v="917640"/>
    <n v="408992"/>
    <n v="13.72"/>
    <n v="60"/>
    <n v="746"/>
    <x v="2"/>
    <x v="1"/>
    <d v="2022-02-22T00:00:00"/>
    <x v="1"/>
    <n v="9457.2624950622267"/>
    <n v="567435.7497037336"/>
    <n v="158443.7497037336"/>
    <n v="3"/>
  </r>
  <r>
    <s v="L0085"/>
    <s v="Isha Verma"/>
    <n v="47"/>
    <s v="M"/>
    <x v="1"/>
    <n v="1269284"/>
    <n v="261901"/>
    <n v="9.2100000000000009"/>
    <n v="72"/>
    <n v="770"/>
    <x v="2"/>
    <x v="1"/>
    <d v="2023-08-16T00:00:00"/>
    <x v="2"/>
    <n v="4748.2489987911094"/>
    <n v="341873.92791295989"/>
    <n v="79972.927912959887"/>
    <n v="2"/>
  </r>
  <r>
    <s v="L0086"/>
    <s v="Priya Singh"/>
    <n v="57"/>
    <s v="M"/>
    <x v="2"/>
    <n v="735682"/>
    <n v="996631"/>
    <n v="12.23"/>
    <n v="84"/>
    <n v="799"/>
    <x v="0"/>
    <x v="0"/>
    <d v="2020-11-27T00:00:00"/>
    <x v="1"/>
    <n v="17716.081586205422"/>
    <n v="1488150.8532412555"/>
    <n v="491519.85324125551"/>
    <n v="5"/>
  </r>
  <r>
    <s v="L0087"/>
    <s v="Priya Singh"/>
    <n v="25"/>
    <s v="F"/>
    <x v="2"/>
    <n v="475919"/>
    <n v="318917"/>
    <n v="9.5"/>
    <n v="84"/>
    <n v="842"/>
    <x v="0"/>
    <x v="1"/>
    <d v="2018-10-15T00:00:00"/>
    <x v="1"/>
    <n v="5212.3736058546483"/>
    <n v="437839.38289179048"/>
    <n v="118922.38289179048"/>
    <n v="7"/>
  </r>
  <r>
    <s v="L0088"/>
    <s v="Pooja Reddy"/>
    <n v="33"/>
    <s v="M"/>
    <x v="0"/>
    <n v="1594456"/>
    <n v="1657294"/>
    <n v="14.42"/>
    <n v="84"/>
    <n v="746"/>
    <x v="0"/>
    <x v="0"/>
    <d v="2022-08-08T00:00:00"/>
    <x v="1"/>
    <n v="31443.494308914778"/>
    <n v="2641253.5219488414"/>
    <n v="983959.5219488414"/>
    <n v="3"/>
  </r>
  <r>
    <s v="L0089"/>
    <s v="Amit Yadav"/>
    <n v="46"/>
    <s v="F"/>
    <x v="1"/>
    <n v="1209663"/>
    <n v="1929713"/>
    <n v="8.52"/>
    <n v="36"/>
    <n v="609"/>
    <x v="2"/>
    <x v="0"/>
    <d v="2024-08-20T00:00:00"/>
    <x v="2"/>
    <n v="60934.17225615697"/>
    <n v="2193630.2012216509"/>
    <n v="263917.20122165093"/>
    <n v="1"/>
  </r>
  <r>
    <s v="L0090"/>
    <s v="Vikram Das"/>
    <n v="31"/>
    <s v="F"/>
    <x v="2"/>
    <n v="1341291"/>
    <n v="937092"/>
    <n v="11.75"/>
    <n v="96"/>
    <n v="835"/>
    <x v="2"/>
    <x v="1"/>
    <d v="2021-10-06T00:00:00"/>
    <x v="0"/>
    <n v="15101.981550064129"/>
    <n v="1449790.2288061564"/>
    <n v="512698.22880615643"/>
    <n v="4"/>
  </r>
  <r>
    <s v="L0091"/>
    <s v="Arjun Mehta"/>
    <n v="32"/>
    <s v="F"/>
    <x v="0"/>
    <n v="1399394"/>
    <n v="378800"/>
    <n v="10.62"/>
    <n v="48"/>
    <n v="840"/>
    <x v="0"/>
    <x v="1"/>
    <d v="2018-09-02T00:00:00"/>
    <x v="1"/>
    <n v="9720.5274670300496"/>
    <n v="466585.31841744238"/>
    <n v="87785.31841744238"/>
    <n v="7"/>
  </r>
  <r>
    <s v="L0092"/>
    <s v="Mohit Jain"/>
    <n v="37"/>
    <s v="M"/>
    <x v="0"/>
    <n v="1212426"/>
    <n v="1650074"/>
    <n v="14.08"/>
    <n v="84"/>
    <n v="625"/>
    <x v="3"/>
    <x v="1"/>
    <d v="2021-06-17T00:00:00"/>
    <x v="0"/>
    <n v="30995.374077282384"/>
    <n v="2603611.4224917204"/>
    <n v="953537.42249172041"/>
    <n v="4"/>
  </r>
  <r>
    <s v="L0093"/>
    <s v="Sahil Gupta"/>
    <n v="40"/>
    <s v="M"/>
    <x v="2"/>
    <n v="603918"/>
    <n v="564802"/>
    <n v="12.84"/>
    <n v="84"/>
    <n v="657"/>
    <x v="1"/>
    <x v="1"/>
    <d v="2021-03-23T00:00:00"/>
    <x v="1"/>
    <n v="10225.791497504624"/>
    <n v="858966.48579038843"/>
    <n v="294164.48579038843"/>
    <n v="4"/>
  </r>
  <r>
    <s v="L0094"/>
    <s v="Aditya Sharma"/>
    <n v="31"/>
    <s v="F"/>
    <x v="0"/>
    <n v="908618"/>
    <n v="1789127"/>
    <n v="14.68"/>
    <n v="120"/>
    <n v="668"/>
    <x v="3"/>
    <x v="1"/>
    <d v="2018-04-11T00:00:00"/>
    <x v="2"/>
    <n v="28515.275467021096"/>
    <n v="3421833.0560425315"/>
    <n v="1632706.0560425315"/>
    <n v="7"/>
  </r>
  <r>
    <s v="L0095"/>
    <s v="Raj Kumar"/>
    <n v="34"/>
    <s v="F"/>
    <x v="1"/>
    <n v="874133"/>
    <n v="851832"/>
    <n v="9.91"/>
    <n v="48"/>
    <n v="737"/>
    <x v="3"/>
    <x v="1"/>
    <d v="2023-11-01T00:00:00"/>
    <x v="3"/>
    <n v="21567.860944474065"/>
    <n v="1035257.3253347551"/>
    <n v="183425.32533475512"/>
    <n v="2"/>
  </r>
  <r>
    <s v="L0096"/>
    <s v="Deepika Joshi"/>
    <n v="54"/>
    <s v="F"/>
    <x v="2"/>
    <n v="494506"/>
    <n v="1589300"/>
    <n v="10.73"/>
    <n v="96"/>
    <n v="757"/>
    <x v="0"/>
    <x v="0"/>
    <d v="2023-02-28T00:00:00"/>
    <x v="1"/>
    <n v="24734.542967988604"/>
    <n v="2374516.1249269061"/>
    <n v="785216.12492690608"/>
    <n v="2"/>
  </r>
  <r>
    <s v="L0097"/>
    <s v="Rohit Khanna"/>
    <n v="43"/>
    <s v="F"/>
    <x v="1"/>
    <n v="525762"/>
    <n v="1605051"/>
    <n v="12.84"/>
    <n v="120"/>
    <n v="694"/>
    <x v="0"/>
    <x v="1"/>
    <d v="2023-07-15T00:00:00"/>
    <x v="1"/>
    <n v="23813.901947416278"/>
    <n v="2857668.2336899536"/>
    <n v="1252617.2336899536"/>
    <n v="2"/>
  </r>
  <r>
    <s v="L0098"/>
    <s v="Priya Singh"/>
    <n v="53"/>
    <s v="F"/>
    <x v="0"/>
    <n v="1148316"/>
    <n v="664893"/>
    <n v="11.49"/>
    <n v="36"/>
    <n v="772"/>
    <x v="2"/>
    <x v="0"/>
    <d v="2021-05-31T00:00:00"/>
    <x v="2"/>
    <n v="21922.353793769082"/>
    <n v="789204.73657568695"/>
    <n v="124311.73657568695"/>
    <n v="4"/>
  </r>
  <r>
    <s v="L0099"/>
    <s v="Aditya Sharma"/>
    <n v="43"/>
    <s v="F"/>
    <x v="0"/>
    <n v="991101"/>
    <n v="1149546"/>
    <n v="12.12"/>
    <n v="72"/>
    <n v="664"/>
    <x v="1"/>
    <x v="0"/>
    <d v="2019-02-04T00:00:00"/>
    <x v="1"/>
    <n v="22545.645331892949"/>
    <n v="1623286.4638962923"/>
    <n v="473740.46389629226"/>
    <n v="6"/>
  </r>
  <r>
    <s v="L0100"/>
    <s v="Raj Kumar"/>
    <n v="31"/>
    <s v="F"/>
    <x v="0"/>
    <n v="892838"/>
    <n v="875322"/>
    <n v="9.27"/>
    <n v="36"/>
    <n v="734"/>
    <x v="2"/>
    <x v="1"/>
    <d v="2021-04-30T00:00:00"/>
    <x v="3"/>
    <n v="27945.130205335205"/>
    <n v="1006024.6873920674"/>
    <n v="130702.6873920674"/>
    <n v="4"/>
  </r>
  <r>
    <s v="L0101"/>
    <s v="Pooja Reddy"/>
    <n v="54"/>
    <s v="M"/>
    <x v="2"/>
    <n v="538994"/>
    <n v="205454"/>
    <n v="11.92"/>
    <n v="36"/>
    <n v="640"/>
    <x v="0"/>
    <x v="1"/>
    <d v="2024-02-01T00:00:00"/>
    <x v="1"/>
    <n v="6816.1651605096877"/>
    <n v="245381.94577834875"/>
    <n v="39927.945778348745"/>
    <n v="1"/>
  </r>
  <r>
    <s v="L0102"/>
    <s v="Rina Kapoor"/>
    <n v="39"/>
    <s v="F"/>
    <x v="2"/>
    <n v="1968135"/>
    <n v="1969160"/>
    <n v="10.56"/>
    <n v="60"/>
    <n v="649"/>
    <x v="0"/>
    <x v="1"/>
    <d v="2023-06-29T00:00:00"/>
    <x v="1"/>
    <n v="42383.481465931276"/>
    <n v="2543008.8879558765"/>
    <n v="573848.88795587653"/>
    <n v="2"/>
  </r>
  <r>
    <s v="L0103"/>
    <s v="Kiran Menon"/>
    <n v="53"/>
    <s v="M"/>
    <x v="1"/>
    <n v="972774"/>
    <n v="682365"/>
    <n v="13.13"/>
    <n v="36"/>
    <n v="681"/>
    <x v="1"/>
    <x v="0"/>
    <d v="2022-12-23T00:00:00"/>
    <x v="3"/>
    <n v="23034.323863136211"/>
    <n v="829235.65907290357"/>
    <n v="146870.65907290357"/>
    <n v="3"/>
  </r>
  <r>
    <s v="L0104"/>
    <s v="Neha Sharma"/>
    <n v="57"/>
    <s v="F"/>
    <x v="2"/>
    <n v="1434302"/>
    <n v="1755192"/>
    <n v="10.96"/>
    <n v="48"/>
    <n v="693"/>
    <x v="2"/>
    <x v="1"/>
    <d v="2019-06-02T00:00:00"/>
    <x v="0"/>
    <n v="45329.767099426354"/>
    <n v="2175828.8207724649"/>
    <n v="420636.82077246485"/>
    <n v="6"/>
  </r>
  <r>
    <s v="L0105"/>
    <s v="Amit Yadav"/>
    <n v="32"/>
    <s v="M"/>
    <x v="2"/>
    <n v="1367394"/>
    <n v="644393"/>
    <n v="11.19"/>
    <n v="84"/>
    <n v="838"/>
    <x v="1"/>
    <x v="1"/>
    <d v="2018-10-25T00:00:00"/>
    <x v="1"/>
    <n v="11098.058485161724"/>
    <n v="932236.91275358479"/>
    <n v="287843.91275358479"/>
    <n v="7"/>
  </r>
  <r>
    <s v="L0106"/>
    <s v="Raj Kumar"/>
    <n v="37"/>
    <s v="F"/>
    <x v="1"/>
    <n v="1747790"/>
    <n v="1755817"/>
    <n v="7.74"/>
    <n v="84"/>
    <n v="804"/>
    <x v="2"/>
    <x v="1"/>
    <d v="2022-01-21T00:00:00"/>
    <x v="3"/>
    <n v="27139.65389873787"/>
    <n v="2279730.9274939811"/>
    <n v="523913.92749398109"/>
    <n v="3"/>
  </r>
  <r>
    <s v="L0107"/>
    <s v="Arjun Mehta"/>
    <n v="31"/>
    <s v="M"/>
    <x v="1"/>
    <n v="696967"/>
    <n v="1805046"/>
    <n v="8.64"/>
    <n v="60"/>
    <n v="690"/>
    <x v="1"/>
    <x v="1"/>
    <d v="2018-09-21T00:00:00"/>
    <x v="0"/>
    <n v="37155.197153863483"/>
    <n v="2229311.8292318089"/>
    <n v="424265.82923180889"/>
    <n v="7"/>
  </r>
  <r>
    <s v="L0108"/>
    <s v="Vikram Das"/>
    <n v="25"/>
    <s v="F"/>
    <x v="2"/>
    <n v="811616"/>
    <n v="1149339"/>
    <n v="8.42"/>
    <n v="84"/>
    <n v="670"/>
    <x v="3"/>
    <x v="1"/>
    <d v="2019-01-12T00:00:00"/>
    <x v="3"/>
    <n v="18155.287283201003"/>
    <n v="1525044.1317888843"/>
    <n v="375705.13178888429"/>
    <n v="6"/>
  </r>
  <r>
    <s v="L0109"/>
    <s v="Rina Kapoor"/>
    <n v="53"/>
    <s v="M"/>
    <x v="0"/>
    <n v="1070139"/>
    <n v="280278"/>
    <n v="9.75"/>
    <n v="72"/>
    <n v="640"/>
    <x v="3"/>
    <x v="1"/>
    <d v="2018-12-04T00:00:00"/>
    <x v="0"/>
    <n v="5157.1195801833928"/>
    <n v="371312.60977320431"/>
    <n v="91034.609773204313"/>
    <n v="7"/>
  </r>
  <r>
    <s v="L0110"/>
    <s v="Vikram Das"/>
    <n v="39"/>
    <s v="M"/>
    <x v="1"/>
    <n v="1709829"/>
    <n v="513469"/>
    <n v="12.84"/>
    <n v="84"/>
    <n v="641"/>
    <x v="0"/>
    <x v="1"/>
    <d v="2020-02-15T00:00:00"/>
    <x v="2"/>
    <n v="9296.4028711516639"/>
    <n v="780897.84117673978"/>
    <n v="267428.84117673978"/>
    <n v="5"/>
  </r>
  <r>
    <s v="L0111"/>
    <s v="Rohit Khanna"/>
    <n v="48"/>
    <s v="M"/>
    <x v="0"/>
    <n v="704729"/>
    <n v="1068994"/>
    <n v="8.4600000000000009"/>
    <n v="84"/>
    <n v="819"/>
    <x v="3"/>
    <x v="1"/>
    <d v="2020-03-07T00:00:00"/>
    <x v="0"/>
    <n v="16907.613363000306"/>
    <n v="1420239.5224920257"/>
    <n v="351245.52249202575"/>
    <n v="5"/>
  </r>
  <r>
    <s v="L0112"/>
    <s v="Raj Kumar"/>
    <n v="42"/>
    <s v="M"/>
    <x v="2"/>
    <n v="1324662"/>
    <n v="792667"/>
    <n v="9.76"/>
    <n v="60"/>
    <n v="727"/>
    <x v="3"/>
    <x v="0"/>
    <d v="2020-01-28T00:00:00"/>
    <x v="0"/>
    <n v="16748.37809167197"/>
    <n v="1004902.6855003182"/>
    <n v="212235.68550031818"/>
    <n v="5"/>
  </r>
  <r>
    <s v="L0113"/>
    <s v="Neha Sharma"/>
    <n v="26"/>
    <s v="M"/>
    <x v="1"/>
    <n v="1008625"/>
    <n v="277981"/>
    <n v="8.73"/>
    <n v="36"/>
    <n v="653"/>
    <x v="1"/>
    <x v="1"/>
    <d v="2021-11-15T00:00:00"/>
    <x v="1"/>
    <n v="8804.8314129391947"/>
    <n v="316973.93086581101"/>
    <n v="38992.930865811009"/>
    <n v="4"/>
  </r>
  <r>
    <s v="L0114"/>
    <s v="Deepika Joshi"/>
    <n v="35"/>
    <s v="M"/>
    <x v="1"/>
    <n v="1023802"/>
    <n v="652716"/>
    <n v="11.51"/>
    <n v="48"/>
    <n v="825"/>
    <x v="3"/>
    <x v="1"/>
    <d v="2021-10-15T00:00:00"/>
    <x v="1"/>
    <n v="17031.901014933919"/>
    <n v="817531.24871682818"/>
    <n v="164815.24871682818"/>
    <n v="4"/>
  </r>
  <r>
    <s v="L0115"/>
    <s v="Isha Verma"/>
    <n v="47"/>
    <s v="F"/>
    <x v="2"/>
    <n v="1280084"/>
    <n v="1775001"/>
    <n v="13.03"/>
    <n v="36"/>
    <n v="613"/>
    <x v="2"/>
    <x v="1"/>
    <d v="2021-10-04T00:00:00"/>
    <x v="3"/>
    <n v="59832.450257622877"/>
    <n v="2153968.2092744238"/>
    <n v="378967.20927442377"/>
    <n v="4"/>
  </r>
  <r>
    <s v="L0116"/>
    <s v="Arjun Mehta"/>
    <n v="51"/>
    <s v="F"/>
    <x v="0"/>
    <n v="949465"/>
    <n v="1385374"/>
    <n v="13.89"/>
    <n v="36"/>
    <n v="661"/>
    <x v="3"/>
    <x v="1"/>
    <d v="2022-01-04T00:00:00"/>
    <x v="2"/>
    <n v="47274.818391013992"/>
    <n v="1701893.4620765038"/>
    <n v="316519.46207650378"/>
    <n v="3"/>
  </r>
  <r>
    <s v="L0117"/>
    <s v="Deepika Joshi"/>
    <n v="55"/>
    <s v="F"/>
    <x v="1"/>
    <n v="1808330"/>
    <n v="1258959"/>
    <n v="10.31"/>
    <n v="72"/>
    <n v="601"/>
    <x v="0"/>
    <x v="1"/>
    <d v="2020-01-14T00:00:00"/>
    <x v="2"/>
    <n v="23520.559936692454"/>
    <n v="1693480.3154418566"/>
    <n v="434521.31544185663"/>
    <n v="5"/>
  </r>
  <r>
    <s v="L0118"/>
    <s v="Priya Singh"/>
    <n v="48"/>
    <s v="M"/>
    <x v="0"/>
    <n v="1819369"/>
    <n v="632225"/>
    <n v="14.68"/>
    <n v="72"/>
    <n v="622"/>
    <x v="0"/>
    <x v="1"/>
    <d v="2021-10-19T00:00:00"/>
    <x v="1"/>
    <n v="13258.782255105838"/>
    <n v="954632.32236762031"/>
    <n v="322407.32236762031"/>
    <n v="4"/>
  </r>
  <r>
    <s v="L0119"/>
    <s v="Neha Sharma"/>
    <n v="34"/>
    <s v="F"/>
    <x v="1"/>
    <n v="1602750"/>
    <n v="1493279"/>
    <n v="12.44"/>
    <n v="60"/>
    <n v="638"/>
    <x v="3"/>
    <x v="1"/>
    <d v="2023-05-07T00:00:00"/>
    <x v="2"/>
    <n v="33550.145022266828"/>
    <n v="2013008.7013360097"/>
    <n v="519729.70133600966"/>
    <n v="2"/>
  </r>
  <r>
    <s v="L0120"/>
    <s v="Tanya Rao"/>
    <n v="29"/>
    <s v="F"/>
    <x v="1"/>
    <n v="826763"/>
    <n v="1662768"/>
    <n v="9.68"/>
    <n v="60"/>
    <n v="724"/>
    <x v="1"/>
    <x v="1"/>
    <d v="2023-08-02T00:00:00"/>
    <x v="0"/>
    <n v="35067.667987746754"/>
    <n v="2104060.0792648052"/>
    <n v="441292.07926480519"/>
    <n v="2"/>
  </r>
  <r>
    <s v="L0121"/>
    <s v="Rohit Khanna"/>
    <n v="58"/>
    <s v="F"/>
    <x v="1"/>
    <n v="1341482"/>
    <n v="539674"/>
    <n v="13.38"/>
    <n v="60"/>
    <n v="835"/>
    <x v="0"/>
    <x v="1"/>
    <d v="2022-09-10T00:00:00"/>
    <x v="0"/>
    <n v="12384.477505114412"/>
    <n v="743068.65030686464"/>
    <n v="203394.65030686464"/>
    <n v="3"/>
  </r>
  <r>
    <s v="L0122"/>
    <s v="Deepika Joshi"/>
    <n v="44"/>
    <s v="M"/>
    <x v="2"/>
    <n v="1992406"/>
    <n v="260811"/>
    <n v="12.08"/>
    <n v="120"/>
    <n v="754"/>
    <x v="3"/>
    <x v="1"/>
    <d v="2018-09-21T00:00:00"/>
    <x v="1"/>
    <n v="3753.9517298902747"/>
    <n v="450474.20758683298"/>
    <n v="189663.20758683298"/>
    <n v="7"/>
  </r>
  <r>
    <s v="L0123"/>
    <s v="Sneha Pillai"/>
    <n v="50"/>
    <s v="M"/>
    <x v="0"/>
    <n v="1084225"/>
    <n v="1332536"/>
    <n v="8.44"/>
    <n v="36"/>
    <n v="660"/>
    <x v="2"/>
    <x v="1"/>
    <d v="2022-08-21T00:00:00"/>
    <x v="3"/>
    <n v="42027.842620438605"/>
    <n v="1513002.3343357898"/>
    <n v="180466.33433578978"/>
    <n v="3"/>
  </r>
  <r>
    <s v="L0124"/>
    <s v="Priya Singh"/>
    <n v="48"/>
    <s v="F"/>
    <x v="2"/>
    <n v="1878209"/>
    <n v="272775"/>
    <n v="13.57"/>
    <n v="60"/>
    <n v="828"/>
    <x v="3"/>
    <x v="1"/>
    <d v="2018-02-13T00:00:00"/>
    <x v="2"/>
    <n v="6286.352083177273"/>
    <n v="377181.12499063637"/>
    <n v="104406.12499063637"/>
    <n v="7"/>
  </r>
  <r>
    <s v="L0125"/>
    <s v="Meena George"/>
    <n v="33"/>
    <s v="F"/>
    <x v="2"/>
    <n v="1687167"/>
    <n v="1140957"/>
    <n v="10.050000000000001"/>
    <n v="60"/>
    <n v="798"/>
    <x v="0"/>
    <x v="1"/>
    <d v="2022-04-20T00:00:00"/>
    <x v="0"/>
    <n v="24270.04380047608"/>
    <n v="1456202.6280285649"/>
    <n v="315245.62802856485"/>
    <n v="3"/>
  </r>
  <r>
    <s v="L0126"/>
    <s v="Meena George"/>
    <n v="50"/>
    <s v="M"/>
    <x v="1"/>
    <n v="351290"/>
    <n v="1531757"/>
    <n v="14.91"/>
    <n v="120"/>
    <n v="698"/>
    <x v="3"/>
    <x v="1"/>
    <d v="2019-12-12T00:00:00"/>
    <x v="2"/>
    <n v="24628.240373747598"/>
    <n v="2955388.8448497117"/>
    <n v="1423631.8448497117"/>
    <n v="6"/>
  </r>
  <r>
    <s v="L0127"/>
    <s v="Vikram Das"/>
    <n v="42"/>
    <s v="M"/>
    <x v="2"/>
    <n v="397281"/>
    <n v="1170311"/>
    <n v="13.66"/>
    <n v="48"/>
    <n v="724"/>
    <x v="2"/>
    <x v="1"/>
    <d v="2022-09-03T00:00:00"/>
    <x v="2"/>
    <n v="31781.23227591781"/>
    <n v="1525499.1492440549"/>
    <n v="355188.14924405492"/>
    <n v="3"/>
  </r>
  <r>
    <s v="L0128"/>
    <s v="Rohan Nair"/>
    <n v="58"/>
    <s v="M"/>
    <x v="1"/>
    <n v="1440611"/>
    <n v="1187566"/>
    <n v="12.94"/>
    <n v="84"/>
    <n v="754"/>
    <x v="1"/>
    <x v="0"/>
    <d v="2024-04-12T00:00:00"/>
    <x v="3"/>
    <n v="21565.438119107119"/>
    <n v="1811496.8020049981"/>
    <n v="623930.80200499808"/>
    <n v="1"/>
  </r>
  <r>
    <s v="L0129"/>
    <s v="Sahil Gupta"/>
    <n v="34"/>
    <s v="F"/>
    <x v="0"/>
    <n v="1855306"/>
    <n v="398956"/>
    <n v="14.88"/>
    <n v="84"/>
    <n v="758"/>
    <x v="0"/>
    <x v="1"/>
    <d v="2022-06-27T00:00:00"/>
    <x v="1"/>
    <n v="7671.7206832937391"/>
    <n v="644424.53739667404"/>
    <n v="245468.53739667404"/>
    <n v="3"/>
  </r>
  <r>
    <s v="L0130"/>
    <s v="Kiran Menon"/>
    <n v="35"/>
    <s v="F"/>
    <x v="1"/>
    <n v="716241"/>
    <n v="1925400"/>
    <n v="11.2"/>
    <n v="36"/>
    <n v="732"/>
    <x v="2"/>
    <x v="1"/>
    <d v="2024-08-29T00:00:00"/>
    <x v="0"/>
    <n v="63217.642175262343"/>
    <n v="2275835.1183094443"/>
    <n v="350435.11830944428"/>
    <n v="1"/>
  </r>
  <r>
    <s v="L0131"/>
    <s v="Meena George"/>
    <n v="55"/>
    <s v="F"/>
    <x v="1"/>
    <n v="330281"/>
    <n v="1337214"/>
    <n v="12.12"/>
    <n v="120"/>
    <n v="796"/>
    <x v="2"/>
    <x v="1"/>
    <d v="2021-02-12T00:00:00"/>
    <x v="2"/>
    <n v="19278.013132255139"/>
    <n v="2313361.5758706168"/>
    <n v="976147.57587061683"/>
    <n v="4"/>
  </r>
  <r>
    <s v="L0132"/>
    <s v="Aditya Sharma"/>
    <n v="38"/>
    <s v="M"/>
    <x v="2"/>
    <n v="912998"/>
    <n v="200991"/>
    <n v="11.03"/>
    <n v="120"/>
    <n v="752"/>
    <x v="2"/>
    <x v="1"/>
    <d v="2020-05-16T00:00:00"/>
    <x v="2"/>
    <n v="2772.0655177000626"/>
    <n v="332647.86212400754"/>
    <n v="131656.86212400754"/>
    <n v="5"/>
  </r>
  <r>
    <s v="L0133"/>
    <s v="Rohan Nair"/>
    <n v="25"/>
    <s v="M"/>
    <x v="2"/>
    <n v="561017"/>
    <n v="1709040"/>
    <n v="13.13"/>
    <n v="48"/>
    <n v="818"/>
    <x v="1"/>
    <x v="0"/>
    <d v="2023-07-18T00:00:00"/>
    <x v="3"/>
    <n v="45959.61155568753"/>
    <n v="2206061.3546730014"/>
    <n v="497021.35467300145"/>
    <n v="2"/>
  </r>
  <r>
    <s v="L0134"/>
    <s v="Deepika Joshi"/>
    <n v="49"/>
    <s v="F"/>
    <x v="1"/>
    <n v="1313703"/>
    <n v="1014520"/>
    <n v="13.78"/>
    <n v="96"/>
    <n v="685"/>
    <x v="0"/>
    <x v="0"/>
    <d v="2018-06-09T00:00:00"/>
    <x v="0"/>
    <n v="17496.95169120948"/>
    <n v="1679707.36235611"/>
    <n v="665187.36235611001"/>
    <n v="7"/>
  </r>
  <r>
    <s v="L0135"/>
    <s v="Deepika Joshi"/>
    <n v="48"/>
    <s v="M"/>
    <x v="1"/>
    <n v="1845480"/>
    <n v="241845"/>
    <n v="9.3000000000000007"/>
    <n v="72"/>
    <n v="654"/>
    <x v="2"/>
    <x v="1"/>
    <d v="2019-10-08T00:00:00"/>
    <x v="2"/>
    <n v="4395.4820185682947"/>
    <n v="316474.70533691719"/>
    <n v="74629.705336917192"/>
    <n v="6"/>
  </r>
  <r>
    <s v="L0136"/>
    <s v="Pooja Reddy"/>
    <n v="38"/>
    <s v="M"/>
    <x v="1"/>
    <n v="1349294"/>
    <n v="1649097"/>
    <n v="14.43"/>
    <n v="48"/>
    <n v="827"/>
    <x v="1"/>
    <x v="1"/>
    <d v="2020-03-16T00:00:00"/>
    <x v="2"/>
    <n v="45420.528973182794"/>
    <n v="2180185.3907127744"/>
    <n v="531088.39071277436"/>
    <n v="5"/>
  </r>
  <r>
    <s v="L0137"/>
    <s v="Rina Kapoor"/>
    <n v="27"/>
    <s v="F"/>
    <x v="0"/>
    <n v="1805673"/>
    <n v="360147"/>
    <n v="12.73"/>
    <n v="120"/>
    <n v="710"/>
    <x v="1"/>
    <x v="1"/>
    <d v="2022-03-16T00:00:00"/>
    <x v="0"/>
    <n v="5320.1796639485183"/>
    <n v="638421.55967382225"/>
    <n v="278274.55967382225"/>
    <n v="3"/>
  </r>
  <r>
    <s v="L0138"/>
    <s v="Meena George"/>
    <n v="35"/>
    <s v="M"/>
    <x v="2"/>
    <n v="1049516"/>
    <n v="1514697"/>
    <n v="10.74"/>
    <n v="72"/>
    <n v="844"/>
    <x v="1"/>
    <x v="0"/>
    <d v="2023-05-12T00:00:00"/>
    <x v="1"/>
    <n v="28629.554770475304"/>
    <n v="2061327.943474222"/>
    <n v="546630.94347422197"/>
    <n v="2"/>
  </r>
  <r>
    <s v="L0139"/>
    <s v="Mohit Jain"/>
    <n v="60"/>
    <s v="F"/>
    <x v="2"/>
    <n v="1677490"/>
    <n v="1183623"/>
    <n v="8.83"/>
    <n v="72"/>
    <n v="618"/>
    <x v="0"/>
    <x v="1"/>
    <d v="2021-07-07T00:00:00"/>
    <x v="3"/>
    <n v="21235.712127741663"/>
    <n v="1528971.2731973997"/>
    <n v="345348.27319739969"/>
    <n v="4"/>
  </r>
  <r>
    <s v="L0140"/>
    <s v="Amit Yadav"/>
    <n v="49"/>
    <s v="M"/>
    <x v="0"/>
    <n v="483889"/>
    <n v="221828"/>
    <n v="10.87"/>
    <n v="60"/>
    <n v="667"/>
    <x v="0"/>
    <x v="1"/>
    <d v="2023-10-19T00:00:00"/>
    <x v="0"/>
    <n v="4808.7091016164622"/>
    <n v="288522.54609698773"/>
    <n v="66694.546096987731"/>
    <n v="2"/>
  </r>
  <r>
    <s v="L0141"/>
    <s v="Isha Verma"/>
    <n v="53"/>
    <s v="F"/>
    <x v="2"/>
    <n v="1691481"/>
    <n v="288803"/>
    <n v="12.23"/>
    <n v="48"/>
    <n v="739"/>
    <x v="3"/>
    <x v="1"/>
    <d v="2018-05-12T00:00:00"/>
    <x v="2"/>
    <n v="7637.9454409225973"/>
    <n v="366621.38116428466"/>
    <n v="77818.381164284656"/>
    <n v="7"/>
  </r>
  <r>
    <s v="L0142"/>
    <s v="Aditya Sharma"/>
    <n v="47"/>
    <s v="F"/>
    <x v="2"/>
    <n v="1521328"/>
    <n v="1729746"/>
    <n v="14.36"/>
    <n v="120"/>
    <n v="661"/>
    <x v="1"/>
    <x v="1"/>
    <d v="2023-07-15T00:00:00"/>
    <x v="3"/>
    <n v="27232.82168875706"/>
    <n v="3267938.6026508473"/>
    <n v="1538192.6026508473"/>
    <n v="2"/>
  </r>
  <r>
    <s v="L0143"/>
    <s v="Mohit Jain"/>
    <n v="58"/>
    <s v="M"/>
    <x v="2"/>
    <n v="1365636"/>
    <n v="1095299"/>
    <n v="11.8"/>
    <n v="48"/>
    <n v="827"/>
    <x v="1"/>
    <x v="1"/>
    <d v="2019-01-27T00:00:00"/>
    <x v="3"/>
    <n v="28735.984389423538"/>
    <n v="1379327.2506923298"/>
    <n v="284028.25069232984"/>
    <n v="6"/>
  </r>
  <r>
    <s v="L0144"/>
    <s v="Aditya Sharma"/>
    <n v="52"/>
    <s v="F"/>
    <x v="2"/>
    <n v="1484186"/>
    <n v="1733037"/>
    <n v="14.44"/>
    <n v="48"/>
    <n v="736"/>
    <x v="0"/>
    <x v="1"/>
    <d v="2022-07-07T00:00:00"/>
    <x v="1"/>
    <n v="47741.193706890954"/>
    <n v="2291577.2979307659"/>
    <n v="558540.2979307659"/>
    <n v="3"/>
  </r>
  <r>
    <s v="L0145"/>
    <s v="Mohit Jain"/>
    <n v="31"/>
    <s v="F"/>
    <x v="2"/>
    <n v="1592836"/>
    <n v="214505"/>
    <n v="12.91"/>
    <n v="84"/>
    <n v="842"/>
    <x v="3"/>
    <x v="1"/>
    <d v="2020-12-01T00:00:00"/>
    <x v="3"/>
    <n v="3891.7791734559391"/>
    <n v="326909.45057029888"/>
    <n v="112404.45057029888"/>
    <n v="5"/>
  </r>
  <r>
    <s v="L0146"/>
    <s v="Pooja Reddy"/>
    <n v="59"/>
    <s v="M"/>
    <x v="2"/>
    <n v="1029027"/>
    <n v="1197139"/>
    <n v="11"/>
    <n v="96"/>
    <n v="654"/>
    <x v="0"/>
    <x v="1"/>
    <d v="2020-04-29T00:00:00"/>
    <x v="0"/>
    <n v="18805.168979732673"/>
    <n v="1805296.2220543367"/>
    <n v="608157.22205433669"/>
    <n v="5"/>
  </r>
  <r>
    <s v="L0147"/>
    <s v="Pooja Reddy"/>
    <n v="30"/>
    <s v="M"/>
    <x v="1"/>
    <n v="516706"/>
    <n v="467624"/>
    <n v="12.69"/>
    <n v="60"/>
    <n v="716"/>
    <x v="1"/>
    <x v="1"/>
    <d v="2018-08-07T00:00:00"/>
    <x v="0"/>
    <n v="10565.822163781524"/>
    <n v="633949.32982689142"/>
    <n v="166325.32982689142"/>
    <n v="7"/>
  </r>
  <r>
    <s v="L0148"/>
    <s v="Priya Singh"/>
    <n v="59"/>
    <s v="F"/>
    <x v="1"/>
    <n v="1435786"/>
    <n v="367256"/>
    <n v="12.62"/>
    <n v="120"/>
    <n v="841"/>
    <x v="3"/>
    <x v="0"/>
    <d v="2018-07-17T00:00:00"/>
    <x v="0"/>
    <n v="5401.520558359477"/>
    <n v="648182.46700313722"/>
    <n v="280926.46700313722"/>
    <n v="7"/>
  </r>
  <r>
    <s v="L0149"/>
    <s v="Mohit Jain"/>
    <n v="42"/>
    <s v="F"/>
    <x v="2"/>
    <n v="472261"/>
    <n v="1416868"/>
    <n v="11.68"/>
    <n v="96"/>
    <n v="628"/>
    <x v="0"/>
    <x v="1"/>
    <d v="2021-06-22T00:00:00"/>
    <x v="3"/>
    <n v="22779.741935372807"/>
    <n v="2186855.2257957896"/>
    <n v="769987.22579578962"/>
    <n v="4"/>
  </r>
  <r>
    <s v="L0150"/>
    <s v="Sahil Gupta"/>
    <n v="39"/>
    <s v="F"/>
    <x v="2"/>
    <n v="876897"/>
    <n v="1251901"/>
    <n v="13.14"/>
    <n v="120"/>
    <n v="713"/>
    <x v="0"/>
    <x v="1"/>
    <d v="2018-11-02T00:00:00"/>
    <x v="3"/>
    <n v="18795.744790498327"/>
    <n v="2255489.3748597992"/>
    <n v="1003588.3748597992"/>
    <n v="7"/>
  </r>
  <r>
    <s v="L0151"/>
    <s v="Tanya Rao"/>
    <n v="39"/>
    <s v="M"/>
    <x v="0"/>
    <n v="358419"/>
    <n v="1733461"/>
    <n v="9.1199999999999992"/>
    <n v="96"/>
    <n v="825"/>
    <x v="1"/>
    <x v="1"/>
    <d v="2020-01-20T00:00:00"/>
    <x v="0"/>
    <n v="25503.59712506154"/>
    <n v="2448345.3240059079"/>
    <n v="714884.32400590787"/>
    <n v="5"/>
  </r>
  <r>
    <s v="L0152"/>
    <s v="Mohit Jain"/>
    <n v="31"/>
    <s v="F"/>
    <x v="1"/>
    <n v="1442379"/>
    <n v="1918654"/>
    <n v="13.14"/>
    <n v="96"/>
    <n v="634"/>
    <x v="0"/>
    <x v="1"/>
    <d v="2020-02-29T00:00:00"/>
    <x v="3"/>
    <n v="32397.741957760059"/>
    <n v="3110183.2279449655"/>
    <n v="1191529.2279449655"/>
    <n v="5"/>
  </r>
  <r>
    <s v="L0153"/>
    <s v="Meena George"/>
    <n v="56"/>
    <s v="M"/>
    <x v="2"/>
    <n v="774901"/>
    <n v="1516276"/>
    <n v="8.17"/>
    <n v="36"/>
    <n v="689"/>
    <x v="1"/>
    <x v="1"/>
    <d v="2019-03-02T00:00:00"/>
    <x v="2"/>
    <n v="47633.581628077394"/>
    <n v="1714808.9386107861"/>
    <n v="198532.93861078611"/>
    <n v="6"/>
  </r>
  <r>
    <s v="L0154"/>
    <s v="Aarav Patel"/>
    <n v="30"/>
    <s v="M"/>
    <x v="0"/>
    <n v="1638836"/>
    <n v="976159"/>
    <n v="8.49"/>
    <n v="72"/>
    <n v="766"/>
    <x v="0"/>
    <x v="1"/>
    <d v="2023-12-27T00:00:00"/>
    <x v="1"/>
    <n v="17349.724918917575"/>
    <n v="1249180.1941620654"/>
    <n v="273021.1941620654"/>
    <n v="2"/>
  </r>
  <r>
    <s v="L0155"/>
    <s v="Tanya Rao"/>
    <n v="33"/>
    <s v="M"/>
    <x v="0"/>
    <n v="988563"/>
    <n v="1705920"/>
    <n v="14.38"/>
    <n v="120"/>
    <n v="646"/>
    <x v="2"/>
    <x v="1"/>
    <d v="2024-02-27T00:00:00"/>
    <x v="3"/>
    <n v="26878.365109084021"/>
    <n v="3225403.8130900827"/>
    <n v="1519483.8130900827"/>
    <n v="1"/>
  </r>
  <r>
    <s v="L0156"/>
    <s v="Aarav Patel"/>
    <n v="31"/>
    <s v="M"/>
    <x v="0"/>
    <n v="1529393"/>
    <n v="1379638"/>
    <n v="12.08"/>
    <n v="48"/>
    <n v="788"/>
    <x v="3"/>
    <x v="1"/>
    <d v="2021-04-15T00:00:00"/>
    <x v="1"/>
    <n v="36385.374852458219"/>
    <n v="1746497.9929179945"/>
    <n v="366859.9929179945"/>
    <n v="4"/>
  </r>
  <r>
    <s v="L0157"/>
    <s v="Tanya Rao"/>
    <n v="58"/>
    <s v="M"/>
    <x v="0"/>
    <n v="388870"/>
    <n v="288977"/>
    <n v="9.39"/>
    <n v="96"/>
    <n v="831"/>
    <x v="1"/>
    <x v="1"/>
    <d v="2022-06-09T00:00:00"/>
    <x v="0"/>
    <n v="4292.2660613737326"/>
    <n v="412057.54189187835"/>
    <n v="123080.54189187835"/>
    <n v="3"/>
  </r>
  <r>
    <s v="L0158"/>
    <s v="Tanya Rao"/>
    <n v="53"/>
    <s v="M"/>
    <x v="0"/>
    <n v="1587931"/>
    <n v="487604"/>
    <n v="13.1"/>
    <n v="36"/>
    <n v="745"/>
    <x v="3"/>
    <x v="1"/>
    <d v="2019-06-09T00:00:00"/>
    <x v="0"/>
    <n v="16452.801659132467"/>
    <n v="592300.85972876882"/>
    <n v="104696.85972876882"/>
    <n v="6"/>
  </r>
  <r>
    <s v="L0159"/>
    <s v="Meena George"/>
    <n v="41"/>
    <s v="M"/>
    <x v="1"/>
    <n v="1568595"/>
    <n v="1658859"/>
    <n v="9.81"/>
    <n v="96"/>
    <n v="611"/>
    <x v="2"/>
    <x v="1"/>
    <d v="2023-07-26T00:00:00"/>
    <x v="1"/>
    <n v="25005.333011083807"/>
    <n v="2400511.9690640457"/>
    <n v="741652.9690640457"/>
    <n v="2"/>
  </r>
  <r>
    <s v="L0160"/>
    <s v="Rina Kapoor"/>
    <n v="41"/>
    <s v="M"/>
    <x v="1"/>
    <n v="1886832"/>
    <n v="1082370"/>
    <n v="13.95"/>
    <n v="60"/>
    <n v="724"/>
    <x v="3"/>
    <x v="1"/>
    <d v="2019-11-15T00:00:00"/>
    <x v="1"/>
    <n v="25156.808423470517"/>
    <n v="1509408.5054082309"/>
    <n v="427038.50540823094"/>
    <n v="6"/>
  </r>
  <r>
    <s v="L0161"/>
    <s v="Rohit Khanna"/>
    <n v="29"/>
    <s v="F"/>
    <x v="1"/>
    <n v="1099718"/>
    <n v="982153"/>
    <n v="13"/>
    <n v="72"/>
    <n v="647"/>
    <x v="0"/>
    <x v="1"/>
    <d v="2022-04-09T00:00:00"/>
    <x v="3"/>
    <n v="19715.842650825154"/>
    <n v="1419540.6708594111"/>
    <n v="437387.67085941113"/>
    <n v="3"/>
  </r>
  <r>
    <s v="L0162"/>
    <s v="Sahil Gupta"/>
    <n v="59"/>
    <s v="F"/>
    <x v="0"/>
    <n v="1431856"/>
    <n v="700232"/>
    <n v="7.86"/>
    <n v="120"/>
    <n v="798"/>
    <x v="0"/>
    <x v="1"/>
    <d v="2024-01-11T00:00:00"/>
    <x v="2"/>
    <n v="8444.0345876516731"/>
    <n v="1013284.1505182008"/>
    <n v="313052.15051820083"/>
    <n v="1"/>
  </r>
  <r>
    <s v="L0163"/>
    <s v="Arjun Mehta"/>
    <n v="51"/>
    <s v="M"/>
    <x v="1"/>
    <n v="342460"/>
    <n v="942598"/>
    <n v="8.77"/>
    <n v="60"/>
    <n v="756"/>
    <x v="1"/>
    <x v="1"/>
    <d v="2023-12-30T00:00:00"/>
    <x v="2"/>
    <n v="19461.733261647281"/>
    <n v="1167703.9956988369"/>
    <n v="225105.99569883686"/>
    <n v="2"/>
  </r>
  <r>
    <s v="L0164"/>
    <s v="Rina Kapoor"/>
    <n v="25"/>
    <s v="M"/>
    <x v="1"/>
    <n v="689069"/>
    <n v="363445"/>
    <n v="14.76"/>
    <n v="36"/>
    <n v="801"/>
    <x v="2"/>
    <x v="1"/>
    <d v="2020-12-05T00:00:00"/>
    <x v="0"/>
    <n v="12556.266928594572"/>
    <n v="452025.60942940461"/>
    <n v="88580.609429404605"/>
    <n v="5"/>
  </r>
  <r>
    <s v="L0165"/>
    <s v="Pooja Reddy"/>
    <n v="47"/>
    <s v="F"/>
    <x v="0"/>
    <n v="908744"/>
    <n v="1959352"/>
    <n v="8.7899999999999991"/>
    <n v="96"/>
    <n v="739"/>
    <x v="3"/>
    <x v="1"/>
    <d v="2019-10-11T00:00:00"/>
    <x v="2"/>
    <n v="28491.903675405498"/>
    <n v="2735222.7528389278"/>
    <n v="775870.75283892779"/>
    <n v="6"/>
  </r>
  <r>
    <s v="L0166"/>
    <s v="Meena George"/>
    <n v="44"/>
    <s v="F"/>
    <x v="1"/>
    <n v="664635"/>
    <n v="1730688"/>
    <n v="12.21"/>
    <n v="96"/>
    <n v="651"/>
    <x v="3"/>
    <x v="1"/>
    <d v="2020-07-16T00:00:00"/>
    <x v="1"/>
    <n v="28328.67025274592"/>
    <n v="2719552.3442636086"/>
    <n v="988864.34426360857"/>
    <n v="5"/>
  </r>
  <r>
    <s v="L0167"/>
    <s v="Isha Verma"/>
    <n v="34"/>
    <s v="M"/>
    <x v="0"/>
    <n v="1746984"/>
    <n v="805081"/>
    <n v="12.84"/>
    <n v="96"/>
    <n v="741"/>
    <x v="2"/>
    <x v="1"/>
    <d v="2024-08-22T00:00:00"/>
    <x v="1"/>
    <n v="13459.250561606008"/>
    <n v="1292088.0539141768"/>
    <n v="487007.05391417677"/>
    <n v="1"/>
  </r>
  <r>
    <s v="L0168"/>
    <s v="Aarav Patel"/>
    <n v="54"/>
    <s v="F"/>
    <x v="0"/>
    <n v="1292789"/>
    <n v="468996"/>
    <n v="14.57"/>
    <n v="60"/>
    <n v="728"/>
    <x v="3"/>
    <x v="1"/>
    <d v="2018-05-25T00:00:00"/>
    <x v="1"/>
    <n v="11051.803809232366"/>
    <n v="663108.22855394194"/>
    <n v="194112.22855394194"/>
    <n v="7"/>
  </r>
  <r>
    <s v="L0169"/>
    <s v="Isha Verma"/>
    <n v="32"/>
    <s v="F"/>
    <x v="2"/>
    <n v="1289302"/>
    <n v="1695041"/>
    <n v="8.74"/>
    <n v="60"/>
    <n v="709"/>
    <x v="3"/>
    <x v="1"/>
    <d v="2022-08-01T00:00:00"/>
    <x v="2"/>
    <n v="34972.758100816995"/>
    <n v="2098365.4860490197"/>
    <n v="403324.48604901973"/>
    <n v="3"/>
  </r>
  <r>
    <s v="L0170"/>
    <s v="Rohan Nair"/>
    <n v="29"/>
    <s v="F"/>
    <x v="0"/>
    <n v="1735651"/>
    <n v="1333856"/>
    <n v="14.59"/>
    <n v="72"/>
    <n v="637"/>
    <x v="1"/>
    <x v="1"/>
    <d v="2024-03-16T00:00:00"/>
    <x v="2"/>
    <n v="27908.259057929448"/>
    <n v="2009394.6521709203"/>
    <n v="675538.65217092028"/>
    <n v="1"/>
  </r>
  <r>
    <s v="L0171"/>
    <s v="Deepika Joshi"/>
    <n v="52"/>
    <s v="M"/>
    <x v="2"/>
    <n v="565493"/>
    <n v="1113525"/>
    <n v="10.63"/>
    <n v="96"/>
    <n v="602"/>
    <x v="3"/>
    <x v="1"/>
    <d v="2023-11-30T00:00:00"/>
    <x v="2"/>
    <n v="17270.279889243622"/>
    <n v="1657946.8693673876"/>
    <n v="544421.86936738761"/>
    <n v="2"/>
  </r>
  <r>
    <s v="L0172"/>
    <s v="Isha Verma"/>
    <n v="40"/>
    <s v="F"/>
    <x v="1"/>
    <n v="943160"/>
    <n v="1228673"/>
    <n v="10.210000000000001"/>
    <n v="84"/>
    <n v="624"/>
    <x v="1"/>
    <x v="1"/>
    <d v="2022-01-25T00:00:00"/>
    <x v="0"/>
    <n v="20530.992697582518"/>
    <n v="1724603.3865969316"/>
    <n v="495930.38659693161"/>
    <n v="3"/>
  </r>
  <r>
    <s v="L0173"/>
    <s v="Rina Kapoor"/>
    <n v="54"/>
    <s v="M"/>
    <x v="0"/>
    <n v="1507888"/>
    <n v="1807666"/>
    <n v="8.7200000000000006"/>
    <n v="96"/>
    <n v="678"/>
    <x v="2"/>
    <x v="0"/>
    <d v="2024-05-30T00:00:00"/>
    <x v="3"/>
    <n v="26220.844158921627"/>
    <n v="2517201.0392564763"/>
    <n v="709535.03925647633"/>
    <n v="1"/>
  </r>
  <r>
    <s v="L0174"/>
    <s v="Sahil Gupta"/>
    <n v="27"/>
    <s v="M"/>
    <x v="1"/>
    <n v="1842615"/>
    <n v="328669"/>
    <n v="11.83"/>
    <n v="120"/>
    <n v="808"/>
    <x v="2"/>
    <x v="1"/>
    <d v="2018-03-12T00:00:00"/>
    <x v="3"/>
    <n v="4683.2021078968519"/>
    <n v="561984.25294762221"/>
    <n v="233315.25294762221"/>
    <n v="7"/>
  </r>
  <r>
    <s v="L0175"/>
    <s v="Priya Singh"/>
    <n v="53"/>
    <s v="F"/>
    <x v="2"/>
    <n v="1867019"/>
    <n v="1634563"/>
    <n v="13.91"/>
    <n v="84"/>
    <n v="621"/>
    <x v="3"/>
    <x v="1"/>
    <d v="2018-03-21T00:00:00"/>
    <x v="2"/>
    <n v="30550.520790917337"/>
    <n v="2566243.7464370565"/>
    <n v="931680.74643705646"/>
    <n v="7"/>
  </r>
  <r>
    <s v="L0176"/>
    <s v="Amit Yadav"/>
    <n v="28"/>
    <s v="F"/>
    <x v="0"/>
    <n v="1009869"/>
    <n v="1307056"/>
    <n v="14.18"/>
    <n v="120"/>
    <n v="619"/>
    <x v="1"/>
    <x v="0"/>
    <d v="2023-07-07T00:00:00"/>
    <x v="1"/>
    <n v="20435.890290643405"/>
    <n v="2452306.8348772088"/>
    <n v="1145250.8348772088"/>
    <n v="2"/>
  </r>
  <r>
    <s v="L0177"/>
    <s v="Arjun Mehta"/>
    <n v="42"/>
    <s v="F"/>
    <x v="2"/>
    <n v="919067"/>
    <n v="372317"/>
    <n v="11.74"/>
    <n v="60"/>
    <n v="763"/>
    <x v="1"/>
    <x v="1"/>
    <d v="2019-09-27T00:00:00"/>
    <x v="1"/>
    <n v="8233.1517099980811"/>
    <n v="493989.10259988485"/>
    <n v="121672.10259988485"/>
    <n v="6"/>
  </r>
  <r>
    <s v="L0178"/>
    <s v="Rohan Nair"/>
    <n v="28"/>
    <s v="M"/>
    <x v="0"/>
    <n v="899207"/>
    <n v="985060"/>
    <n v="12.9"/>
    <n v="48"/>
    <n v="826"/>
    <x v="2"/>
    <x v="1"/>
    <d v="2024-06-11T00:00:00"/>
    <x v="3"/>
    <n v="26377.82829967589"/>
    <n v="1266135.7583844427"/>
    <n v="281075.75838444266"/>
    <n v="1"/>
  </r>
  <r>
    <s v="L0179"/>
    <s v="Kiran Menon"/>
    <n v="58"/>
    <s v="M"/>
    <x v="1"/>
    <n v="549016"/>
    <n v="1404101"/>
    <n v="8.74"/>
    <n v="120"/>
    <n v="807"/>
    <x v="3"/>
    <x v="1"/>
    <d v="2018-05-18T00:00:00"/>
    <x v="0"/>
    <n v="17589.588121171997"/>
    <n v="2110750.5745406398"/>
    <n v="706649.57454063976"/>
    <n v="7"/>
  </r>
  <r>
    <s v="L0180"/>
    <s v="Sneha Pillai"/>
    <n v="41"/>
    <s v="M"/>
    <x v="1"/>
    <n v="934072"/>
    <n v="1514268"/>
    <n v="11.74"/>
    <n v="120"/>
    <n v="724"/>
    <x v="1"/>
    <x v="1"/>
    <d v="2024-09-21T00:00:00"/>
    <x v="0"/>
    <n v="21498.3588120653"/>
    <n v="2579803.0574478358"/>
    <n v="1065535.0574478358"/>
    <n v="1"/>
  </r>
  <r>
    <s v="L0181"/>
    <s v="Sahil Gupta"/>
    <n v="41"/>
    <s v="M"/>
    <x v="2"/>
    <n v="1357401"/>
    <n v="1418097"/>
    <n v="13.89"/>
    <n v="48"/>
    <n v="607"/>
    <x v="1"/>
    <x v="1"/>
    <d v="2024-04-19T00:00:00"/>
    <x v="1"/>
    <n v="38673.389967202318"/>
    <n v="1856322.7184257112"/>
    <n v="438225.71842571115"/>
    <n v="1"/>
  </r>
  <r>
    <s v="L0182"/>
    <s v="Neha Sharma"/>
    <n v="45"/>
    <s v="F"/>
    <x v="2"/>
    <n v="1663425"/>
    <n v="1479286"/>
    <n v="14.2"/>
    <n v="72"/>
    <n v="724"/>
    <x v="2"/>
    <x v="1"/>
    <d v="2018-01-20T00:00:00"/>
    <x v="2"/>
    <n v="30640.429890396063"/>
    <n v="2206110.9521085164"/>
    <n v="726824.95210851636"/>
    <n v="7"/>
  </r>
  <r>
    <s v="L0183"/>
    <s v="Arjun Mehta"/>
    <n v="39"/>
    <s v="M"/>
    <x v="0"/>
    <n v="1597883"/>
    <n v="659573"/>
    <n v="13.1"/>
    <n v="36"/>
    <n v="794"/>
    <x v="3"/>
    <x v="1"/>
    <d v="2024-07-22T00:00:00"/>
    <x v="2"/>
    <n v="22255.403460018741"/>
    <n v="801194.52456067468"/>
    <n v="141621.52456067468"/>
    <n v="1"/>
  </r>
  <r>
    <s v="L0184"/>
    <s v="Tanya Rao"/>
    <n v="27"/>
    <s v="M"/>
    <x v="2"/>
    <n v="884531"/>
    <n v="1488144"/>
    <n v="11.73"/>
    <n v="120"/>
    <n v="647"/>
    <x v="0"/>
    <x v="1"/>
    <d v="2018-02-14T00:00:00"/>
    <x v="3"/>
    <n v="21118.915573615039"/>
    <n v="2534269.8688338045"/>
    <n v="1046125.8688338045"/>
    <n v="7"/>
  </r>
  <r>
    <s v="L0185"/>
    <s v="Mohit Jain"/>
    <n v="33"/>
    <s v="F"/>
    <x v="2"/>
    <n v="1344792"/>
    <n v="1134871"/>
    <n v="9.81"/>
    <n v="48"/>
    <n v="746"/>
    <x v="2"/>
    <x v="1"/>
    <d v="2020-01-01T00:00:00"/>
    <x v="2"/>
    <n v="28679.818173194391"/>
    <n v="1376631.2723133308"/>
    <n v="241760.27231333079"/>
    <n v="5"/>
  </r>
  <r>
    <s v="L0186"/>
    <s v="Rohan Nair"/>
    <n v="36"/>
    <s v="M"/>
    <x v="2"/>
    <n v="1161261"/>
    <n v="495127"/>
    <n v="14.19"/>
    <n v="96"/>
    <n v="784"/>
    <x v="2"/>
    <x v="1"/>
    <d v="2019-02-11T00:00:00"/>
    <x v="3"/>
    <n v="8654.723457010834"/>
    <n v="830853.45187304006"/>
    <n v="335726.45187304006"/>
    <n v="6"/>
  </r>
  <r>
    <s v="L0187"/>
    <s v="Kiran Menon"/>
    <n v="35"/>
    <s v="F"/>
    <x v="2"/>
    <n v="1167137"/>
    <n v="1920625"/>
    <n v="11.16"/>
    <n v="48"/>
    <n v="844"/>
    <x v="1"/>
    <x v="1"/>
    <d v="2021-01-19T00:00:00"/>
    <x v="1"/>
    <n v="49788.923103479065"/>
    <n v="2389868.3089669952"/>
    <n v="469243.30896699522"/>
    <n v="4"/>
  </r>
  <r>
    <s v="L0188"/>
    <s v="Pooja Reddy"/>
    <n v="25"/>
    <s v="F"/>
    <x v="0"/>
    <n v="1645202"/>
    <n v="1481135"/>
    <n v="8.9"/>
    <n v="120"/>
    <n v="636"/>
    <x v="0"/>
    <x v="0"/>
    <d v="2022-05-12T00:00:00"/>
    <x v="2"/>
    <n v="18682.327627610452"/>
    <n v="2241879.315313254"/>
    <n v="760744.31531325402"/>
    <n v="3"/>
  </r>
  <r>
    <s v="L0189"/>
    <s v="Raj Kumar"/>
    <n v="46"/>
    <s v="M"/>
    <x v="2"/>
    <n v="1524542"/>
    <n v="316230"/>
    <n v="14.48"/>
    <n v="72"/>
    <n v="814"/>
    <x v="2"/>
    <x v="0"/>
    <d v="2019-10-10T00:00:00"/>
    <x v="3"/>
    <n v="6597.7097380925197"/>
    <n v="475035.10114266141"/>
    <n v="158805.10114266141"/>
    <n v="6"/>
  </r>
  <r>
    <s v="L0190"/>
    <s v="Tanya Rao"/>
    <n v="27"/>
    <s v="F"/>
    <x v="2"/>
    <n v="1198153"/>
    <n v="1375980"/>
    <n v="8.39"/>
    <n v="36"/>
    <n v="661"/>
    <x v="0"/>
    <x v="1"/>
    <d v="2019-06-21T00:00:00"/>
    <x v="3"/>
    <n v="43366.199910516545"/>
    <n v="1561183.1967785957"/>
    <n v="185203.19677859568"/>
    <n v="6"/>
  </r>
  <r>
    <s v="L0191"/>
    <s v="Pooja Reddy"/>
    <n v="41"/>
    <s v="M"/>
    <x v="2"/>
    <n v="1118090"/>
    <n v="1900474"/>
    <n v="13.83"/>
    <n v="48"/>
    <n v="611"/>
    <x v="2"/>
    <x v="1"/>
    <d v="2023-04-20T00:00:00"/>
    <x v="3"/>
    <n v="51771.336167054593"/>
    <n v="2485024.1360186203"/>
    <n v="584550.13601862034"/>
    <n v="2"/>
  </r>
  <r>
    <s v="L0192"/>
    <s v="Rina Kapoor"/>
    <n v="28"/>
    <s v="M"/>
    <x v="1"/>
    <n v="378250"/>
    <n v="1098506"/>
    <n v="8.51"/>
    <n v="84"/>
    <n v="696"/>
    <x v="0"/>
    <x v="1"/>
    <d v="2024-09-12T00:00:00"/>
    <x v="0"/>
    <n v="17401.998811427187"/>
    <n v="1461767.9001598838"/>
    <n v="363261.90015988378"/>
    <n v="1"/>
  </r>
  <r>
    <s v="L0193"/>
    <s v="Rohan Nair"/>
    <n v="53"/>
    <s v="M"/>
    <x v="2"/>
    <n v="452335"/>
    <n v="735788"/>
    <n v="13.25"/>
    <n v="120"/>
    <n v="667"/>
    <x v="3"/>
    <x v="1"/>
    <d v="2018-05-31T00:00:00"/>
    <x v="2"/>
    <n v="11094.867489267084"/>
    <n v="1331384.0987120501"/>
    <n v="595596.09871205012"/>
    <n v="7"/>
  </r>
  <r>
    <s v="L0194"/>
    <s v="Rohan Nair"/>
    <n v="31"/>
    <s v="F"/>
    <x v="2"/>
    <n v="1946486"/>
    <n v="757192"/>
    <n v="11.39"/>
    <n v="120"/>
    <n v="782"/>
    <x v="3"/>
    <x v="1"/>
    <d v="2019-02-21T00:00:00"/>
    <x v="0"/>
    <n v="10598.178392712824"/>
    <n v="1271781.4071255389"/>
    <n v="514589.40712553891"/>
    <n v="6"/>
  </r>
  <r>
    <s v="L0195"/>
    <s v="Rohit Khanna"/>
    <n v="57"/>
    <s v="F"/>
    <x v="0"/>
    <n v="1265704"/>
    <n v="881766"/>
    <n v="13.52"/>
    <n v="72"/>
    <n v="788"/>
    <x v="2"/>
    <x v="1"/>
    <d v="2024-09-19T00:00:00"/>
    <x v="0"/>
    <n v="17943.582274418"/>
    <n v="1291937.9237580961"/>
    <n v="410171.92375809606"/>
    <n v="1"/>
  </r>
  <r>
    <s v="L0196"/>
    <s v="Neha Sharma"/>
    <n v="35"/>
    <s v="M"/>
    <x v="1"/>
    <n v="1694894"/>
    <n v="1224327"/>
    <n v="8.57"/>
    <n v="48"/>
    <n v="827"/>
    <x v="3"/>
    <x v="1"/>
    <d v="2018-11-12T00:00:00"/>
    <x v="0"/>
    <n v="30218.061726192609"/>
    <n v="1450466.9628572452"/>
    <n v="226139.96285724523"/>
    <n v="7"/>
  </r>
  <r>
    <s v="L0197"/>
    <s v="Arjun Mehta"/>
    <n v="42"/>
    <s v="F"/>
    <x v="2"/>
    <n v="1903750"/>
    <n v="1101452"/>
    <n v="11.24"/>
    <n v="36"/>
    <n v="850"/>
    <x v="1"/>
    <x v="1"/>
    <d v="2020-07-10T00:00:00"/>
    <x v="0"/>
    <n v="36185.440076145765"/>
    <n v="1302675.8427412475"/>
    <n v="201223.8427412475"/>
    <n v="5"/>
  </r>
  <r>
    <s v="L0198"/>
    <s v="Meena George"/>
    <n v="38"/>
    <s v="F"/>
    <x v="0"/>
    <n v="1402548"/>
    <n v="286958"/>
    <n v="11.03"/>
    <n v="36"/>
    <n v="699"/>
    <x v="1"/>
    <x v="0"/>
    <d v="2024-07-12T00:00:00"/>
    <x v="3"/>
    <n v="9398.7140958483051"/>
    <n v="338353.70745053899"/>
    <n v="51395.70745053899"/>
    <n v="1"/>
  </r>
  <r>
    <s v="L0199"/>
    <s v="Aarav Patel"/>
    <n v="57"/>
    <s v="M"/>
    <x v="0"/>
    <n v="1745684"/>
    <n v="399571"/>
    <n v="10.02"/>
    <n v="72"/>
    <n v="667"/>
    <x v="3"/>
    <x v="1"/>
    <d v="2024-01-01T00:00:00"/>
    <x v="0"/>
    <n v="7406.4180889529807"/>
    <n v="533262.10240461456"/>
    <n v="133691.10240461456"/>
    <n v="1"/>
  </r>
  <r>
    <s v="L0200"/>
    <s v="Neha Sharma"/>
    <n v="59"/>
    <s v="M"/>
    <x v="1"/>
    <n v="1928752"/>
    <n v="1226436"/>
    <n v="7.87"/>
    <n v="96"/>
    <n v="683"/>
    <x v="0"/>
    <x v="1"/>
    <d v="2019-09-25T00:00:00"/>
    <x v="1"/>
    <n v="17256.806114578249"/>
    <n v="1656653.3869995119"/>
    <n v="430217.38699951186"/>
    <n v="6"/>
  </r>
  <r>
    <s v="L0201"/>
    <s v="Rohan Nair"/>
    <n v="51"/>
    <s v="F"/>
    <x v="0"/>
    <n v="1415863"/>
    <n v="407012"/>
    <n v="7.57"/>
    <n v="120"/>
    <n v="673"/>
    <x v="1"/>
    <x v="1"/>
    <d v="2024-03-12T00:00:00"/>
    <x v="3"/>
    <n v="4846.1873627511477"/>
    <n v="581542.48353013769"/>
    <n v="174530.48353013769"/>
    <n v="1"/>
  </r>
  <r>
    <s v="L0202"/>
    <s v="Kiran Menon"/>
    <n v="41"/>
    <s v="F"/>
    <x v="1"/>
    <n v="667640"/>
    <n v="1679609"/>
    <n v="14.96"/>
    <n v="60"/>
    <n v="639"/>
    <x v="1"/>
    <x v="1"/>
    <d v="2018-03-15T00:00:00"/>
    <x v="3"/>
    <n v="39922.523451411536"/>
    <n v="2395351.4070846923"/>
    <n v="715742.40708469227"/>
    <n v="7"/>
  </r>
  <r>
    <s v="L0203"/>
    <s v="Neha Sharma"/>
    <n v="25"/>
    <s v="F"/>
    <x v="1"/>
    <n v="1885758"/>
    <n v="884396"/>
    <n v="11.05"/>
    <n v="36"/>
    <n v="804"/>
    <x v="1"/>
    <x v="1"/>
    <d v="2023-04-28T00:00:00"/>
    <x v="0"/>
    <n v="28974.935836434259"/>
    <n v="1043097.6901116333"/>
    <n v="158701.69011163327"/>
    <n v="2"/>
  </r>
  <r>
    <s v="L0204"/>
    <s v="Deepika Joshi"/>
    <n v="39"/>
    <s v="F"/>
    <x v="1"/>
    <n v="1262925"/>
    <n v="676743"/>
    <n v="8.84"/>
    <n v="96"/>
    <n v="717"/>
    <x v="0"/>
    <x v="1"/>
    <d v="2022-07-11T00:00:00"/>
    <x v="2"/>
    <n v="9858.3417824819171"/>
    <n v="946400.81111826398"/>
    <n v="269657.81111826398"/>
    <n v="3"/>
  </r>
  <r>
    <s v="L0205"/>
    <s v="Rohan Nair"/>
    <n v="50"/>
    <s v="F"/>
    <x v="0"/>
    <n v="470384"/>
    <n v="1696623"/>
    <n v="12.75"/>
    <n v="36"/>
    <n v="759"/>
    <x v="1"/>
    <x v="1"/>
    <d v="2020-04-24T00:00:00"/>
    <x v="0"/>
    <n v="56961.848104257973"/>
    <n v="2050626.531753287"/>
    <n v="354003.53175328695"/>
    <n v="5"/>
  </r>
  <r>
    <s v="L0206"/>
    <s v="Aarav Patel"/>
    <n v="38"/>
    <s v="F"/>
    <x v="0"/>
    <n v="1871531"/>
    <n v="938281"/>
    <n v="8.8000000000000007"/>
    <n v="84"/>
    <n v="772"/>
    <x v="3"/>
    <x v="1"/>
    <d v="2021-11-24T00:00:00"/>
    <x v="1"/>
    <n v="15001.014463219764"/>
    <n v="1260085.2149104602"/>
    <n v="321804.21491046017"/>
    <n v="4"/>
  </r>
  <r>
    <s v="L0207"/>
    <s v="Tanya Rao"/>
    <n v="49"/>
    <s v="F"/>
    <x v="0"/>
    <n v="1858254"/>
    <n v="310197"/>
    <n v="11.51"/>
    <n v="48"/>
    <n v="665"/>
    <x v="0"/>
    <x v="1"/>
    <d v="2019-10-23T00:00:00"/>
    <x v="1"/>
    <n v="8094.2471137975117"/>
    <n v="388523.86146228056"/>
    <n v="78326.861462280562"/>
    <n v="6"/>
  </r>
  <r>
    <s v="L0208"/>
    <s v="Neha Sharma"/>
    <n v="44"/>
    <s v="F"/>
    <x v="0"/>
    <n v="377991"/>
    <n v="609181"/>
    <n v="9.67"/>
    <n v="48"/>
    <n v="636"/>
    <x v="1"/>
    <x v="1"/>
    <d v="2018-10-14T00:00:00"/>
    <x v="3"/>
    <n v="15354.0397492592"/>
    <n v="736993.90796444158"/>
    <n v="127812.90796444158"/>
    <n v="7"/>
  </r>
  <r>
    <s v="L0209"/>
    <s v="Meena George"/>
    <n v="41"/>
    <s v="M"/>
    <x v="1"/>
    <n v="742267"/>
    <n v="205350"/>
    <n v="14.87"/>
    <n v="72"/>
    <n v="647"/>
    <x v="3"/>
    <x v="1"/>
    <d v="2023-01-14T00:00:00"/>
    <x v="1"/>
    <n v="4327.6442037818269"/>
    <n v="311590.38267229154"/>
    <n v="106240.38267229154"/>
    <n v="2"/>
  </r>
  <r>
    <s v="L0210"/>
    <s v="Tanya Rao"/>
    <n v="58"/>
    <s v="F"/>
    <x v="0"/>
    <n v="817565"/>
    <n v="773221"/>
    <n v="9.0399999999999991"/>
    <n v="48"/>
    <n v="693"/>
    <x v="3"/>
    <x v="1"/>
    <d v="2018-03-29T00:00:00"/>
    <x v="2"/>
    <n v="19256.32677468676"/>
    <n v="924303.68518496444"/>
    <n v="151082.68518496444"/>
    <n v="7"/>
  </r>
  <r>
    <s v="L0211"/>
    <s v="Sneha Pillai"/>
    <n v="51"/>
    <s v="M"/>
    <x v="0"/>
    <n v="1405496"/>
    <n v="1119026"/>
    <n v="11.52"/>
    <n v="84"/>
    <n v="645"/>
    <x v="1"/>
    <x v="1"/>
    <d v="2019-07-17T00:00:00"/>
    <x v="0"/>
    <n v="19467.772128524044"/>
    <n v="1635292.8587960198"/>
    <n v="516266.85879601981"/>
    <n v="6"/>
  </r>
  <r>
    <s v="L0212"/>
    <s v="Rohit Khanna"/>
    <n v="41"/>
    <s v="M"/>
    <x v="2"/>
    <n v="1658752"/>
    <n v="1035103"/>
    <n v="11.86"/>
    <n v="48"/>
    <n v="839"/>
    <x v="2"/>
    <x v="1"/>
    <d v="2023-04-15T00:00:00"/>
    <x v="3"/>
    <n v="27187.134626917818"/>
    <n v="1304982.4620920552"/>
    <n v="269879.46209205524"/>
    <n v="2"/>
  </r>
  <r>
    <s v="L0213"/>
    <s v="Isha Verma"/>
    <n v="39"/>
    <s v="F"/>
    <x v="1"/>
    <n v="1369593"/>
    <n v="1227319"/>
    <n v="8.07"/>
    <n v="120"/>
    <n v="747"/>
    <x v="0"/>
    <x v="1"/>
    <d v="2023-04-15T00:00:00"/>
    <x v="3"/>
    <n v="14936.201142444788"/>
    <n v="1792344.1370933745"/>
    <n v="565025.13709337451"/>
    <n v="2"/>
  </r>
  <r>
    <s v="L0214"/>
    <s v="Arjun Mehta"/>
    <n v="50"/>
    <s v="M"/>
    <x v="1"/>
    <n v="472479"/>
    <n v="1449226"/>
    <n v="13.94"/>
    <n v="96"/>
    <n v="724"/>
    <x v="1"/>
    <x v="1"/>
    <d v="2022-03-09T00:00:00"/>
    <x v="0"/>
    <n v="25125.770485030444"/>
    <n v="2412073.9665629226"/>
    <n v="962847.96656292258"/>
    <n v="3"/>
  </r>
  <r>
    <s v="L0215"/>
    <s v="Neha Sharma"/>
    <n v="28"/>
    <s v="M"/>
    <x v="1"/>
    <n v="1754320"/>
    <n v="1381926"/>
    <n v="14.45"/>
    <n v="120"/>
    <n v="848"/>
    <x v="3"/>
    <x v="1"/>
    <d v="2021-04-09T00:00:00"/>
    <x v="1"/>
    <n v="21832.150040993176"/>
    <n v="2619858.0049191811"/>
    <n v="1237932.0049191811"/>
    <n v="4"/>
  </r>
  <r>
    <s v="L0216"/>
    <s v="Tanya Rao"/>
    <n v="59"/>
    <s v="M"/>
    <x v="2"/>
    <n v="1248042"/>
    <n v="993863"/>
    <n v="11.49"/>
    <n v="84"/>
    <n v="663"/>
    <x v="2"/>
    <x v="1"/>
    <d v="2022-07-16T00:00:00"/>
    <x v="2"/>
    <n v="17274.490092165983"/>
    <n v="1451057.1677419425"/>
    <n v="457194.16774194245"/>
    <n v="3"/>
  </r>
  <r>
    <s v="L0217"/>
    <s v="Aarav Patel"/>
    <n v="59"/>
    <s v="F"/>
    <x v="1"/>
    <n v="821513"/>
    <n v="1184309"/>
    <n v="14.24"/>
    <n v="84"/>
    <n v="816"/>
    <x v="2"/>
    <x v="1"/>
    <d v="2024-03-23T00:00:00"/>
    <x v="3"/>
    <n v="22351.276332184272"/>
    <n v="1877507.211903479"/>
    <n v="693198.21190347895"/>
    <n v="1"/>
  </r>
  <r>
    <s v="L0218"/>
    <s v="Aditya Sharma"/>
    <n v="26"/>
    <s v="M"/>
    <x v="0"/>
    <n v="779765"/>
    <n v="263910"/>
    <n v="14.68"/>
    <n v="72"/>
    <n v="796"/>
    <x v="1"/>
    <x v="1"/>
    <d v="2024-10-07T00:00:00"/>
    <x v="0"/>
    <n v="5534.6201509667953"/>
    <n v="398492.65086960926"/>
    <n v="134582.65086960926"/>
    <n v="1"/>
  </r>
  <r>
    <s v="L0219"/>
    <s v="Aditya Sharma"/>
    <n v="57"/>
    <s v="M"/>
    <x v="0"/>
    <n v="818993"/>
    <n v="1543083"/>
    <n v="11.83"/>
    <n v="72"/>
    <n v="832"/>
    <x v="1"/>
    <x v="1"/>
    <d v="2019-01-01T00:00:00"/>
    <x v="0"/>
    <n v="30031.328433740498"/>
    <n v="2162255.6472293157"/>
    <n v="619172.64722931571"/>
    <n v="6"/>
  </r>
  <r>
    <s v="L0220"/>
    <s v="Isha Verma"/>
    <n v="25"/>
    <s v="M"/>
    <x v="2"/>
    <n v="1503081"/>
    <n v="238263"/>
    <n v="11.14"/>
    <n v="48"/>
    <n v="669"/>
    <x v="3"/>
    <x v="1"/>
    <d v="2023-10-19T00:00:00"/>
    <x v="3"/>
    <n v="6174.2433782120497"/>
    <n v="296363.68215417839"/>
    <n v="58100.682154178387"/>
    <n v="2"/>
  </r>
  <r>
    <s v="L0221"/>
    <s v="Rohan Nair"/>
    <n v="39"/>
    <s v="F"/>
    <x v="2"/>
    <n v="1368996"/>
    <n v="1598742"/>
    <n v="8.5299999999999994"/>
    <n v="36"/>
    <n v="816"/>
    <x v="2"/>
    <x v="1"/>
    <d v="2019-03-21T00:00:00"/>
    <x v="3"/>
    <n v="50490.575020823555"/>
    <n v="1817660.700749648"/>
    <n v="218918.70074964804"/>
    <n v="6"/>
  </r>
  <r>
    <s v="L0222"/>
    <s v="Mohit Jain"/>
    <n v="28"/>
    <s v="F"/>
    <x v="0"/>
    <n v="1904023"/>
    <n v="1602287"/>
    <n v="12.16"/>
    <n v="72"/>
    <n v="777"/>
    <x v="1"/>
    <x v="1"/>
    <d v="2022-03-01T00:00:00"/>
    <x v="3"/>
    <n v="31458.496034390206"/>
    <n v="2265011.7144760946"/>
    <n v="662724.71447609458"/>
    <n v="3"/>
  </r>
  <r>
    <s v="L0223"/>
    <s v="Isha Verma"/>
    <n v="57"/>
    <s v="M"/>
    <x v="1"/>
    <n v="1305322"/>
    <n v="1016563"/>
    <n v="9.17"/>
    <n v="84"/>
    <n v="788"/>
    <x v="1"/>
    <x v="1"/>
    <d v="2021-07-05T00:00:00"/>
    <x v="1"/>
    <n v="16443.401336243394"/>
    <n v="1381245.7122444452"/>
    <n v="364682.71224444523"/>
    <n v="4"/>
  </r>
  <r>
    <s v="L0224"/>
    <s v="Deepika Joshi"/>
    <n v="38"/>
    <s v="M"/>
    <x v="0"/>
    <n v="1128641"/>
    <n v="1996723"/>
    <n v="9.6999999999999993"/>
    <n v="72"/>
    <n v="662"/>
    <x v="1"/>
    <x v="1"/>
    <d v="2023-07-25T00:00:00"/>
    <x v="3"/>
    <n v="36689.607109340388"/>
    <n v="2641651.7118725078"/>
    <n v="644928.71187250782"/>
    <n v="2"/>
  </r>
  <r>
    <s v="L0225"/>
    <s v="Rohan Nair"/>
    <n v="48"/>
    <s v="F"/>
    <x v="0"/>
    <n v="1503522"/>
    <n v="519312"/>
    <n v="9.33"/>
    <n v="120"/>
    <n v="689"/>
    <x v="3"/>
    <x v="0"/>
    <d v="2021-11-15T00:00:00"/>
    <x v="2"/>
    <n v="6671.5292374114579"/>
    <n v="800583.508489375"/>
    <n v="281271.508489375"/>
    <n v="4"/>
  </r>
  <r>
    <s v="L0226"/>
    <s v="Priya Singh"/>
    <n v="26"/>
    <s v="F"/>
    <x v="2"/>
    <n v="848815"/>
    <n v="410047"/>
    <n v="9.5500000000000007"/>
    <n v="60"/>
    <n v="616"/>
    <x v="1"/>
    <x v="1"/>
    <d v="2018-05-12T00:00:00"/>
    <x v="3"/>
    <n v="8621.772979811165"/>
    <n v="517306.37878866988"/>
    <n v="107259.37878866988"/>
    <n v="7"/>
  </r>
  <r>
    <s v="L0227"/>
    <s v="Mohit Jain"/>
    <n v="36"/>
    <s v="F"/>
    <x v="2"/>
    <n v="1775780"/>
    <n v="505694"/>
    <n v="11.87"/>
    <n v="96"/>
    <n v="630"/>
    <x v="1"/>
    <x v="1"/>
    <d v="2023-03-30T00:00:00"/>
    <x v="2"/>
    <n v="8182.8867386555285"/>
    <n v="785557.12691093073"/>
    <n v="279863.12691093073"/>
    <n v="2"/>
  </r>
  <r>
    <s v="L0228"/>
    <s v="Aditya Sharma"/>
    <n v="38"/>
    <s v="M"/>
    <x v="2"/>
    <n v="1645769"/>
    <n v="1678828"/>
    <n v="14.62"/>
    <n v="84"/>
    <n v="823"/>
    <x v="3"/>
    <x v="1"/>
    <d v="2020-01-28T00:00:00"/>
    <x v="3"/>
    <n v="32039.04928849078"/>
    <n v="2691280.1402332257"/>
    <n v="1012452.1402332257"/>
    <n v="5"/>
  </r>
  <r>
    <s v="L0229"/>
    <s v="Raj Kumar"/>
    <n v="59"/>
    <s v="M"/>
    <x v="2"/>
    <n v="1312253"/>
    <n v="1429234"/>
    <n v="14.38"/>
    <n v="84"/>
    <n v="718"/>
    <x v="3"/>
    <x v="1"/>
    <d v="2021-11-19T00:00:00"/>
    <x v="2"/>
    <n v="27084.77979902926"/>
    <n v="2275121.5031184577"/>
    <n v="845887.50311845774"/>
    <n v="4"/>
  </r>
  <r>
    <s v="L0230"/>
    <s v="Rohit Khanna"/>
    <n v="29"/>
    <s v="F"/>
    <x v="1"/>
    <n v="1215400"/>
    <n v="993745"/>
    <n v="11.24"/>
    <n v="48"/>
    <n v="776"/>
    <x v="0"/>
    <x v="1"/>
    <d v="2023-09-16T00:00:00"/>
    <x v="1"/>
    <n v="25799.834827396917"/>
    <n v="1238392.071715052"/>
    <n v="244647.07171505201"/>
    <n v="2"/>
  </r>
  <r>
    <s v="L0231"/>
    <s v="Kiran Menon"/>
    <n v="40"/>
    <s v="M"/>
    <x v="1"/>
    <n v="767643"/>
    <n v="1346572"/>
    <n v="13.11"/>
    <n v="120"/>
    <n v="661"/>
    <x v="3"/>
    <x v="1"/>
    <d v="2019-04-20T00:00:00"/>
    <x v="2"/>
    <n v="20193.227062125825"/>
    <n v="2423187.2474550991"/>
    <n v="1076615.2474550991"/>
    <n v="6"/>
  </r>
  <r>
    <s v="L0232"/>
    <s v="Aarav Patel"/>
    <n v="42"/>
    <s v="F"/>
    <x v="2"/>
    <n v="328159"/>
    <n v="988372"/>
    <n v="8.08"/>
    <n v="72"/>
    <n v="659"/>
    <x v="2"/>
    <x v="1"/>
    <d v="2024-04-17T00:00:00"/>
    <x v="2"/>
    <n v="17367.997345548905"/>
    <n v="1250495.8088795212"/>
    <n v="262123.80887952121"/>
    <n v="1"/>
  </r>
  <r>
    <s v="L0233"/>
    <s v="Tanya Rao"/>
    <n v="29"/>
    <s v="F"/>
    <x v="1"/>
    <n v="1407004"/>
    <n v="267960"/>
    <n v="13.81"/>
    <n v="60"/>
    <n v="606"/>
    <x v="3"/>
    <x v="1"/>
    <d v="2018-03-09T00:00:00"/>
    <x v="2"/>
    <n v="6208.5970755908638"/>
    <n v="372515.82453545183"/>
    <n v="104555.82453545183"/>
    <n v="7"/>
  </r>
  <r>
    <s v="L0234"/>
    <s v="Tanya Rao"/>
    <n v="59"/>
    <s v="M"/>
    <x v="2"/>
    <n v="1421092"/>
    <n v="1526067"/>
    <n v="11.75"/>
    <n v="84"/>
    <n v="641"/>
    <x v="0"/>
    <x v="1"/>
    <d v="2021-11-26T00:00:00"/>
    <x v="0"/>
    <n v="26735.651110364568"/>
    <n v="2245794.6932706237"/>
    <n v="719727.69327062368"/>
    <n v="4"/>
  </r>
  <r>
    <s v="L0235"/>
    <s v="Amit Yadav"/>
    <n v="50"/>
    <s v="F"/>
    <x v="1"/>
    <n v="553957"/>
    <n v="322262"/>
    <n v="12.69"/>
    <n v="36"/>
    <n v="736"/>
    <x v="0"/>
    <x v="1"/>
    <d v="2024-10-02T00:00:00"/>
    <x v="2"/>
    <n v="10810.22421728936"/>
    <n v="389168.07182241697"/>
    <n v="66906.071822416969"/>
    <n v="1"/>
  </r>
  <r>
    <s v="L0236"/>
    <s v="Rohan Nair"/>
    <n v="36"/>
    <s v="F"/>
    <x v="1"/>
    <n v="369190"/>
    <n v="1577019"/>
    <n v="13.17"/>
    <n v="60"/>
    <n v="698"/>
    <x v="3"/>
    <x v="1"/>
    <d v="2023-12-24T00:00:00"/>
    <x v="0"/>
    <n v="36019.417324832706"/>
    <n v="2161165.0394899622"/>
    <n v="584146.03948996216"/>
    <n v="2"/>
  </r>
  <r>
    <s v="L0237"/>
    <s v="Pooja Reddy"/>
    <n v="38"/>
    <s v="F"/>
    <x v="0"/>
    <n v="1376450"/>
    <n v="1864231"/>
    <n v="10.57"/>
    <n v="84"/>
    <n v="800"/>
    <x v="0"/>
    <x v="1"/>
    <d v="2022-03-07T00:00:00"/>
    <x v="1"/>
    <n v="31500.253103602638"/>
    <n v="2646021.2607026217"/>
    <n v="781790.26070262166"/>
    <n v="3"/>
  </r>
  <r>
    <s v="L0238"/>
    <s v="Aarav Patel"/>
    <n v="43"/>
    <s v="F"/>
    <x v="2"/>
    <n v="885497"/>
    <n v="463243"/>
    <n v="9.67"/>
    <n v="72"/>
    <n v="659"/>
    <x v="2"/>
    <x v="1"/>
    <d v="2023-02-12T00:00:00"/>
    <x v="2"/>
    <n v="8505.0754813679723"/>
    <n v="612365.43465849396"/>
    <n v="149122.43465849396"/>
    <n v="2"/>
  </r>
  <r>
    <s v="L0239"/>
    <s v="Meena George"/>
    <n v="32"/>
    <s v="F"/>
    <x v="0"/>
    <n v="1802889"/>
    <n v="1923108"/>
    <n v="13.48"/>
    <n v="84"/>
    <n v="748"/>
    <x v="1"/>
    <x v="0"/>
    <d v="2022-01-13T00:00:00"/>
    <x v="3"/>
    <n v="35488.907108489766"/>
    <n v="2981068.1971131405"/>
    <n v="1057960.1971131405"/>
    <n v="3"/>
  </r>
  <r>
    <s v="L0240"/>
    <s v="Rina Kapoor"/>
    <n v="43"/>
    <s v="M"/>
    <x v="2"/>
    <n v="1245287"/>
    <n v="1010719"/>
    <n v="13.36"/>
    <n v="36"/>
    <n v="801"/>
    <x v="2"/>
    <x v="1"/>
    <d v="2020-07-25T00:00:00"/>
    <x v="1"/>
    <n v="34230.638776753949"/>
    <n v="1232302.9959631423"/>
    <n v="221583.99596314225"/>
    <n v="5"/>
  </r>
  <r>
    <s v="L0241"/>
    <s v="Rohan Nair"/>
    <n v="44"/>
    <s v="M"/>
    <x v="1"/>
    <n v="1490029"/>
    <n v="1309558"/>
    <n v="14.95"/>
    <n v="36"/>
    <n v="825"/>
    <x v="3"/>
    <x v="1"/>
    <d v="2018-05-01T00:00:00"/>
    <x v="3"/>
    <n v="45364.200018750824"/>
    <n v="1633111.2006750298"/>
    <n v="323553.20067502977"/>
    <n v="7"/>
  </r>
  <r>
    <s v="L0242"/>
    <s v="Amit Yadav"/>
    <n v="36"/>
    <s v="F"/>
    <x v="0"/>
    <n v="960545"/>
    <n v="221136"/>
    <n v="9.73"/>
    <n v="72"/>
    <n v="659"/>
    <x v="2"/>
    <x v="1"/>
    <d v="2021-01-04T00:00:00"/>
    <x v="1"/>
    <n v="4066.6846994946732"/>
    <n v="292801.29836361646"/>
    <n v="71665.298363616457"/>
    <n v="4"/>
  </r>
  <r>
    <s v="L0243"/>
    <s v="Kiran Menon"/>
    <n v="36"/>
    <s v="F"/>
    <x v="1"/>
    <n v="1476667"/>
    <n v="1771494"/>
    <n v="7.85"/>
    <n v="96"/>
    <n v="611"/>
    <x v="3"/>
    <x v="1"/>
    <d v="2019-02-25T00:00:00"/>
    <x v="2"/>
    <n v="24908.195382024325"/>
    <n v="2391186.7566743353"/>
    <n v="619692.75667433534"/>
    <n v="6"/>
  </r>
  <r>
    <s v="L0244"/>
    <s v="Meena George"/>
    <n v="58"/>
    <s v="F"/>
    <x v="0"/>
    <n v="1885070"/>
    <n v="1205646"/>
    <n v="10.96"/>
    <n v="60"/>
    <n v="801"/>
    <x v="3"/>
    <x v="1"/>
    <d v="2019-07-18T00:00:00"/>
    <x v="0"/>
    <n v="26189.621166644716"/>
    <n v="1571377.2699986829"/>
    <n v="365731.2699986829"/>
    <n v="6"/>
  </r>
  <r>
    <s v="L0245"/>
    <s v="Arjun Mehta"/>
    <n v="53"/>
    <s v="M"/>
    <x v="2"/>
    <n v="1585642"/>
    <n v="281404"/>
    <n v="10.65"/>
    <n v="72"/>
    <n v="689"/>
    <x v="0"/>
    <x v="1"/>
    <d v="2022-02-11T00:00:00"/>
    <x v="0"/>
    <n v="5305.9555750417612"/>
    <n v="382028.80140300683"/>
    <n v="100624.80140300683"/>
    <n v="3"/>
  </r>
  <r>
    <s v="L0246"/>
    <s v="Priya Singh"/>
    <n v="60"/>
    <s v="F"/>
    <x v="0"/>
    <n v="385786"/>
    <n v="681256"/>
    <n v="12.34"/>
    <n v="96"/>
    <n v="608"/>
    <x v="0"/>
    <x v="1"/>
    <d v="2021-07-24T00:00:00"/>
    <x v="3"/>
    <n v="11200.004247933819"/>
    <n v="1075200.4078016467"/>
    <n v="393944.40780164674"/>
    <n v="4"/>
  </r>
  <r>
    <s v="L0247"/>
    <s v="Arjun Mehta"/>
    <n v="53"/>
    <s v="F"/>
    <x v="2"/>
    <n v="442485"/>
    <n v="833108"/>
    <n v="12.63"/>
    <n v="60"/>
    <n v="708"/>
    <x v="2"/>
    <x v="1"/>
    <d v="2020-08-19T00:00:00"/>
    <x v="1"/>
    <n v="18798.345005325606"/>
    <n v="1127900.7003195363"/>
    <n v="294792.70031953626"/>
    <n v="5"/>
  </r>
  <r>
    <s v="L0248"/>
    <s v="Amit Yadav"/>
    <n v="32"/>
    <s v="M"/>
    <x v="0"/>
    <n v="789217"/>
    <n v="1525667"/>
    <n v="8.39"/>
    <n v="96"/>
    <n v="838"/>
    <x v="3"/>
    <x v="0"/>
    <d v="2020-01-31T00:00:00"/>
    <x v="2"/>
    <n v="21871.510408789381"/>
    <n v="2099664.9992437805"/>
    <n v="573997.9992437805"/>
    <n v="5"/>
  </r>
  <r>
    <s v="L0249"/>
    <s v="Tanya Rao"/>
    <n v="43"/>
    <s v="M"/>
    <x v="1"/>
    <n v="1739785"/>
    <n v="1220098"/>
    <n v="14.53"/>
    <n v="84"/>
    <n v="625"/>
    <x v="2"/>
    <x v="1"/>
    <d v="2021-04-18T00:00:00"/>
    <x v="3"/>
    <n v="23223.358221648941"/>
    <n v="1950762.090618511"/>
    <n v="730664.09061851096"/>
    <n v="4"/>
  </r>
  <r>
    <s v="L0250"/>
    <s v="Rina Kapoor"/>
    <n v="40"/>
    <s v="F"/>
    <x v="2"/>
    <n v="1474739"/>
    <n v="774808"/>
    <n v="8.86"/>
    <n v="36"/>
    <n v="849"/>
    <x v="2"/>
    <x v="1"/>
    <d v="2020-09-21T00:00:00"/>
    <x v="2"/>
    <n v="24588.233524336392"/>
    <n v="885176.40687611012"/>
    <n v="110368.40687611012"/>
    <n v="5"/>
  </r>
  <r>
    <s v="L0251"/>
    <s v="Deepika Joshi"/>
    <n v="59"/>
    <s v="F"/>
    <x v="0"/>
    <n v="1820226"/>
    <n v="824976"/>
    <n v="10.18"/>
    <n v="72"/>
    <n v="603"/>
    <x v="1"/>
    <x v="0"/>
    <d v="2019-03-28T00:00:00"/>
    <x v="0"/>
    <n v="15358.361304682943"/>
    <n v="1105802.013937172"/>
    <n v="280826.01393717201"/>
    <n v="6"/>
  </r>
  <r>
    <s v="L0252"/>
    <s v="Aarav Patel"/>
    <n v="30"/>
    <s v="M"/>
    <x v="2"/>
    <n v="458490"/>
    <n v="440148"/>
    <n v="7.74"/>
    <n v="60"/>
    <n v="749"/>
    <x v="2"/>
    <x v="0"/>
    <d v="2023-12-06T00:00:00"/>
    <x v="0"/>
    <n v="8869.9466400961774"/>
    <n v="532196.79840577068"/>
    <n v="92048.798405770678"/>
    <n v="2"/>
  </r>
  <r>
    <s v="L0253"/>
    <s v="Amit Yadav"/>
    <n v="46"/>
    <s v="F"/>
    <x v="0"/>
    <n v="978564"/>
    <n v="1487661"/>
    <n v="14.38"/>
    <n v="60"/>
    <n v="729"/>
    <x v="3"/>
    <x v="1"/>
    <d v="2020-12-19T00:00:00"/>
    <x v="3"/>
    <n v="34909.045318644348"/>
    <n v="2094542.7191186608"/>
    <n v="606881.71911866078"/>
    <n v="5"/>
  </r>
  <r>
    <s v="L0254"/>
    <s v="Sahil Gupta"/>
    <n v="55"/>
    <s v="F"/>
    <x v="1"/>
    <n v="1923304"/>
    <n v="443925"/>
    <n v="9.3699999999999992"/>
    <n v="48"/>
    <n v="693"/>
    <x v="2"/>
    <x v="1"/>
    <d v="2022-03-08T00:00:00"/>
    <x v="3"/>
    <n v="11125.249674688681"/>
    <n v="534011.98438505665"/>
    <n v="90086.984385056654"/>
    <n v="3"/>
  </r>
  <r>
    <s v="L0255"/>
    <s v="Deepika Joshi"/>
    <n v="45"/>
    <s v="F"/>
    <x v="2"/>
    <n v="558648"/>
    <n v="1557739"/>
    <n v="7.75"/>
    <n v="120"/>
    <n v="770"/>
    <x v="0"/>
    <x v="1"/>
    <d v="2020-07-28T00:00:00"/>
    <x v="1"/>
    <n v="18694.524055601672"/>
    <n v="2243342.8866722006"/>
    <n v="685603.88667220064"/>
    <n v="5"/>
  </r>
  <r>
    <s v="L0256"/>
    <s v="Isha Verma"/>
    <n v="44"/>
    <s v="M"/>
    <x v="1"/>
    <n v="584740"/>
    <n v="524951"/>
    <n v="8.17"/>
    <n v="120"/>
    <n v="745"/>
    <x v="3"/>
    <x v="1"/>
    <d v="2024-03-05T00:00:00"/>
    <x v="0"/>
    <n v="6416.3574126166523"/>
    <n v="769962.88951399829"/>
    <n v="245011.88951399829"/>
    <n v="1"/>
  </r>
  <r>
    <s v="L0257"/>
    <s v="Isha Verma"/>
    <n v="30"/>
    <s v="M"/>
    <x v="1"/>
    <n v="1981170"/>
    <n v="681913"/>
    <n v="14.34"/>
    <n v="84"/>
    <n v="614"/>
    <x v="3"/>
    <x v="0"/>
    <d v="2022-09-27T00:00:00"/>
    <x v="2"/>
    <n v="12907.477731710562"/>
    <n v="1084228.1294636871"/>
    <n v="402315.12946368707"/>
    <n v="3"/>
  </r>
  <r>
    <s v="L0258"/>
    <s v="Amit Yadav"/>
    <n v="31"/>
    <s v="F"/>
    <x v="1"/>
    <n v="1339270"/>
    <n v="320445"/>
    <n v="13.8"/>
    <n v="120"/>
    <n v="720"/>
    <x v="0"/>
    <x v="1"/>
    <d v="2022-08-01T00:00:00"/>
    <x v="0"/>
    <n v="4936.9733766679774"/>
    <n v="592436.80520015734"/>
    <n v="271991.80520015734"/>
    <n v="3"/>
  </r>
  <r>
    <s v="L0259"/>
    <s v="Vikram Das"/>
    <n v="29"/>
    <s v="M"/>
    <x v="2"/>
    <n v="1343588"/>
    <n v="1933442"/>
    <n v="10.78"/>
    <n v="96"/>
    <n v="617"/>
    <x v="2"/>
    <x v="1"/>
    <d v="2024-06-08T00:00:00"/>
    <x v="3"/>
    <n v="30142.383229675776"/>
    <n v="2893668.7900488744"/>
    <n v="960226.79004887445"/>
    <n v="1"/>
  </r>
  <r>
    <s v="L0260"/>
    <s v="Pooja Reddy"/>
    <n v="58"/>
    <s v="F"/>
    <x v="1"/>
    <n v="541640"/>
    <n v="756421"/>
    <n v="10.29"/>
    <n v="72"/>
    <n v="762"/>
    <x v="1"/>
    <x v="1"/>
    <d v="2019-12-06T00:00:00"/>
    <x v="1"/>
    <n v="14124.205448786131"/>
    <n v="1016942.7923126015"/>
    <n v="260521.79231260146"/>
    <n v="6"/>
  </r>
  <r>
    <s v="L0261"/>
    <s v="Vikram Das"/>
    <n v="39"/>
    <s v="F"/>
    <x v="2"/>
    <n v="1461654"/>
    <n v="1747926"/>
    <n v="8.2799999999999994"/>
    <n v="120"/>
    <n v="612"/>
    <x v="0"/>
    <x v="1"/>
    <d v="2018-08-07T00:00:00"/>
    <x v="0"/>
    <n v="21466.658381054094"/>
    <n v="2575999.0057264911"/>
    <n v="828073.0057264911"/>
    <n v="7"/>
  </r>
  <r>
    <s v="L0262"/>
    <s v="Rohit Khanna"/>
    <n v="40"/>
    <s v="M"/>
    <x v="0"/>
    <n v="762237"/>
    <n v="659502"/>
    <n v="9.14"/>
    <n v="48"/>
    <n v="706"/>
    <x v="2"/>
    <x v="0"/>
    <d v="2021-11-30T00:00:00"/>
    <x v="1"/>
    <n v="16455.611824391362"/>
    <n v="789869.36757078534"/>
    <n v="130367.36757078534"/>
    <n v="4"/>
  </r>
  <r>
    <s v="L0263"/>
    <s v="Amit Yadav"/>
    <n v="50"/>
    <s v="F"/>
    <x v="0"/>
    <n v="796997"/>
    <n v="727190"/>
    <n v="14.35"/>
    <n v="48"/>
    <n v="798"/>
    <x v="0"/>
    <x v="1"/>
    <d v="2018-07-18T00:00:00"/>
    <x v="0"/>
    <n v="19999.449364391559"/>
    <n v="959973.56949079479"/>
    <n v="232783.56949079479"/>
    <n v="7"/>
  </r>
  <r>
    <s v="L0264"/>
    <s v="Rohit Khanna"/>
    <n v="37"/>
    <s v="M"/>
    <x v="2"/>
    <n v="1599602"/>
    <n v="1479138"/>
    <n v="10.61"/>
    <n v="84"/>
    <n v="747"/>
    <x v="0"/>
    <x v="1"/>
    <d v="2020-10-06T00:00:00"/>
    <x v="1"/>
    <n v="25024.15489474465"/>
    <n v="2102029.0111585506"/>
    <n v="622891.01115855062"/>
    <n v="5"/>
  </r>
  <r>
    <s v="L0265"/>
    <s v="Rohan Nair"/>
    <n v="45"/>
    <s v="M"/>
    <x v="0"/>
    <n v="1769247"/>
    <n v="533659"/>
    <n v="14.49"/>
    <n v="72"/>
    <n v="670"/>
    <x v="3"/>
    <x v="1"/>
    <d v="2018-12-27T00:00:00"/>
    <x v="1"/>
    <n v="11136.948005976679"/>
    <n v="801860.25643032091"/>
    <n v="268201.25643032091"/>
    <n v="7"/>
  </r>
  <r>
    <s v="L0266"/>
    <s v="Tanya Rao"/>
    <n v="29"/>
    <s v="M"/>
    <x v="2"/>
    <n v="1663722"/>
    <n v="1828028"/>
    <n v="9.4700000000000006"/>
    <n v="72"/>
    <n v="831"/>
    <x v="2"/>
    <x v="0"/>
    <d v="2019-02-20T00:00:00"/>
    <x v="0"/>
    <n v="33379.216006991192"/>
    <n v="2403303.552503366"/>
    <n v="575275.55250336602"/>
    <n v="6"/>
  </r>
  <r>
    <s v="L0267"/>
    <s v="Sneha Pillai"/>
    <n v="26"/>
    <s v="M"/>
    <x v="1"/>
    <n v="1278266"/>
    <n v="1189889"/>
    <n v="10.45"/>
    <n v="36"/>
    <n v="613"/>
    <x v="3"/>
    <x v="1"/>
    <d v="2024-03-20T00:00:00"/>
    <x v="0"/>
    <n v="38646.252607345356"/>
    <n v="1391265.0938644328"/>
    <n v="201376.09386443277"/>
    <n v="1"/>
  </r>
  <r>
    <s v="L0268"/>
    <s v="Aarav Patel"/>
    <n v="26"/>
    <s v="M"/>
    <x v="0"/>
    <n v="1306382"/>
    <n v="1148343"/>
    <n v="13.71"/>
    <n v="120"/>
    <n v="643"/>
    <x v="0"/>
    <x v="1"/>
    <d v="2024-05-21T00:00:00"/>
    <x v="0"/>
    <n v="17630.2263859657"/>
    <n v="2115627.1663158839"/>
    <n v="967284.16631588386"/>
    <n v="1"/>
  </r>
  <r>
    <s v="L0269"/>
    <s v="Kiran Menon"/>
    <n v="30"/>
    <s v="F"/>
    <x v="2"/>
    <n v="592365"/>
    <n v="1891906"/>
    <n v="9.11"/>
    <n v="36"/>
    <n v="679"/>
    <x v="2"/>
    <x v="1"/>
    <d v="2022-05-14T00:00:00"/>
    <x v="2"/>
    <n v="60259.008697032594"/>
    <n v="2169324.3130931733"/>
    <n v="277418.31309317332"/>
    <n v="3"/>
  </r>
  <r>
    <s v="L0270"/>
    <s v="Amit Yadav"/>
    <n v="31"/>
    <s v="F"/>
    <x v="2"/>
    <n v="824064"/>
    <n v="387729"/>
    <n v="14.96"/>
    <n v="36"/>
    <n v="816"/>
    <x v="2"/>
    <x v="1"/>
    <d v="2018-07-09T00:00:00"/>
    <x v="2"/>
    <n v="13433.159497022783"/>
    <n v="483593.74189282022"/>
    <n v="95864.741892820224"/>
    <n v="7"/>
  </r>
  <r>
    <s v="L0271"/>
    <s v="Vikram Das"/>
    <n v="27"/>
    <s v="M"/>
    <x v="0"/>
    <n v="1136922"/>
    <n v="1281040"/>
    <n v="14.34"/>
    <n v="48"/>
    <n v="782"/>
    <x v="0"/>
    <x v="1"/>
    <d v="2024-10-09T00:00:00"/>
    <x v="1"/>
    <n v="35225.188234658868"/>
    <n v="1690809.0352636257"/>
    <n v="409769.03526362567"/>
    <n v="1"/>
  </r>
  <r>
    <s v="L0272"/>
    <s v="Rina Kapoor"/>
    <n v="37"/>
    <s v="M"/>
    <x v="2"/>
    <n v="1859055"/>
    <n v="1722974"/>
    <n v="9.0500000000000007"/>
    <n v="36"/>
    <n v="615"/>
    <x v="0"/>
    <x v="1"/>
    <d v="2021-05-14T00:00:00"/>
    <x v="1"/>
    <n v="54830.216090461508"/>
    <n v="1973887.7792566144"/>
    <n v="250913.77925661439"/>
    <n v="4"/>
  </r>
  <r>
    <s v="L0273"/>
    <s v="Rohan Nair"/>
    <n v="36"/>
    <s v="F"/>
    <x v="1"/>
    <n v="430193"/>
    <n v="669753"/>
    <n v="11.94"/>
    <n v="72"/>
    <n v="764"/>
    <x v="0"/>
    <x v="1"/>
    <d v="2020-04-17T00:00:00"/>
    <x v="0"/>
    <n v="13072.912158839867"/>
    <n v="941249.67543647042"/>
    <n v="271496.67543647042"/>
    <n v="5"/>
  </r>
  <r>
    <s v="L0274"/>
    <s v="Sneha Pillai"/>
    <n v="28"/>
    <s v="F"/>
    <x v="0"/>
    <n v="982281"/>
    <n v="377721"/>
    <n v="11.11"/>
    <n v="36"/>
    <n v="661"/>
    <x v="0"/>
    <x v="1"/>
    <d v="2019-04-01T00:00:00"/>
    <x v="3"/>
    <n v="12385.786486811799"/>
    <n v="445888.3135252248"/>
    <n v="68167.313525224803"/>
    <n v="6"/>
  </r>
  <r>
    <s v="L0275"/>
    <s v="Pooja Reddy"/>
    <n v="46"/>
    <s v="F"/>
    <x v="0"/>
    <n v="754006"/>
    <n v="559139"/>
    <n v="13.45"/>
    <n v="84"/>
    <n v="789"/>
    <x v="1"/>
    <x v="1"/>
    <d v="2019-06-22T00:00:00"/>
    <x v="0"/>
    <n v="10309.125914915256"/>
    <n v="865966.57685288147"/>
    <n v="306827.57685288147"/>
    <n v="6"/>
  </r>
  <r>
    <s v="L0276"/>
    <s v="Aditya Sharma"/>
    <n v="51"/>
    <s v="M"/>
    <x v="2"/>
    <n v="1868279"/>
    <n v="1192846"/>
    <n v="13.61"/>
    <n v="120"/>
    <n v="753"/>
    <x v="2"/>
    <x v="1"/>
    <d v="2023-12-08T00:00:00"/>
    <x v="2"/>
    <n v="18242.208318055076"/>
    <n v="2189064.9981666091"/>
    <n v="996218.99816660909"/>
    <n v="2"/>
  </r>
  <r>
    <s v="L0277"/>
    <s v="Deepika Joshi"/>
    <n v="60"/>
    <s v="M"/>
    <x v="0"/>
    <n v="527361"/>
    <n v="1702176"/>
    <n v="11.42"/>
    <n v="36"/>
    <n v="646"/>
    <x v="2"/>
    <x v="1"/>
    <d v="2023-01-28T00:00:00"/>
    <x v="1"/>
    <n v="56066.225348926782"/>
    <n v="2018384.1125613642"/>
    <n v="316208.11256136419"/>
    <n v="2"/>
  </r>
  <r>
    <s v="L0278"/>
    <s v="Meena George"/>
    <n v="39"/>
    <s v="M"/>
    <x v="2"/>
    <n v="1751174"/>
    <n v="1130921"/>
    <n v="10.38"/>
    <n v="84"/>
    <n v="827"/>
    <x v="3"/>
    <x v="1"/>
    <d v="2023-03-25T00:00:00"/>
    <x v="1"/>
    <n v="18997.423427153088"/>
    <n v="1595783.5678808594"/>
    <n v="464862.56788085937"/>
    <n v="2"/>
  </r>
  <r>
    <s v="L0279"/>
    <s v="Raj Kumar"/>
    <n v="50"/>
    <s v="F"/>
    <x v="2"/>
    <n v="332084"/>
    <n v="499921"/>
    <n v="13.4"/>
    <n v="36"/>
    <n v="632"/>
    <x v="1"/>
    <x v="0"/>
    <d v="2023-08-06T00:00:00"/>
    <x v="0"/>
    <n v="16940.792751399782"/>
    <n v="609868.53905039211"/>
    <n v="109947.53905039211"/>
    <n v="2"/>
  </r>
  <r>
    <s v="L0280"/>
    <s v="Isha Verma"/>
    <n v="35"/>
    <s v="M"/>
    <x v="1"/>
    <n v="944155"/>
    <n v="1357203"/>
    <n v="13.42"/>
    <n v="120"/>
    <n v="714"/>
    <x v="0"/>
    <x v="1"/>
    <d v="2022-11-18T00:00:00"/>
    <x v="0"/>
    <n v="20602.095826275461"/>
    <n v="2472251.4991530553"/>
    <n v="1115048.4991530553"/>
    <n v="3"/>
  </r>
  <r>
    <s v="L0281"/>
    <s v="Mohit Jain"/>
    <n v="39"/>
    <s v="M"/>
    <x v="2"/>
    <n v="887148"/>
    <n v="650177"/>
    <n v="10.38"/>
    <n v="84"/>
    <n v="736"/>
    <x v="1"/>
    <x v="0"/>
    <d v="2024-02-19T00:00:00"/>
    <x v="1"/>
    <n v="10921.795396491985"/>
    <n v="917430.81330532674"/>
    <n v="267253.81330532674"/>
    <n v="1"/>
  </r>
  <r>
    <s v="L0282"/>
    <s v="Aditya Sharma"/>
    <n v="31"/>
    <s v="M"/>
    <x v="1"/>
    <n v="1202153"/>
    <n v="1737339"/>
    <n v="14.06"/>
    <n v="84"/>
    <n v="750"/>
    <x v="0"/>
    <x v="1"/>
    <d v="2024-03-07T00:00:00"/>
    <x v="1"/>
    <n v="32615.364309152385"/>
    <n v="2739690.6019688002"/>
    <n v="1002351.6019688002"/>
    <n v="1"/>
  </r>
  <r>
    <s v="L0283"/>
    <s v="Mohit Jain"/>
    <n v="44"/>
    <s v="F"/>
    <x v="2"/>
    <n v="1132417"/>
    <n v="908747"/>
    <n v="14.14"/>
    <n v="72"/>
    <n v="737"/>
    <x v="1"/>
    <x v="1"/>
    <d v="2023-09-15T00:00:00"/>
    <x v="3"/>
    <n v="18793.596643542336"/>
    <n v="1353138.9583350483"/>
    <n v="444391.95833504829"/>
    <n v="2"/>
  </r>
  <r>
    <s v="L0284"/>
    <s v="Priya Singh"/>
    <n v="38"/>
    <s v="M"/>
    <x v="0"/>
    <n v="1235213"/>
    <n v="420323"/>
    <n v="11.16"/>
    <n v="48"/>
    <n v="679"/>
    <x v="0"/>
    <x v="1"/>
    <d v="2024-09-06T00:00:00"/>
    <x v="1"/>
    <n v="10896.155952163295"/>
    <n v="523015.48570383817"/>
    <n v="102692.48570383817"/>
    <n v="1"/>
  </r>
  <r>
    <s v="L0285"/>
    <s v="Raj Kumar"/>
    <n v="27"/>
    <s v="F"/>
    <x v="0"/>
    <n v="1385278"/>
    <n v="1807067"/>
    <n v="8.7100000000000009"/>
    <n v="48"/>
    <n v="780"/>
    <x v="2"/>
    <x v="0"/>
    <d v="2020-03-28T00:00:00"/>
    <x v="1"/>
    <n v="44720.514358194756"/>
    <n v="2146584.6891933484"/>
    <n v="339517.6891933484"/>
    <n v="5"/>
  </r>
  <r>
    <s v="L0286"/>
    <s v="Neha Sharma"/>
    <n v="52"/>
    <s v="M"/>
    <x v="0"/>
    <n v="1871184"/>
    <n v="1618811"/>
    <n v="11.35"/>
    <n v="60"/>
    <n v="621"/>
    <x v="2"/>
    <x v="1"/>
    <d v="2022-04-24T00:00:00"/>
    <x v="1"/>
    <n v="35480.09250874049"/>
    <n v="2128805.5505244294"/>
    <n v="509994.55052442942"/>
    <n v="3"/>
  </r>
  <r>
    <s v="L0287"/>
    <s v="Sneha Pillai"/>
    <n v="46"/>
    <s v="M"/>
    <x v="2"/>
    <n v="1096211"/>
    <n v="1438101"/>
    <n v="7.82"/>
    <n v="72"/>
    <n v="706"/>
    <x v="2"/>
    <x v="1"/>
    <d v="2018-11-24T00:00:00"/>
    <x v="1"/>
    <n v="25088.364891018573"/>
    <n v="1806362.2721533373"/>
    <n v="368261.27215333725"/>
    <n v="7"/>
  </r>
  <r>
    <s v="L0288"/>
    <s v="Aditya Sharma"/>
    <n v="32"/>
    <s v="F"/>
    <x v="2"/>
    <n v="1829321"/>
    <n v="1877118"/>
    <n v="13.39"/>
    <n v="84"/>
    <n v="610"/>
    <x v="2"/>
    <x v="1"/>
    <d v="2024-10-01T00:00:00"/>
    <x v="1"/>
    <n v="34547.718449392713"/>
    <n v="2902008.3497489877"/>
    <n v="1024890.3497489877"/>
    <n v="1"/>
  </r>
  <r>
    <s v="L0289"/>
    <s v="Sahil Gupta"/>
    <n v="46"/>
    <s v="F"/>
    <x v="2"/>
    <n v="378112"/>
    <n v="215686"/>
    <n v="11.53"/>
    <n v="84"/>
    <n v="631"/>
    <x v="0"/>
    <x v="1"/>
    <d v="2022-11-14T00:00:00"/>
    <x v="3"/>
    <n v="3753.4484156142689"/>
    <n v="315289.66691159859"/>
    <n v="99603.666911598586"/>
    <n v="3"/>
  </r>
  <r>
    <s v="L0290"/>
    <s v="Aditya Sharma"/>
    <n v="29"/>
    <s v="F"/>
    <x v="0"/>
    <n v="912273"/>
    <n v="1828652"/>
    <n v="10.14"/>
    <n v="120"/>
    <n v="841"/>
    <x v="1"/>
    <x v="1"/>
    <d v="2024-01-14T00:00:00"/>
    <x v="3"/>
    <n v="24307.760942551195"/>
    <n v="2916931.3131061434"/>
    <n v="1088279.3131061434"/>
    <n v="1"/>
  </r>
  <r>
    <s v="L0291"/>
    <s v="Neha Sharma"/>
    <n v="42"/>
    <s v="M"/>
    <x v="0"/>
    <n v="476542"/>
    <n v="572604"/>
    <n v="13.08"/>
    <n v="72"/>
    <n v="744"/>
    <x v="2"/>
    <x v="1"/>
    <d v="2024-05-29T00:00:00"/>
    <x v="0"/>
    <n v="11518.704109429958"/>
    <n v="829346.69587895705"/>
    <n v="256742.69587895705"/>
    <n v="1"/>
  </r>
  <r>
    <s v="L0292"/>
    <s v="Tanya Rao"/>
    <n v="33"/>
    <s v="F"/>
    <x v="1"/>
    <n v="1734345"/>
    <n v="1056585"/>
    <n v="8.7899999999999991"/>
    <n v="36"/>
    <n v="688"/>
    <x v="1"/>
    <x v="1"/>
    <d v="2019-07-27T00:00:00"/>
    <x v="1"/>
    <n v="33495.948659512593"/>
    <n v="1205854.1517424532"/>
    <n v="149269.15174245322"/>
    <n v="6"/>
  </r>
  <r>
    <s v="L0293"/>
    <s v="Meena George"/>
    <n v="47"/>
    <s v="F"/>
    <x v="1"/>
    <n v="908599"/>
    <n v="1813094"/>
    <n v="8.7899999999999991"/>
    <n v="60"/>
    <n v="705"/>
    <x v="1"/>
    <x v="1"/>
    <d v="2018-05-05T00:00:00"/>
    <x v="3"/>
    <n v="37452.328555640706"/>
    <n v="2247139.7133384421"/>
    <n v="434045.71333844215"/>
    <n v="7"/>
  </r>
  <r>
    <s v="L0294"/>
    <s v="Rohan Nair"/>
    <n v="59"/>
    <s v="M"/>
    <x v="0"/>
    <n v="1584436"/>
    <n v="1001691"/>
    <n v="13.47"/>
    <n v="72"/>
    <n v="781"/>
    <x v="2"/>
    <x v="1"/>
    <d v="2018-05-06T00:00:00"/>
    <x v="0"/>
    <n v="20357.382719652323"/>
    <n v="1465731.5558149673"/>
    <n v="464040.55581496726"/>
    <n v="7"/>
  </r>
  <r>
    <s v="L0295"/>
    <s v="Mohit Jain"/>
    <n v="27"/>
    <s v="M"/>
    <x v="1"/>
    <n v="1714167"/>
    <n v="1541676"/>
    <n v="9.42"/>
    <n v="36"/>
    <n v="664"/>
    <x v="1"/>
    <x v="1"/>
    <d v="2021-07-03T00:00:00"/>
    <x v="3"/>
    <n v="49326.796825400495"/>
    <n v="1775764.6857144178"/>
    <n v="234088.68571441784"/>
    <n v="4"/>
  </r>
  <r>
    <s v="L0296"/>
    <s v="Amit Yadav"/>
    <n v="36"/>
    <s v="M"/>
    <x v="1"/>
    <n v="1216383"/>
    <n v="1534738"/>
    <n v="10.15"/>
    <n v="96"/>
    <n v="771"/>
    <x v="0"/>
    <x v="1"/>
    <d v="2024-07-31T00:00:00"/>
    <x v="3"/>
    <n v="23410.356485584354"/>
    <n v="2247394.2226160979"/>
    <n v="712656.22261609789"/>
    <n v="1"/>
  </r>
  <r>
    <s v="L0297"/>
    <s v="Kiran Menon"/>
    <n v="39"/>
    <s v="F"/>
    <x v="2"/>
    <n v="1139437"/>
    <n v="1261840"/>
    <n v="14.46"/>
    <n v="96"/>
    <n v="794"/>
    <x v="3"/>
    <x v="1"/>
    <d v="2022-08-01T00:00:00"/>
    <x v="3"/>
    <n v="22251.675540165546"/>
    <n v="2136160.8518558927"/>
    <n v="874320.85185589269"/>
    <n v="3"/>
  </r>
  <r>
    <s v="L0298"/>
    <s v="Aarav Patel"/>
    <n v="35"/>
    <s v="M"/>
    <x v="1"/>
    <n v="1077741"/>
    <n v="1115970"/>
    <n v="10.43"/>
    <n v="36"/>
    <n v="641"/>
    <x v="1"/>
    <x v="1"/>
    <d v="2023-01-07T00:00:00"/>
    <x v="3"/>
    <n v="36234.92803603728"/>
    <n v="1304457.4092973419"/>
    <n v="188487.40929734195"/>
    <n v="2"/>
  </r>
  <r>
    <s v="L0299"/>
    <s v="Mohit Jain"/>
    <n v="31"/>
    <s v="M"/>
    <x v="0"/>
    <n v="1776380"/>
    <n v="1435030"/>
    <n v="11.55"/>
    <n v="60"/>
    <n v="621"/>
    <x v="1"/>
    <x v="1"/>
    <d v="2021-10-21T00:00:00"/>
    <x v="1"/>
    <n v="31596.084397042971"/>
    <n v="1895765.0638225782"/>
    <n v="460735.06382257817"/>
    <n v="4"/>
  </r>
  <r>
    <s v="L0300"/>
    <s v="Rohit Khanna"/>
    <n v="27"/>
    <s v="F"/>
    <x v="1"/>
    <n v="1404049"/>
    <n v="1387415"/>
    <n v="13.97"/>
    <n v="96"/>
    <n v="631"/>
    <x v="3"/>
    <x v="1"/>
    <d v="2022-07-27T00:00:00"/>
    <x v="1"/>
    <n v="24077.799612595831"/>
    <n v="2311468.7628091997"/>
    <n v="924053.76280919975"/>
    <n v="3"/>
  </r>
  <r>
    <s v="L0301"/>
    <s v="Mohit Jain"/>
    <n v="49"/>
    <s v="M"/>
    <x v="1"/>
    <n v="1377011"/>
    <n v="709832"/>
    <n v="14.87"/>
    <n v="120"/>
    <n v="600"/>
    <x v="3"/>
    <x v="0"/>
    <d v="2023-02-12T00:00:00"/>
    <x v="3"/>
    <n v="11395.627320729855"/>
    <n v="1367475.2784875825"/>
    <n v="657643.27848758246"/>
    <n v="2"/>
  </r>
  <r>
    <s v="L0302"/>
    <s v="Raj Kumar"/>
    <n v="30"/>
    <s v="M"/>
    <x v="0"/>
    <n v="1932582"/>
    <n v="1133056"/>
    <n v="10.87"/>
    <n v="48"/>
    <n v="609"/>
    <x v="3"/>
    <x v="0"/>
    <d v="2023-02-09T00:00:00"/>
    <x v="2"/>
    <n v="29212.94392031795"/>
    <n v="1402221.3081752616"/>
    <n v="269165.3081752616"/>
    <n v="2"/>
  </r>
  <r>
    <s v="L0303"/>
    <s v="Kiran Menon"/>
    <n v="59"/>
    <s v="M"/>
    <x v="0"/>
    <n v="380934"/>
    <n v="448632"/>
    <n v="9.0299999999999994"/>
    <n v="96"/>
    <n v="711"/>
    <x v="2"/>
    <x v="1"/>
    <d v="2021-06-03T00:00:00"/>
    <x v="2"/>
    <n v="6579.5341286498178"/>
    <n v="631635.27635038248"/>
    <n v="183003.27635038248"/>
    <n v="4"/>
  </r>
  <r>
    <s v="L0304"/>
    <s v="Arjun Mehta"/>
    <n v="56"/>
    <s v="F"/>
    <x v="0"/>
    <n v="1253137"/>
    <n v="936948"/>
    <n v="11.12"/>
    <n v="96"/>
    <n v="722"/>
    <x v="2"/>
    <x v="1"/>
    <d v="2022-06-07T00:00:00"/>
    <x v="2"/>
    <n v="14778.689179326928"/>
    <n v="1418754.161215385"/>
    <n v="481806.16121538496"/>
    <n v="3"/>
  </r>
  <r>
    <s v="L0305"/>
    <s v="Raj Kumar"/>
    <n v="56"/>
    <s v="M"/>
    <x v="1"/>
    <n v="786706"/>
    <n v="667305"/>
    <n v="10.46"/>
    <n v="72"/>
    <n v="697"/>
    <x v="2"/>
    <x v="1"/>
    <d v="2022-01-28T00:00:00"/>
    <x v="0"/>
    <n v="12517.73862474325"/>
    <n v="901277.18098151393"/>
    <n v="233972.18098151393"/>
    <n v="3"/>
  </r>
  <r>
    <s v="L0306"/>
    <s v="Mohit Jain"/>
    <n v="26"/>
    <s v="F"/>
    <x v="0"/>
    <n v="646896"/>
    <n v="762986"/>
    <n v="14.1"/>
    <n v="72"/>
    <n v="786"/>
    <x v="0"/>
    <x v="1"/>
    <d v="2021-04-07T00:00:00"/>
    <x v="2"/>
    <n v="15762.775344950451"/>
    <n v="1134919.8248364325"/>
    <n v="371933.82483643247"/>
    <n v="4"/>
  </r>
  <r>
    <s v="L0307"/>
    <s v="Vikram Das"/>
    <n v="33"/>
    <s v="F"/>
    <x v="1"/>
    <n v="1259575"/>
    <n v="302450"/>
    <n v="12.01"/>
    <n v="84"/>
    <n v="744"/>
    <x v="1"/>
    <x v="0"/>
    <d v="2019-04-29T00:00:00"/>
    <x v="3"/>
    <n v="5340.6866187215892"/>
    <n v="448617.67597261351"/>
    <n v="146167.67597261351"/>
    <n v="6"/>
  </r>
  <r>
    <s v="L0308"/>
    <s v="Priya Singh"/>
    <n v="36"/>
    <s v="F"/>
    <x v="0"/>
    <n v="1938825"/>
    <n v="856338"/>
    <n v="7.77"/>
    <n v="48"/>
    <n v="682"/>
    <x v="2"/>
    <x v="1"/>
    <d v="2020-08-06T00:00:00"/>
    <x v="3"/>
    <n v="20813.383989183651"/>
    <n v="999042.43148081517"/>
    <n v="142704.43148081517"/>
    <n v="5"/>
  </r>
  <r>
    <s v="L0309"/>
    <s v="Deepika Joshi"/>
    <n v="58"/>
    <s v="M"/>
    <x v="0"/>
    <n v="578660"/>
    <n v="1946878"/>
    <n v="7.93"/>
    <n v="72"/>
    <n v="735"/>
    <x v="1"/>
    <x v="1"/>
    <d v="2024-09-19T00:00:00"/>
    <x v="1"/>
    <n v="34068.57609934223"/>
    <n v="2452937.4791526403"/>
    <n v="506059.47915264033"/>
    <n v="1"/>
  </r>
  <r>
    <s v="L0310"/>
    <s v="Pooja Reddy"/>
    <n v="54"/>
    <s v="F"/>
    <x v="1"/>
    <n v="921211"/>
    <n v="547497"/>
    <n v="14.28"/>
    <n v="36"/>
    <n v="845"/>
    <x v="2"/>
    <x v="1"/>
    <d v="2023-08-08T00:00:00"/>
    <x v="0"/>
    <n v="18786.692010171788"/>
    <n v="676320.91236618441"/>
    <n v="128823.91236618441"/>
    <n v="2"/>
  </r>
  <r>
    <s v="L0311"/>
    <s v="Pooja Reddy"/>
    <n v="47"/>
    <s v="F"/>
    <x v="1"/>
    <n v="1593534"/>
    <n v="1456245"/>
    <n v="13.8"/>
    <n v="84"/>
    <n v="806"/>
    <x v="0"/>
    <x v="1"/>
    <d v="2019-01-20T00:00:00"/>
    <x v="2"/>
    <n v="27129.410891938911"/>
    <n v="2278870.5149228685"/>
    <n v="822625.51492286846"/>
    <n v="6"/>
  </r>
  <r>
    <s v="L0312"/>
    <s v="Aditya Sharma"/>
    <n v="60"/>
    <s v="F"/>
    <x v="0"/>
    <n v="759438"/>
    <n v="1565899"/>
    <n v="12.12"/>
    <n v="48"/>
    <n v="810"/>
    <x v="1"/>
    <x v="1"/>
    <d v="2022-09-19T00:00:00"/>
    <x v="0"/>
    <n v="41328.447947046589"/>
    <n v="1983765.5014582362"/>
    <n v="417866.50145823625"/>
    <n v="3"/>
  </r>
  <r>
    <s v="L0313"/>
    <s v="Sneha Pillai"/>
    <n v="39"/>
    <s v="M"/>
    <x v="2"/>
    <n v="475452"/>
    <n v="932257"/>
    <n v="14.74"/>
    <n v="84"/>
    <n v="850"/>
    <x v="1"/>
    <x v="0"/>
    <d v="2023-08-30T00:00:00"/>
    <x v="0"/>
    <n v="17853.814304391071"/>
    <n v="1499720.40156885"/>
    <n v="567463.40156885004"/>
    <n v="2"/>
  </r>
  <r>
    <s v="L0314"/>
    <s v="Arjun Mehta"/>
    <n v="35"/>
    <s v="F"/>
    <x v="2"/>
    <n v="729012"/>
    <n v="1973709"/>
    <n v="10.07"/>
    <n v="36"/>
    <n v="619"/>
    <x v="3"/>
    <x v="1"/>
    <d v="2020-06-18T00:00:00"/>
    <x v="1"/>
    <n v="63750.922630364177"/>
    <n v="2295033.2146931104"/>
    <n v="321324.21469311044"/>
    <n v="5"/>
  </r>
  <r>
    <s v="L0315"/>
    <s v="Sneha Pillai"/>
    <n v="52"/>
    <s v="F"/>
    <x v="2"/>
    <n v="1589250"/>
    <n v="935018"/>
    <n v="8.85"/>
    <n v="48"/>
    <n v="704"/>
    <x v="2"/>
    <x v="1"/>
    <d v="2023-07-22T00:00:00"/>
    <x v="0"/>
    <n v="23201.422803560083"/>
    <n v="1113668.294570884"/>
    <n v="178650.29457088397"/>
    <n v="2"/>
  </r>
  <r>
    <s v="L0316"/>
    <s v="Rina Kapoor"/>
    <n v="42"/>
    <s v="M"/>
    <x v="0"/>
    <n v="1649428"/>
    <n v="1232390"/>
    <n v="11.33"/>
    <n v="60"/>
    <n v="630"/>
    <x v="1"/>
    <x v="1"/>
    <d v="2020-08-25T00:00:00"/>
    <x v="0"/>
    <n v="26998.40969423507"/>
    <n v="1619904.5816541042"/>
    <n v="387514.58165410417"/>
    <n v="5"/>
  </r>
  <r>
    <s v="L0317"/>
    <s v="Kiran Menon"/>
    <n v="30"/>
    <s v="F"/>
    <x v="2"/>
    <n v="499411"/>
    <n v="1742151"/>
    <n v="7.96"/>
    <n v="72"/>
    <n v="794"/>
    <x v="3"/>
    <x v="1"/>
    <d v="2022-10-10T00:00:00"/>
    <x v="0"/>
    <n v="30511.53797727358"/>
    <n v="2196830.7343636979"/>
    <n v="454679.73436369793"/>
    <n v="3"/>
  </r>
  <r>
    <s v="L0318"/>
    <s v="Mohit Jain"/>
    <n v="54"/>
    <s v="F"/>
    <x v="0"/>
    <n v="779650"/>
    <n v="1742884"/>
    <n v="12.57"/>
    <n v="72"/>
    <n v="660"/>
    <x v="2"/>
    <x v="0"/>
    <d v="2018-12-25T00:00:00"/>
    <x v="3"/>
    <n v="34592.538243351672"/>
    <n v="2490662.7535213204"/>
    <n v="747778.75352132041"/>
    <n v="7"/>
  </r>
  <r>
    <s v="L0319"/>
    <s v="Vikram Das"/>
    <n v="53"/>
    <s v="M"/>
    <x v="2"/>
    <n v="1524553"/>
    <n v="373288"/>
    <n v="9.3699999999999992"/>
    <n v="96"/>
    <n v="620"/>
    <x v="2"/>
    <x v="1"/>
    <d v="2023-09-08T00:00:00"/>
    <x v="2"/>
    <n v="5540.661291483133"/>
    <n v="531903.48398238071"/>
    <n v="158615.48398238071"/>
    <n v="2"/>
  </r>
  <r>
    <s v="L0320"/>
    <s v="Mohit Jain"/>
    <n v="42"/>
    <s v="M"/>
    <x v="1"/>
    <n v="484498"/>
    <n v="1669641"/>
    <n v="9.84"/>
    <n v="84"/>
    <n v="813"/>
    <x v="1"/>
    <x v="1"/>
    <d v="2018-04-12T00:00:00"/>
    <x v="1"/>
    <n v="27580.181718263717"/>
    <n v="2316735.2643341525"/>
    <n v="647094.26433415245"/>
    <n v="7"/>
  </r>
  <r>
    <s v="L0321"/>
    <s v="Sneha Pillai"/>
    <n v="49"/>
    <s v="F"/>
    <x v="0"/>
    <n v="1943586"/>
    <n v="302147"/>
    <n v="10.28"/>
    <n v="36"/>
    <n v="801"/>
    <x v="3"/>
    <x v="0"/>
    <d v="2022-09-12T00:00:00"/>
    <x v="1"/>
    <n v="9789.2018259986471"/>
    <n v="352411.26573595131"/>
    <n v="50264.26573595131"/>
    <n v="3"/>
  </r>
  <r>
    <s v="L0322"/>
    <s v="Priya Singh"/>
    <n v="43"/>
    <s v="F"/>
    <x v="2"/>
    <n v="1698666"/>
    <n v="1527380"/>
    <n v="12.91"/>
    <n v="36"/>
    <n v="626"/>
    <x v="1"/>
    <x v="1"/>
    <d v="2018-01-29T00:00:00"/>
    <x v="3"/>
    <n v="51397.282047952031"/>
    <n v="1850302.1537262732"/>
    <n v="322922.15372627322"/>
    <n v="7"/>
  </r>
  <r>
    <s v="L0323"/>
    <s v="Isha Verma"/>
    <n v="36"/>
    <s v="F"/>
    <x v="2"/>
    <n v="449321"/>
    <n v="1858082"/>
    <n v="13.82"/>
    <n v="36"/>
    <n v="668"/>
    <x v="1"/>
    <x v="1"/>
    <d v="2023-05-19T00:00:00"/>
    <x v="0"/>
    <n v="63342.518142747256"/>
    <n v="2280330.6531389011"/>
    <n v="422248.65313890111"/>
    <n v="2"/>
  </r>
  <r>
    <s v="L0324"/>
    <s v="Sneha Pillai"/>
    <n v="46"/>
    <s v="F"/>
    <x v="1"/>
    <n v="1747909"/>
    <n v="1584139"/>
    <n v="12.89"/>
    <n v="84"/>
    <n v="719"/>
    <x v="1"/>
    <x v="1"/>
    <d v="2018-10-10T00:00:00"/>
    <x v="2"/>
    <n v="28723.9476642847"/>
    <n v="2412811.6037999149"/>
    <n v="828672.60379991494"/>
    <n v="7"/>
  </r>
  <r>
    <s v="L0325"/>
    <s v="Arjun Mehta"/>
    <n v="54"/>
    <s v="F"/>
    <x v="2"/>
    <n v="612005"/>
    <n v="1804005"/>
    <n v="11.87"/>
    <n v="84"/>
    <n v="839"/>
    <x v="1"/>
    <x v="1"/>
    <d v="2018-06-02T00:00:00"/>
    <x v="0"/>
    <n v="31720.337006092806"/>
    <n v="2664508.3085117959"/>
    <n v="860503.30851179594"/>
    <n v="7"/>
  </r>
  <r>
    <s v="L0326"/>
    <s v="Rohan Nair"/>
    <n v="46"/>
    <s v="F"/>
    <x v="2"/>
    <n v="1535501"/>
    <n v="1182896"/>
    <n v="13.19"/>
    <n v="84"/>
    <n v="773"/>
    <x v="2"/>
    <x v="1"/>
    <d v="2022-05-30T00:00:00"/>
    <x v="2"/>
    <n v="21641.576367208825"/>
    <n v="1817892.4148455414"/>
    <n v="634996.41484554135"/>
    <n v="3"/>
  </r>
  <r>
    <s v="L0327"/>
    <s v="Sahil Gupta"/>
    <n v="50"/>
    <s v="F"/>
    <x v="1"/>
    <n v="464651"/>
    <n v="1977272"/>
    <n v="14.33"/>
    <n v="48"/>
    <n v="695"/>
    <x v="0"/>
    <x v="1"/>
    <d v="2023-12-07T00:00:00"/>
    <x v="2"/>
    <n v="54359.760347835901"/>
    <n v="2609268.4966961234"/>
    <n v="631996.49669612339"/>
    <n v="2"/>
  </r>
  <r>
    <s v="L0328"/>
    <s v="Amit Yadav"/>
    <n v="42"/>
    <s v="F"/>
    <x v="1"/>
    <n v="1709026"/>
    <n v="833021"/>
    <n v="14.22"/>
    <n v="60"/>
    <n v="693"/>
    <x v="0"/>
    <x v="1"/>
    <d v="2019-01-20T00:00:00"/>
    <x v="3"/>
    <n v="19478.08378540475"/>
    <n v="1168685.027124285"/>
    <n v="335664.027124285"/>
    <n v="6"/>
  </r>
  <r>
    <s v="L0329"/>
    <s v="Rohit Khanna"/>
    <n v="42"/>
    <s v="F"/>
    <x v="2"/>
    <n v="434443"/>
    <n v="1131625"/>
    <n v="12.94"/>
    <n v="120"/>
    <n v="775"/>
    <x v="1"/>
    <x v="1"/>
    <d v="2019-03-16T00:00:00"/>
    <x v="1"/>
    <n v="16856.352618719266"/>
    <n v="2022762.3142463118"/>
    <n v="891137.31424631178"/>
    <n v="6"/>
  </r>
  <r>
    <s v="L0330"/>
    <s v="Amit Yadav"/>
    <n v="37"/>
    <s v="M"/>
    <x v="1"/>
    <n v="1375023"/>
    <n v="1285499"/>
    <n v="8.92"/>
    <n v="84"/>
    <n v="753"/>
    <x v="3"/>
    <x v="1"/>
    <d v="2022-10-09T00:00:00"/>
    <x v="0"/>
    <n v="20630.340779255865"/>
    <n v="1732948.6254574927"/>
    <n v="447449.62545749266"/>
    <n v="3"/>
  </r>
  <r>
    <s v="L0331"/>
    <s v="Rohit Khanna"/>
    <n v="47"/>
    <s v="M"/>
    <x v="0"/>
    <n v="1624187"/>
    <n v="590513"/>
    <n v="8.91"/>
    <n v="72"/>
    <n v="600"/>
    <x v="0"/>
    <x v="1"/>
    <d v="2020-11-04T00:00:00"/>
    <x v="1"/>
    <n v="10617.956269020557"/>
    <n v="764492.85136948014"/>
    <n v="173979.85136948014"/>
    <n v="5"/>
  </r>
  <r>
    <s v="L0332"/>
    <s v="Aditya Sharma"/>
    <n v="43"/>
    <s v="F"/>
    <x v="0"/>
    <n v="558566"/>
    <n v="858928"/>
    <n v="11.4"/>
    <n v="96"/>
    <n v="830"/>
    <x v="3"/>
    <x v="1"/>
    <d v="2021-09-23T00:00:00"/>
    <x v="1"/>
    <n v="13678.412938795373"/>
    <n v="1313127.6421243558"/>
    <n v="454199.64212435577"/>
    <n v="4"/>
  </r>
  <r>
    <s v="L0333"/>
    <s v="Pooja Reddy"/>
    <n v="57"/>
    <s v="M"/>
    <x v="2"/>
    <n v="1836265"/>
    <n v="1937610"/>
    <n v="14.53"/>
    <n v="60"/>
    <n v="723"/>
    <x v="3"/>
    <x v="0"/>
    <d v="2019-07-17T00:00:00"/>
    <x v="2"/>
    <n v="45618.96280758435"/>
    <n v="2737137.7684550611"/>
    <n v="799527.76845506113"/>
    <n v="6"/>
  </r>
  <r>
    <s v="L0334"/>
    <s v="Rina Kapoor"/>
    <n v="48"/>
    <s v="F"/>
    <x v="1"/>
    <n v="1703925"/>
    <n v="755003"/>
    <n v="13.89"/>
    <n v="84"/>
    <n v="778"/>
    <x v="0"/>
    <x v="1"/>
    <d v="2024-04-27T00:00:00"/>
    <x v="0"/>
    <n v="14102.926334531739"/>
    <n v="1184645.8121006661"/>
    <n v="429642.81210066611"/>
    <n v="1"/>
  </r>
  <r>
    <s v="L0335"/>
    <s v="Neha Sharma"/>
    <n v="36"/>
    <s v="M"/>
    <x v="2"/>
    <n v="588697"/>
    <n v="203725"/>
    <n v="13.38"/>
    <n v="72"/>
    <n v="740"/>
    <x v="1"/>
    <x v="0"/>
    <d v="2022-04-18T00:00:00"/>
    <x v="3"/>
    <n v="4130.5693940390893"/>
    <n v="297400.99637081445"/>
    <n v="93675.99637081445"/>
    <n v="3"/>
  </r>
  <r>
    <s v="L0336"/>
    <s v="Kiran Menon"/>
    <n v="44"/>
    <s v="F"/>
    <x v="2"/>
    <n v="571979"/>
    <n v="1514497"/>
    <n v="13.69"/>
    <n v="72"/>
    <n v="746"/>
    <x v="3"/>
    <x v="0"/>
    <d v="2023-09-26T00:00:00"/>
    <x v="1"/>
    <n v="30956.488138106568"/>
    <n v="2228867.1459436729"/>
    <n v="714370.14594367286"/>
    <n v="2"/>
  </r>
  <r>
    <s v="L0337"/>
    <s v="Mohit Jain"/>
    <n v="26"/>
    <s v="M"/>
    <x v="1"/>
    <n v="1502348"/>
    <n v="568710"/>
    <n v="8.66"/>
    <n v="84"/>
    <n v="601"/>
    <x v="0"/>
    <x v="1"/>
    <d v="2022-08-26T00:00:00"/>
    <x v="1"/>
    <n v="9052.1929304312307"/>
    <n v="760384.20615622343"/>
    <n v="191674.20615622343"/>
    <n v="3"/>
  </r>
  <r>
    <s v="L0338"/>
    <s v="Rina Kapoor"/>
    <n v="53"/>
    <s v="M"/>
    <x v="2"/>
    <n v="686524"/>
    <n v="552936"/>
    <n v="11.1"/>
    <n v="72"/>
    <n v="732"/>
    <x v="2"/>
    <x v="1"/>
    <d v="2019-04-07T00:00:00"/>
    <x v="2"/>
    <n v="10552.970047425928"/>
    <n v="759813.84341466683"/>
    <n v="206877.84341466683"/>
    <n v="6"/>
  </r>
  <r>
    <s v="L0339"/>
    <s v="Rohan Nair"/>
    <n v="26"/>
    <s v="F"/>
    <x v="1"/>
    <n v="1096586"/>
    <n v="1303094"/>
    <n v="12.64"/>
    <n v="96"/>
    <n v="716"/>
    <x v="3"/>
    <x v="0"/>
    <d v="2019-02-16T00:00:00"/>
    <x v="0"/>
    <n v="21639.862613361543"/>
    <n v="2077426.8108827081"/>
    <n v="774332.81088270806"/>
    <n v="6"/>
  </r>
  <r>
    <s v="L0340"/>
    <s v="Rohan Nair"/>
    <n v="43"/>
    <s v="M"/>
    <x v="0"/>
    <n v="1753716"/>
    <n v="591220"/>
    <n v="13.88"/>
    <n v="36"/>
    <n v="832"/>
    <x v="3"/>
    <x v="1"/>
    <d v="2023-01-28T00:00:00"/>
    <x v="0"/>
    <n v="20172.057375817647"/>
    <n v="726194.06552943529"/>
    <n v="134974.06552943529"/>
    <n v="2"/>
  </r>
  <r>
    <s v="L0341"/>
    <s v="Kiran Menon"/>
    <n v="44"/>
    <s v="M"/>
    <x v="0"/>
    <n v="515599"/>
    <n v="880447"/>
    <n v="14.99"/>
    <n v="48"/>
    <n v="639"/>
    <x v="1"/>
    <x v="0"/>
    <d v="2020-07-21T00:00:00"/>
    <x v="1"/>
    <n v="24499.036000108586"/>
    <n v="1175953.7280052123"/>
    <n v="295506.72800521227"/>
    <n v="5"/>
  </r>
  <r>
    <s v="L0342"/>
    <s v="Aditya Sharma"/>
    <n v="47"/>
    <s v="M"/>
    <x v="0"/>
    <n v="1597950"/>
    <n v="465650"/>
    <n v="9.35"/>
    <n v="48"/>
    <n v="754"/>
    <x v="3"/>
    <x v="0"/>
    <d v="2020-02-16T00:00:00"/>
    <x v="2"/>
    <n v="11665.261820970753"/>
    <n v="559932.56740659615"/>
    <n v="94282.56740659615"/>
    <n v="5"/>
  </r>
  <r>
    <s v="L0343"/>
    <s v="Rohit Khanna"/>
    <n v="42"/>
    <s v="F"/>
    <x v="1"/>
    <n v="1160390"/>
    <n v="479958"/>
    <n v="9.48"/>
    <n v="36"/>
    <n v="639"/>
    <x v="1"/>
    <x v="1"/>
    <d v="2019-01-26T00:00:00"/>
    <x v="2"/>
    <n v="15369.98370784172"/>
    <n v="553319.41348230198"/>
    <n v="73361.413482301985"/>
    <n v="6"/>
  </r>
  <r>
    <s v="L0344"/>
    <s v="Neha Sharma"/>
    <n v="27"/>
    <s v="F"/>
    <x v="1"/>
    <n v="1510960"/>
    <n v="665120"/>
    <n v="8.11"/>
    <n v="72"/>
    <n v="843"/>
    <x v="1"/>
    <x v="1"/>
    <d v="2020-08-10T00:00:00"/>
    <x v="1"/>
    <n v="11697.465167836483"/>
    <n v="842217.4920842268"/>
    <n v="177097.4920842268"/>
    <n v="5"/>
  </r>
  <r>
    <s v="L0345"/>
    <s v="Rohit Khanna"/>
    <n v="31"/>
    <s v="M"/>
    <x v="0"/>
    <n v="1099737"/>
    <n v="893867"/>
    <n v="9.76"/>
    <n v="84"/>
    <n v="624"/>
    <x v="0"/>
    <x v="1"/>
    <d v="2023-02-20T00:00:00"/>
    <x v="2"/>
    <n v="14728.640533046808"/>
    <n v="1237205.8047759319"/>
    <n v="343338.80477593187"/>
    <n v="2"/>
  </r>
  <r>
    <s v="L0346"/>
    <s v="Isha Verma"/>
    <n v="49"/>
    <s v="M"/>
    <x v="2"/>
    <n v="645810"/>
    <n v="811793"/>
    <n v="10.17"/>
    <n v="72"/>
    <n v="771"/>
    <x v="2"/>
    <x v="0"/>
    <d v="2023-06-10T00:00:00"/>
    <x v="0"/>
    <n v="15108.831861234354"/>
    <n v="1087835.8940088735"/>
    <n v="276042.8940088735"/>
    <n v="2"/>
  </r>
  <r>
    <s v="L0347"/>
    <s v="Mohit Jain"/>
    <n v="43"/>
    <s v="F"/>
    <x v="0"/>
    <n v="1172017"/>
    <n v="247775"/>
    <n v="12.27"/>
    <n v="96"/>
    <n v="633"/>
    <x v="2"/>
    <x v="1"/>
    <d v="2019-05-15T00:00:00"/>
    <x v="2"/>
    <n v="4063.8951820662137"/>
    <n v="390133.93747835653"/>
    <n v="142358.93747835653"/>
    <n v="6"/>
  </r>
  <r>
    <s v="L0348"/>
    <s v="Rina Kapoor"/>
    <n v="33"/>
    <s v="F"/>
    <x v="2"/>
    <n v="756807"/>
    <n v="675019"/>
    <n v="10.18"/>
    <n v="96"/>
    <n v="773"/>
    <x v="0"/>
    <x v="1"/>
    <d v="2022-08-21T00:00:00"/>
    <x v="3"/>
    <n v="10307.253316181992"/>
    <n v="989496.31835347123"/>
    <n v="314477.31835347123"/>
    <n v="3"/>
  </r>
  <r>
    <s v="L0349"/>
    <s v="Sahil Gupta"/>
    <n v="32"/>
    <s v="F"/>
    <x v="0"/>
    <n v="679436"/>
    <n v="376416"/>
    <n v="14.8"/>
    <n v="60"/>
    <n v="664"/>
    <x v="3"/>
    <x v="0"/>
    <d v="2020-04-29T00:00:00"/>
    <x v="1"/>
    <n v="8915.4418168078828"/>
    <n v="534926.50900847302"/>
    <n v="158510.50900847302"/>
    <n v="5"/>
  </r>
  <r>
    <s v="L0350"/>
    <s v="Raj Kumar"/>
    <n v="58"/>
    <s v="M"/>
    <x v="0"/>
    <n v="711399"/>
    <n v="1156661"/>
    <n v="12.69"/>
    <n v="36"/>
    <n v="631"/>
    <x v="0"/>
    <x v="1"/>
    <d v="2018-02-14T00:00:00"/>
    <x v="0"/>
    <n v="38799.997372926773"/>
    <n v="1396799.9054253639"/>
    <n v="240138.90542536392"/>
    <n v="7"/>
  </r>
  <r>
    <s v="L0351"/>
    <s v="Mohit Jain"/>
    <n v="33"/>
    <s v="M"/>
    <x v="1"/>
    <n v="1949931"/>
    <n v="213275"/>
    <n v="14.89"/>
    <n v="120"/>
    <n v="637"/>
    <x v="2"/>
    <x v="1"/>
    <d v="2020-06-10T00:00:00"/>
    <x v="1"/>
    <n v="3426.5186800882652"/>
    <n v="411182.24161059182"/>
    <n v="197907.24161059182"/>
    <n v="5"/>
  </r>
  <r>
    <s v="L0352"/>
    <s v="Raj Kumar"/>
    <n v="31"/>
    <s v="F"/>
    <x v="2"/>
    <n v="1199964"/>
    <n v="754177"/>
    <n v="10.119999999999999"/>
    <n v="60"/>
    <n v="662"/>
    <x v="3"/>
    <x v="1"/>
    <d v="2018-05-28T00:00:00"/>
    <x v="0"/>
    <n v="16068.599053733975"/>
    <n v="964115.94322403846"/>
    <n v="209938.94322403846"/>
    <n v="7"/>
  </r>
  <r>
    <s v="L0353"/>
    <s v="Aditya Sharma"/>
    <n v="56"/>
    <s v="M"/>
    <x v="1"/>
    <n v="1123836"/>
    <n v="660140"/>
    <n v="10.4"/>
    <n v="96"/>
    <n v="756"/>
    <x v="3"/>
    <x v="1"/>
    <d v="2021-04-20T00:00:00"/>
    <x v="2"/>
    <n v="10157.336932381082"/>
    <n v="975104.34550858382"/>
    <n v="314964.34550858382"/>
    <n v="4"/>
  </r>
  <r>
    <s v="L0354"/>
    <s v="Sneha Pillai"/>
    <n v="45"/>
    <s v="F"/>
    <x v="0"/>
    <n v="1771788"/>
    <n v="1433760"/>
    <n v="10.29"/>
    <n v="72"/>
    <n v="765"/>
    <x v="3"/>
    <x v="1"/>
    <d v="2019-11-02T00:00:00"/>
    <x v="2"/>
    <n v="26771.759118601418"/>
    <n v="1927566.6565393021"/>
    <n v="493806.65653930209"/>
    <n v="6"/>
  </r>
  <r>
    <s v="L0355"/>
    <s v="Rohit Khanna"/>
    <n v="47"/>
    <s v="F"/>
    <x v="2"/>
    <n v="373308"/>
    <n v="1407143"/>
    <n v="13.35"/>
    <n v="84"/>
    <n v="734"/>
    <x v="0"/>
    <x v="0"/>
    <d v="2018-02-04T00:00:00"/>
    <x v="3"/>
    <n v="25867.204956346843"/>
    <n v="2172845.2163331346"/>
    <n v="765702.21633313457"/>
    <n v="7"/>
  </r>
  <r>
    <s v="L0356"/>
    <s v="Rohan Nair"/>
    <n v="56"/>
    <s v="M"/>
    <x v="0"/>
    <n v="568441"/>
    <n v="467538"/>
    <n v="8.5399999999999991"/>
    <n v="48"/>
    <n v="747"/>
    <x v="2"/>
    <x v="1"/>
    <d v="2018-10-11T00:00:00"/>
    <x v="3"/>
    <n v="11532.84986626745"/>
    <n v="553576.79358083755"/>
    <n v="86038.793580837548"/>
    <n v="7"/>
  </r>
  <r>
    <s v="L0357"/>
    <s v="Meena George"/>
    <n v="30"/>
    <s v="F"/>
    <x v="0"/>
    <n v="755650"/>
    <n v="391108"/>
    <n v="11.66"/>
    <n v="96"/>
    <n v="737"/>
    <x v="3"/>
    <x v="1"/>
    <d v="2019-09-13T00:00:00"/>
    <x v="3"/>
    <n v="6283.7798094593963"/>
    <n v="603242.86170810205"/>
    <n v="212134.86170810205"/>
    <n v="6"/>
  </r>
  <r>
    <s v="L0358"/>
    <s v="Rina Kapoor"/>
    <n v="45"/>
    <s v="F"/>
    <x v="1"/>
    <n v="1729050"/>
    <n v="1087215"/>
    <n v="13.49"/>
    <n v="48"/>
    <n v="712"/>
    <x v="1"/>
    <x v="0"/>
    <d v="2019-09-22T00:00:00"/>
    <x v="0"/>
    <n v="29432.359743315879"/>
    <n v="1412753.2676791623"/>
    <n v="325538.26767916232"/>
    <n v="6"/>
  </r>
  <r>
    <s v="L0359"/>
    <s v="Neha Sharma"/>
    <n v="31"/>
    <s v="M"/>
    <x v="0"/>
    <n v="1400389"/>
    <n v="852564"/>
    <n v="12.97"/>
    <n v="84"/>
    <n v="733"/>
    <x v="3"/>
    <x v="1"/>
    <d v="2022-03-09T00:00:00"/>
    <x v="3"/>
    <n v="15495.911292138526"/>
    <n v="1301656.5485396362"/>
    <n v="449092.54853963619"/>
    <n v="3"/>
  </r>
  <r>
    <s v="L0360"/>
    <s v="Priya Singh"/>
    <n v="54"/>
    <s v="F"/>
    <x v="2"/>
    <n v="960425"/>
    <n v="1676616"/>
    <n v="13.57"/>
    <n v="36"/>
    <n v="666"/>
    <x v="3"/>
    <x v="1"/>
    <d v="2019-02-27T00:00:00"/>
    <x v="0"/>
    <n v="56953.228251500601"/>
    <n v="2050316.2170540215"/>
    <n v="373700.21705402154"/>
    <n v="6"/>
  </r>
  <r>
    <s v="L0361"/>
    <s v="Raj Kumar"/>
    <n v="41"/>
    <s v="M"/>
    <x v="0"/>
    <n v="1170980"/>
    <n v="816588"/>
    <n v="12.31"/>
    <n v="84"/>
    <n v="767"/>
    <x v="3"/>
    <x v="1"/>
    <d v="2021-04-21T00:00:00"/>
    <x v="1"/>
    <n v="14550.735898010887"/>
    <n v="1222261.8154329145"/>
    <n v="405673.81543291453"/>
    <n v="4"/>
  </r>
  <r>
    <s v="L0362"/>
    <s v="Vikram Das"/>
    <n v="50"/>
    <s v="F"/>
    <x v="2"/>
    <n v="1270415"/>
    <n v="694125"/>
    <n v="11.75"/>
    <n v="84"/>
    <n v="625"/>
    <x v="1"/>
    <x v="1"/>
    <d v="2022-04-19T00:00:00"/>
    <x v="1"/>
    <n v="12160.59571891785"/>
    <n v="1021490.0403890994"/>
    <n v="327365.04038909939"/>
    <n v="3"/>
  </r>
  <r>
    <s v="L0363"/>
    <s v="Pooja Reddy"/>
    <n v="26"/>
    <s v="F"/>
    <x v="1"/>
    <n v="1528293"/>
    <n v="1988740"/>
    <n v="9.39"/>
    <n v="84"/>
    <n v="798"/>
    <x v="0"/>
    <x v="1"/>
    <d v="2021-12-29T00:00:00"/>
    <x v="2"/>
    <n v="32392.010971010317"/>
    <n v="2720928.9215648668"/>
    <n v="732188.92156486679"/>
    <n v="4"/>
  </r>
  <r>
    <s v="L0364"/>
    <s v="Rina Kapoor"/>
    <n v="53"/>
    <s v="F"/>
    <x v="2"/>
    <n v="960579"/>
    <n v="1261370"/>
    <n v="11.99"/>
    <n v="120"/>
    <n v="788"/>
    <x v="0"/>
    <x v="1"/>
    <d v="2021-02-14T00:00:00"/>
    <x v="2"/>
    <n v="18089.703984125681"/>
    <n v="2170764.4780950816"/>
    <n v="909394.47809508163"/>
    <n v="4"/>
  </r>
  <r>
    <s v="L0365"/>
    <s v="Deepika Joshi"/>
    <n v="38"/>
    <s v="M"/>
    <x v="0"/>
    <n v="1746075"/>
    <n v="312872"/>
    <n v="11.34"/>
    <n v="48"/>
    <n v="795"/>
    <x v="1"/>
    <x v="1"/>
    <d v="2021-09-22T00:00:00"/>
    <x v="2"/>
    <n v="8138.0971096485173"/>
    <n v="390628.66126312886"/>
    <n v="77756.661263128859"/>
    <n v="4"/>
  </r>
  <r>
    <s v="L0366"/>
    <s v="Pooja Reddy"/>
    <n v="44"/>
    <s v="M"/>
    <x v="1"/>
    <n v="706324"/>
    <n v="293449"/>
    <n v="10.93"/>
    <n v="48"/>
    <n v="719"/>
    <x v="2"/>
    <x v="1"/>
    <d v="2024-02-22T00:00:00"/>
    <x v="1"/>
    <n v="7574.3710898260069"/>
    <n v="363569.81231164833"/>
    <n v="70120.812311648333"/>
    <n v="1"/>
  </r>
  <r>
    <s v="L0367"/>
    <s v="Arjun Mehta"/>
    <n v="56"/>
    <s v="M"/>
    <x v="1"/>
    <n v="447776"/>
    <n v="747434"/>
    <n v="8.92"/>
    <n v="120"/>
    <n v="703"/>
    <x v="0"/>
    <x v="1"/>
    <d v="2022-02-10T00:00:00"/>
    <x v="1"/>
    <n v="9435.8476604212174"/>
    <n v="1132301.7192505461"/>
    <n v="384867.71925054607"/>
    <n v="3"/>
  </r>
  <r>
    <s v="L0368"/>
    <s v="Sahil Gupta"/>
    <n v="32"/>
    <s v="F"/>
    <x v="1"/>
    <n v="1520815"/>
    <n v="431482"/>
    <n v="11.73"/>
    <n v="48"/>
    <n v="741"/>
    <x v="2"/>
    <x v="1"/>
    <d v="2020-12-12T00:00:00"/>
    <x v="0"/>
    <n v="11305.459592676487"/>
    <n v="542662.06044847134"/>
    <n v="111180.06044847134"/>
    <n v="5"/>
  </r>
  <r>
    <s v="L0369"/>
    <s v="Neha Sharma"/>
    <n v="51"/>
    <s v="M"/>
    <x v="2"/>
    <n v="816154"/>
    <n v="1372657"/>
    <n v="7.55"/>
    <n v="72"/>
    <n v="716"/>
    <x v="1"/>
    <x v="0"/>
    <d v="2019-01-25T00:00:00"/>
    <x v="3"/>
    <n v="23766.642072310377"/>
    <n v="1711198.2292063471"/>
    <n v="338541.22920634714"/>
    <n v="6"/>
  </r>
  <r>
    <s v="L0370"/>
    <s v="Rina Kapoor"/>
    <n v="54"/>
    <s v="F"/>
    <x v="0"/>
    <n v="418730"/>
    <n v="1740530"/>
    <n v="9.66"/>
    <n v="84"/>
    <n v="660"/>
    <x v="3"/>
    <x v="1"/>
    <d v="2021-05-04T00:00:00"/>
    <x v="0"/>
    <n v="28590.009972548629"/>
    <n v="2401560.8376940847"/>
    <n v="661030.83769408474"/>
    <n v="4"/>
  </r>
  <r>
    <s v="L0371"/>
    <s v="Neha Sharma"/>
    <n v="42"/>
    <s v="M"/>
    <x v="0"/>
    <n v="1135729"/>
    <n v="1464574"/>
    <n v="10.48"/>
    <n v="72"/>
    <n v="793"/>
    <x v="3"/>
    <x v="1"/>
    <d v="2018-07-19T00:00:00"/>
    <x v="1"/>
    <n v="27488.306259053035"/>
    <n v="1979158.0506518185"/>
    <n v="514584.05065181851"/>
    <n v="7"/>
  </r>
  <r>
    <s v="L0372"/>
    <s v="Raj Kumar"/>
    <n v="57"/>
    <s v="M"/>
    <x v="1"/>
    <n v="1055774"/>
    <n v="1271824"/>
    <n v="7.55"/>
    <n v="36"/>
    <n v="660"/>
    <x v="3"/>
    <x v="1"/>
    <d v="2022-04-22T00:00:00"/>
    <x v="0"/>
    <n v="39590.846799373663"/>
    <n v="1425270.484777452"/>
    <n v="153446.48477745196"/>
    <n v="3"/>
  </r>
  <r>
    <s v="L0373"/>
    <s v="Neha Sharma"/>
    <n v="40"/>
    <s v="F"/>
    <x v="1"/>
    <n v="608939"/>
    <n v="413486"/>
    <n v="12.96"/>
    <n v="120"/>
    <n v="692"/>
    <x v="2"/>
    <x v="1"/>
    <d v="2019-07-29T00:00:00"/>
    <x v="0"/>
    <n v="6164.0385297661651"/>
    <n v="739684.62357193977"/>
    <n v="326198.62357193977"/>
    <n v="6"/>
  </r>
  <r>
    <s v="L0374"/>
    <s v="Vikram Das"/>
    <n v="58"/>
    <s v="M"/>
    <x v="0"/>
    <n v="1164531"/>
    <n v="1018590"/>
    <n v="10.68"/>
    <n v="72"/>
    <n v="712"/>
    <x v="0"/>
    <x v="0"/>
    <d v="2018-07-27T00:00:00"/>
    <x v="3"/>
    <n v="19221.386054750015"/>
    <n v="1383939.795942001"/>
    <n v="365349.79594200104"/>
    <n v="7"/>
  </r>
  <r>
    <s v="L0375"/>
    <s v="Priya Singh"/>
    <n v="39"/>
    <s v="F"/>
    <x v="1"/>
    <n v="1355876"/>
    <n v="1664799"/>
    <n v="14.29"/>
    <n v="48"/>
    <n v="750"/>
    <x v="1"/>
    <x v="1"/>
    <d v="2020-04-14T00:00:00"/>
    <x v="0"/>
    <n v="45735.644310043986"/>
    <n v="2195310.9268821115"/>
    <n v="530511.92688211147"/>
    <n v="5"/>
  </r>
  <r>
    <s v="L0376"/>
    <s v="Pooja Reddy"/>
    <n v="30"/>
    <s v="M"/>
    <x v="1"/>
    <n v="1098988"/>
    <n v="380417"/>
    <n v="12.86"/>
    <n v="48"/>
    <n v="613"/>
    <x v="2"/>
    <x v="1"/>
    <d v="2024-04-14T00:00:00"/>
    <x v="1"/>
    <n v="10179.221866559446"/>
    <n v="488602.6495948534"/>
    <n v="108185.6495948534"/>
    <n v="1"/>
  </r>
  <r>
    <s v="L0377"/>
    <s v="Kiran Menon"/>
    <n v="25"/>
    <s v="M"/>
    <x v="0"/>
    <n v="1192489"/>
    <n v="1893564"/>
    <n v="13.76"/>
    <n v="60"/>
    <n v="652"/>
    <x v="2"/>
    <x v="1"/>
    <d v="2020-06-16T00:00:00"/>
    <x v="3"/>
    <n v="43824.670359390671"/>
    <n v="2629480.2215634403"/>
    <n v="735916.22156344028"/>
    <n v="5"/>
  </r>
  <r>
    <s v="L0378"/>
    <s v="Sahil Gupta"/>
    <n v="36"/>
    <s v="F"/>
    <x v="1"/>
    <n v="1800083"/>
    <n v="582890"/>
    <n v="12.29"/>
    <n v="96"/>
    <n v="702"/>
    <x v="0"/>
    <x v="1"/>
    <d v="2019-11-22T00:00:00"/>
    <x v="1"/>
    <n v="9566.7399827784902"/>
    <n v="918407.03834673506"/>
    <n v="335517.03834673506"/>
    <n v="6"/>
  </r>
  <r>
    <s v="L0379"/>
    <s v="Rohan Nair"/>
    <n v="58"/>
    <s v="F"/>
    <x v="2"/>
    <n v="1351835"/>
    <n v="1525618"/>
    <n v="10.8"/>
    <n v="84"/>
    <n v="722"/>
    <x v="2"/>
    <x v="1"/>
    <d v="2021-12-06T00:00:00"/>
    <x v="0"/>
    <n v="25962.141836133971"/>
    <n v="2180819.9142352534"/>
    <n v="655201.91423525335"/>
    <n v="4"/>
  </r>
  <r>
    <s v="L0380"/>
    <s v="Rina Kapoor"/>
    <n v="40"/>
    <s v="M"/>
    <x v="2"/>
    <n v="1236570"/>
    <n v="883046"/>
    <n v="14.3"/>
    <n v="72"/>
    <n v="724"/>
    <x v="1"/>
    <x v="1"/>
    <d v="2020-12-31T00:00:00"/>
    <x v="0"/>
    <n v="18337.971964652148"/>
    <n v="1320333.9814549547"/>
    <n v="437287.98145495472"/>
    <n v="5"/>
  </r>
  <r>
    <s v="L0381"/>
    <s v="Neha Sharma"/>
    <n v="26"/>
    <s v="F"/>
    <x v="2"/>
    <n v="603443"/>
    <n v="1109719"/>
    <n v="10.94"/>
    <n v="120"/>
    <n v="786"/>
    <x v="2"/>
    <x v="1"/>
    <d v="2019-04-27T00:00:00"/>
    <x v="1"/>
    <n v="15248.715000800888"/>
    <n v="1829845.8000961067"/>
    <n v="720126.80009610672"/>
    <n v="6"/>
  </r>
  <r>
    <s v="L0382"/>
    <s v="Arjun Mehta"/>
    <n v="46"/>
    <s v="M"/>
    <x v="1"/>
    <n v="1847214"/>
    <n v="701986"/>
    <n v="12.42"/>
    <n v="84"/>
    <n v="631"/>
    <x v="0"/>
    <x v="1"/>
    <d v="2024-07-05T00:00:00"/>
    <x v="1"/>
    <n v="12550.195569985674"/>
    <n v="1054216.4278787966"/>
    <n v="352230.42787879659"/>
    <n v="1"/>
  </r>
  <r>
    <s v="L0383"/>
    <s v="Amit Yadav"/>
    <n v="40"/>
    <s v="M"/>
    <x v="2"/>
    <n v="1180456"/>
    <n v="1190563"/>
    <n v="11.68"/>
    <n v="36"/>
    <n v="833"/>
    <x v="3"/>
    <x v="1"/>
    <d v="2021-12-31T00:00:00"/>
    <x v="3"/>
    <n v="39362.011635647592"/>
    <n v="1417032.4188833134"/>
    <n v="226469.41888331342"/>
    <n v="4"/>
  </r>
  <r>
    <s v="L0384"/>
    <s v="Rina Kapoor"/>
    <n v="56"/>
    <s v="F"/>
    <x v="2"/>
    <n v="1156929"/>
    <n v="1123698"/>
    <n v="12.04"/>
    <n v="72"/>
    <n v="756"/>
    <x v="2"/>
    <x v="1"/>
    <d v="2020-10-23T00:00:00"/>
    <x v="3"/>
    <n v="21991.893297605799"/>
    <n v="1583416.3174276175"/>
    <n v="459718.3174276175"/>
    <n v="5"/>
  </r>
  <r>
    <s v="L0385"/>
    <s v="Deepika Joshi"/>
    <n v="41"/>
    <s v="M"/>
    <x v="1"/>
    <n v="352128"/>
    <n v="856232"/>
    <n v="12.64"/>
    <n v="72"/>
    <n v="685"/>
    <x v="0"/>
    <x v="1"/>
    <d v="2023-11-30T00:00:00"/>
    <x v="3"/>
    <n v="17025.833360310215"/>
    <n v="1225860.0019423354"/>
    <n v="369628.0019423354"/>
    <n v="2"/>
  </r>
  <r>
    <s v="L0386"/>
    <s v="Rohan Nair"/>
    <n v="48"/>
    <s v="F"/>
    <x v="2"/>
    <n v="1918102"/>
    <n v="1761761"/>
    <n v="11.86"/>
    <n v="48"/>
    <n v="693"/>
    <x v="1"/>
    <x v="0"/>
    <d v="2022-09-21T00:00:00"/>
    <x v="0"/>
    <n v="46272.915340264066"/>
    <n v="2221099.9363326752"/>
    <n v="459338.93633267516"/>
    <n v="3"/>
  </r>
  <r>
    <s v="L0387"/>
    <s v="Sahil Gupta"/>
    <n v="27"/>
    <s v="M"/>
    <x v="2"/>
    <n v="357960"/>
    <n v="994659"/>
    <n v="11.66"/>
    <n v="84"/>
    <n v="672"/>
    <x v="1"/>
    <x v="1"/>
    <d v="2020-03-12T00:00:00"/>
    <x v="2"/>
    <n v="17378.109098151839"/>
    <n v="1459761.1642447545"/>
    <n v="465102.16424475447"/>
    <n v="5"/>
  </r>
  <r>
    <s v="L0388"/>
    <s v="Aditya Sharma"/>
    <n v="57"/>
    <s v="M"/>
    <x v="0"/>
    <n v="1864590"/>
    <n v="1060883"/>
    <n v="9.59"/>
    <n v="72"/>
    <n v="721"/>
    <x v="1"/>
    <x v="1"/>
    <d v="2021-05-14T00:00:00"/>
    <x v="0"/>
    <n v="19435.11175336198"/>
    <n v="1399328.0462420625"/>
    <n v="338445.04624206247"/>
    <n v="4"/>
  </r>
  <r>
    <s v="L0389"/>
    <s v="Amit Yadav"/>
    <n v="36"/>
    <s v="F"/>
    <x v="1"/>
    <n v="1596091"/>
    <n v="1740411"/>
    <n v="12.68"/>
    <n v="60"/>
    <n v="627"/>
    <x v="1"/>
    <x v="1"/>
    <d v="2023-08-10T00:00:00"/>
    <x v="0"/>
    <n v="39315.184245221353"/>
    <n v="2358911.0547132813"/>
    <n v="618500.05471328134"/>
    <n v="2"/>
  </r>
  <r>
    <s v="L0390"/>
    <s v="Aditya Sharma"/>
    <n v="36"/>
    <s v="M"/>
    <x v="1"/>
    <n v="785800"/>
    <n v="371359"/>
    <n v="11.76"/>
    <n v="60"/>
    <n v="784"/>
    <x v="0"/>
    <x v="1"/>
    <d v="2024-02-23T00:00:00"/>
    <x v="2"/>
    <n v="8215.7081137355635"/>
    <n v="492942.48682413378"/>
    <n v="121583.48682413378"/>
    <n v="1"/>
  </r>
  <r>
    <s v="L0391"/>
    <s v="Rohan Nair"/>
    <n v="42"/>
    <s v="M"/>
    <x v="1"/>
    <n v="1894137"/>
    <n v="265275"/>
    <n v="10.56"/>
    <n v="36"/>
    <n v="682"/>
    <x v="2"/>
    <x v="1"/>
    <d v="2018-05-26T00:00:00"/>
    <x v="2"/>
    <n v="8629.5927580071893"/>
    <n v="310665.33928825881"/>
    <n v="45390.339288258809"/>
    <n v="7"/>
  </r>
  <r>
    <s v="L0392"/>
    <s v="Sneha Pillai"/>
    <n v="35"/>
    <s v="M"/>
    <x v="2"/>
    <n v="1680482"/>
    <n v="1778071"/>
    <n v="12.95"/>
    <n v="60"/>
    <n v="806"/>
    <x v="1"/>
    <x v="1"/>
    <d v="2024-03-13T00:00:00"/>
    <x v="2"/>
    <n v="40411.083302592495"/>
    <n v="2424664.9981555496"/>
    <n v="646593.99815554963"/>
    <n v="1"/>
  </r>
  <r>
    <s v="L0393"/>
    <s v="Rohan Nair"/>
    <n v="36"/>
    <s v="M"/>
    <x v="2"/>
    <n v="743527"/>
    <n v="929103"/>
    <n v="10.98"/>
    <n v="120"/>
    <n v="623"/>
    <x v="2"/>
    <x v="1"/>
    <d v="2022-12-22T00:00:00"/>
    <x v="2"/>
    <n v="12787.878646953821"/>
    <n v="1534545.4376344585"/>
    <n v="605442.43763445853"/>
    <n v="3"/>
  </r>
  <r>
    <s v="L0394"/>
    <s v="Neha Sharma"/>
    <n v="47"/>
    <s v="M"/>
    <x v="0"/>
    <n v="522110"/>
    <n v="284229"/>
    <n v="11.2"/>
    <n v="96"/>
    <n v="757"/>
    <x v="3"/>
    <x v="1"/>
    <d v="2023-01-26T00:00:00"/>
    <x v="2"/>
    <n v="4495.5083585897"/>
    <n v="431568.80242461117"/>
    <n v="147339.80242461117"/>
    <n v="2"/>
  </r>
  <r>
    <s v="L0395"/>
    <s v="Rohan Nair"/>
    <n v="57"/>
    <s v="M"/>
    <x v="1"/>
    <n v="427047"/>
    <n v="509978"/>
    <n v="14.01"/>
    <n v="120"/>
    <n v="744"/>
    <x v="2"/>
    <x v="1"/>
    <d v="2018-09-24T00:00:00"/>
    <x v="1"/>
    <n v="7921.3131981030056"/>
    <n v="950557.5837723607"/>
    <n v="440579.5837723607"/>
    <n v="7"/>
  </r>
  <r>
    <s v="L0396"/>
    <s v="Mohit Jain"/>
    <n v="52"/>
    <s v="F"/>
    <x v="1"/>
    <n v="1988926"/>
    <n v="1811116"/>
    <n v="10.44"/>
    <n v="48"/>
    <n v="708"/>
    <x v="2"/>
    <x v="1"/>
    <d v="2019-01-10T00:00:00"/>
    <x v="0"/>
    <n v="46318.22864039179"/>
    <n v="2223274.974738806"/>
    <n v="412158.97473880602"/>
    <n v="6"/>
  </r>
  <r>
    <s v="L0397"/>
    <s v="Sahil Gupta"/>
    <n v="52"/>
    <s v="M"/>
    <x v="2"/>
    <n v="300405"/>
    <n v="1780544"/>
    <n v="10.97"/>
    <n v="96"/>
    <n v="781"/>
    <x v="3"/>
    <x v="1"/>
    <d v="2019-11-24T00:00:00"/>
    <x v="1"/>
    <n v="27940.740350691802"/>
    <n v="2682311.0736664128"/>
    <n v="901767.07366641285"/>
    <n v="6"/>
  </r>
  <r>
    <s v="L0398"/>
    <s v="Priya Singh"/>
    <n v="35"/>
    <s v="F"/>
    <x v="2"/>
    <n v="302050"/>
    <n v="1307848"/>
    <n v="11.89"/>
    <n v="48"/>
    <n v="752"/>
    <x v="3"/>
    <x v="0"/>
    <d v="2019-12-09T00:00:00"/>
    <x v="1"/>
    <n v="34370.060733597864"/>
    <n v="1649762.9152126973"/>
    <n v="341914.91521269735"/>
    <n v="6"/>
  </r>
  <r>
    <s v="L0399"/>
    <s v="Kiran Menon"/>
    <n v="49"/>
    <s v="F"/>
    <x v="1"/>
    <n v="390021"/>
    <n v="1611941"/>
    <n v="12.12"/>
    <n v="36"/>
    <n v="753"/>
    <x v="0"/>
    <x v="1"/>
    <d v="2022-03-01T00:00:00"/>
    <x v="0"/>
    <n v="53631.942141990781"/>
    <n v="1930749.917111668"/>
    <n v="318808.91711166804"/>
    <n v="3"/>
  </r>
  <r>
    <s v="L0400"/>
    <s v="Raj Kumar"/>
    <n v="36"/>
    <s v="F"/>
    <x v="0"/>
    <n v="1495728"/>
    <n v="1609451"/>
    <n v="10.06"/>
    <n v="48"/>
    <n v="745"/>
    <x v="3"/>
    <x v="1"/>
    <d v="2023-07-19T00:00:00"/>
    <x v="3"/>
    <n v="40866.226666815623"/>
    <n v="1961578.8800071499"/>
    <n v="352127.88000714988"/>
    <n v="2"/>
  </r>
  <r>
    <s v="L0401"/>
    <s v="Kiran Menon"/>
    <n v="55"/>
    <s v="F"/>
    <x v="0"/>
    <n v="652133"/>
    <n v="337174"/>
    <n v="8.2100000000000009"/>
    <n v="84"/>
    <n v="806"/>
    <x v="0"/>
    <x v="1"/>
    <d v="2021-08-01T00:00:00"/>
    <x v="2"/>
    <n v="5290.6123211230206"/>
    <n v="444411.43497433374"/>
    <n v="107237.43497433374"/>
    <n v="4"/>
  </r>
  <r>
    <s v="L0402"/>
    <s v="Vikram Das"/>
    <n v="28"/>
    <s v="M"/>
    <x v="0"/>
    <n v="913691"/>
    <n v="1057728"/>
    <n v="11.46"/>
    <n v="72"/>
    <n v="648"/>
    <x v="0"/>
    <x v="1"/>
    <d v="2023-02-17T00:00:00"/>
    <x v="3"/>
    <n v="20382.96623422933"/>
    <n v="1467573.5688645118"/>
    <n v="409845.56886451179"/>
    <n v="2"/>
  </r>
  <r>
    <s v="L0403"/>
    <s v="Priya Singh"/>
    <n v="41"/>
    <s v="M"/>
    <x v="1"/>
    <n v="726118"/>
    <n v="1254693"/>
    <n v="8.98"/>
    <n v="120"/>
    <n v="793"/>
    <x v="3"/>
    <x v="1"/>
    <d v="2018-12-10T00:00:00"/>
    <x v="3"/>
    <n v="15880.343125316123"/>
    <n v="1905641.1750379349"/>
    <n v="650948.17503793491"/>
    <n v="7"/>
  </r>
  <r>
    <s v="L0404"/>
    <s v="Tanya Rao"/>
    <n v="51"/>
    <s v="F"/>
    <x v="2"/>
    <n v="1264435"/>
    <n v="1872719"/>
    <n v="8.73"/>
    <n v="120"/>
    <n v="716"/>
    <x v="1"/>
    <x v="1"/>
    <d v="2019-08-24T00:00:00"/>
    <x v="2"/>
    <n v="23450.032265248268"/>
    <n v="2814003.8718297924"/>
    <n v="941284.87182979239"/>
    <n v="6"/>
  </r>
  <r>
    <s v="L0405"/>
    <s v="Aarav Patel"/>
    <n v="49"/>
    <s v="M"/>
    <x v="0"/>
    <n v="517808"/>
    <n v="1146964"/>
    <n v="9.73"/>
    <n v="84"/>
    <n v="710"/>
    <x v="2"/>
    <x v="1"/>
    <d v="2022-04-28T00:00:00"/>
    <x v="2"/>
    <n v="18881.332788584361"/>
    <n v="1586031.9542410863"/>
    <n v="439067.95424108626"/>
    <n v="3"/>
  </r>
  <r>
    <s v="L0406"/>
    <s v="Mohit Jain"/>
    <n v="56"/>
    <s v="M"/>
    <x v="1"/>
    <n v="1012248"/>
    <n v="1214676"/>
    <n v="9.6300000000000008"/>
    <n v="60"/>
    <n v="714"/>
    <x v="2"/>
    <x v="1"/>
    <d v="2024-01-05T00:00:00"/>
    <x v="2"/>
    <n v="25587.693916852524"/>
    <n v="1535261.6350111514"/>
    <n v="320585.63501115143"/>
    <n v="1"/>
  </r>
  <r>
    <s v="L0407"/>
    <s v="Pooja Reddy"/>
    <n v="46"/>
    <s v="M"/>
    <x v="0"/>
    <n v="1698103"/>
    <n v="1221773"/>
    <n v="12.9"/>
    <n v="60"/>
    <n v="831"/>
    <x v="0"/>
    <x v="1"/>
    <d v="2024-09-20T00:00:00"/>
    <x v="3"/>
    <n v="27736.586587242844"/>
    <n v="1664195.1952345707"/>
    <n v="442422.19523457065"/>
    <n v="1"/>
  </r>
  <r>
    <s v="L0408"/>
    <s v="Raj Kumar"/>
    <n v="43"/>
    <s v="F"/>
    <x v="1"/>
    <n v="564509"/>
    <n v="343841"/>
    <n v="14.11"/>
    <n v="96"/>
    <n v="608"/>
    <x v="3"/>
    <x v="1"/>
    <d v="2022-06-08T00:00:00"/>
    <x v="3"/>
    <n v="5994.5793411045661"/>
    <n v="575479.61674603831"/>
    <n v="231638.61674603831"/>
    <n v="3"/>
  </r>
  <r>
    <s v="L0409"/>
    <s v="Meena George"/>
    <n v="58"/>
    <s v="M"/>
    <x v="0"/>
    <n v="1161012"/>
    <n v="1607707"/>
    <n v="12.01"/>
    <n v="48"/>
    <n v="810"/>
    <x v="2"/>
    <x v="1"/>
    <d v="2024-08-29T00:00:00"/>
    <x v="1"/>
    <n v="42344.985688931716"/>
    <n v="2032559.3130687224"/>
    <n v="424852.31306872237"/>
    <n v="1"/>
  </r>
  <r>
    <s v="L0410"/>
    <s v="Aarav Patel"/>
    <n v="59"/>
    <s v="F"/>
    <x v="2"/>
    <n v="1292148"/>
    <n v="1717115"/>
    <n v="12.37"/>
    <n v="48"/>
    <n v="755"/>
    <x v="3"/>
    <x v="1"/>
    <d v="2022-08-11T00:00:00"/>
    <x v="1"/>
    <n v="45530.794623784379"/>
    <n v="2185478.1419416503"/>
    <n v="468363.1419416503"/>
    <n v="3"/>
  </r>
  <r>
    <s v="L0411"/>
    <s v="Aditya Sharma"/>
    <n v="53"/>
    <s v="F"/>
    <x v="2"/>
    <n v="1386430"/>
    <n v="951370"/>
    <n v="8.18"/>
    <n v="84"/>
    <n v="707"/>
    <x v="3"/>
    <x v="1"/>
    <d v="2021-03-09T00:00:00"/>
    <x v="2"/>
    <n v="14913.717809751988"/>
    <n v="1252752.2960191669"/>
    <n v="301382.29601916694"/>
    <n v="4"/>
  </r>
  <r>
    <s v="L0412"/>
    <s v="Isha Verma"/>
    <n v="38"/>
    <s v="F"/>
    <x v="0"/>
    <n v="1506267"/>
    <n v="1365093"/>
    <n v="12.83"/>
    <n v="120"/>
    <n v="739"/>
    <x v="0"/>
    <x v="1"/>
    <d v="2019-09-23T00:00:00"/>
    <x v="0"/>
    <n v="20245.655452801602"/>
    <n v="2429478.6543361922"/>
    <n v="1064385.6543361922"/>
    <n v="6"/>
  </r>
  <r>
    <s v="L0413"/>
    <s v="Sneha Pillai"/>
    <n v="53"/>
    <s v="F"/>
    <x v="2"/>
    <n v="1775845"/>
    <n v="1109516"/>
    <n v="8.7100000000000009"/>
    <n v="48"/>
    <n v="778"/>
    <x v="0"/>
    <x v="1"/>
    <d v="2023-10-10T00:00:00"/>
    <x v="0"/>
    <n v="27457.823206691737"/>
    <n v="1317975.5139212033"/>
    <n v="208459.51392120332"/>
    <n v="2"/>
  </r>
  <r>
    <s v="L0414"/>
    <s v="Arjun Mehta"/>
    <n v="27"/>
    <s v="F"/>
    <x v="1"/>
    <n v="353404"/>
    <n v="1109074"/>
    <n v="8.8800000000000008"/>
    <n v="36"/>
    <n v="644"/>
    <x v="0"/>
    <x v="1"/>
    <d v="2020-05-03T00:00:00"/>
    <x v="3"/>
    <n v="35206.348074566253"/>
    <n v="1267428.530684385"/>
    <n v="158354.53068438498"/>
    <n v="5"/>
  </r>
  <r>
    <s v="L0415"/>
    <s v="Aditya Sharma"/>
    <n v="36"/>
    <s v="F"/>
    <x v="1"/>
    <n v="559751"/>
    <n v="575148"/>
    <n v="8.3800000000000008"/>
    <n v="36"/>
    <n v="637"/>
    <x v="1"/>
    <x v="1"/>
    <d v="2022-09-16T00:00:00"/>
    <x v="3"/>
    <n v="18124.042367287078"/>
    <n v="652465.52522233478"/>
    <n v="77317.525222334778"/>
    <n v="3"/>
  </r>
  <r>
    <s v="L0416"/>
    <s v="Neha Sharma"/>
    <n v="38"/>
    <s v="F"/>
    <x v="2"/>
    <n v="1862544"/>
    <n v="1042971"/>
    <n v="9.74"/>
    <n v="48"/>
    <n v="811"/>
    <x v="1"/>
    <x v="0"/>
    <d v="2023-01-14T00:00:00"/>
    <x v="1"/>
    <n v="26322.400415411528"/>
    <n v="1263475.2199397534"/>
    <n v="220504.21993975341"/>
    <n v="2"/>
  </r>
  <r>
    <s v="L0417"/>
    <s v="Meena George"/>
    <n v="54"/>
    <s v="M"/>
    <x v="1"/>
    <n v="1912292"/>
    <n v="201357"/>
    <n v="14.09"/>
    <n v="120"/>
    <n v="656"/>
    <x v="3"/>
    <x v="1"/>
    <d v="2018-12-02T00:00:00"/>
    <x v="0"/>
    <n v="3137.3037179857474"/>
    <n v="376476.44615828968"/>
    <n v="175119.44615828968"/>
    <n v="7"/>
  </r>
  <r>
    <s v="L0418"/>
    <s v="Rina Kapoor"/>
    <n v="37"/>
    <s v="F"/>
    <x v="0"/>
    <n v="1098584"/>
    <n v="421106"/>
    <n v="14.89"/>
    <n v="96"/>
    <n v="691"/>
    <x v="3"/>
    <x v="1"/>
    <d v="2021-06-23T00:00:00"/>
    <x v="1"/>
    <n v="7530.1368975185378"/>
    <n v="722893.14216177957"/>
    <n v="301787.14216177957"/>
    <n v="4"/>
  </r>
  <r>
    <s v="L0419"/>
    <s v="Aditya Sharma"/>
    <n v="34"/>
    <s v="F"/>
    <x v="1"/>
    <n v="1745222"/>
    <n v="945271"/>
    <n v="12.56"/>
    <n v="36"/>
    <n v="692"/>
    <x v="1"/>
    <x v="1"/>
    <d v="2020-01-02T00:00:00"/>
    <x v="3"/>
    <n v="31649.952524700358"/>
    <n v="1139398.2908892129"/>
    <n v="194127.29088921286"/>
    <n v="5"/>
  </r>
  <r>
    <s v="L0420"/>
    <s v="Sneha Pillai"/>
    <n v="60"/>
    <s v="F"/>
    <x v="2"/>
    <n v="1838961"/>
    <n v="919471"/>
    <n v="14.63"/>
    <n v="96"/>
    <n v="773"/>
    <x v="2"/>
    <x v="1"/>
    <d v="2018-05-18T00:00:00"/>
    <x v="0"/>
    <n v="16304.010499662676"/>
    <n v="1565185.0079676169"/>
    <n v="645714.0079676169"/>
    <n v="7"/>
  </r>
  <r>
    <s v="L0421"/>
    <s v="Priya Singh"/>
    <n v="36"/>
    <s v="F"/>
    <x v="2"/>
    <n v="1099487"/>
    <n v="910443"/>
    <n v="14.27"/>
    <n v="72"/>
    <n v="630"/>
    <x v="2"/>
    <x v="1"/>
    <d v="2020-03-21T00:00:00"/>
    <x v="0"/>
    <n v="18892.233110968704"/>
    <n v="1360240.7839897466"/>
    <n v="449797.78398974659"/>
    <n v="5"/>
  </r>
  <r>
    <s v="L0422"/>
    <s v="Raj Kumar"/>
    <n v="56"/>
    <s v="F"/>
    <x v="2"/>
    <n v="1672548"/>
    <n v="1684933"/>
    <n v="10.59"/>
    <n v="36"/>
    <n v="663"/>
    <x v="1"/>
    <x v="1"/>
    <d v="2019-10-12T00:00:00"/>
    <x v="3"/>
    <n v="54835.972156611831"/>
    <n v="1974094.997638026"/>
    <n v="289161.99763802602"/>
    <n v="6"/>
  </r>
  <r>
    <s v="L0423"/>
    <s v="Arjun Mehta"/>
    <n v="49"/>
    <s v="M"/>
    <x v="1"/>
    <n v="1642595"/>
    <n v="1008524"/>
    <n v="14.76"/>
    <n v="36"/>
    <n v="755"/>
    <x v="3"/>
    <x v="0"/>
    <d v="2019-09-20T00:00:00"/>
    <x v="3"/>
    <n v="34842.401320403122"/>
    <n v="1254326.4475345123"/>
    <n v="245802.44753451226"/>
    <n v="6"/>
  </r>
  <r>
    <s v="L0424"/>
    <s v="Neha Sharma"/>
    <n v="55"/>
    <s v="M"/>
    <x v="2"/>
    <n v="422844"/>
    <n v="1725844"/>
    <n v="9.34"/>
    <n v="48"/>
    <n v="612"/>
    <x v="2"/>
    <x v="1"/>
    <d v="2022-12-03T00:00:00"/>
    <x v="1"/>
    <n v="43226.86813708827"/>
    <n v="2074889.6705802369"/>
    <n v="349045.67058023694"/>
    <n v="3"/>
  </r>
  <r>
    <s v="L0425"/>
    <s v="Tanya Rao"/>
    <n v="47"/>
    <s v="M"/>
    <x v="2"/>
    <n v="1396398"/>
    <n v="1952374"/>
    <n v="9.06"/>
    <n v="120"/>
    <n v="641"/>
    <x v="2"/>
    <x v="1"/>
    <d v="2024-03-18T00:00:00"/>
    <x v="0"/>
    <n v="24795.290366155539"/>
    <n v="2975434.8439386645"/>
    <n v="1023060.8439386645"/>
    <n v="1"/>
  </r>
  <r>
    <s v="L0426"/>
    <s v="Kiran Menon"/>
    <n v="47"/>
    <s v="M"/>
    <x v="1"/>
    <n v="1274324"/>
    <n v="389690"/>
    <n v="9.74"/>
    <n v="72"/>
    <n v="688"/>
    <x v="1"/>
    <x v="1"/>
    <d v="2023-03-28T00:00:00"/>
    <x v="1"/>
    <n v="7168.3448533005458"/>
    <n v="516120.82943763927"/>
    <n v="126430.82943763927"/>
    <n v="2"/>
  </r>
  <r>
    <s v="L0427"/>
    <s v="Mohit Jain"/>
    <n v="43"/>
    <s v="F"/>
    <x v="0"/>
    <n v="1979081"/>
    <n v="227516"/>
    <n v="12.39"/>
    <n v="84"/>
    <n v="722"/>
    <x v="1"/>
    <x v="1"/>
    <d v="2021-06-09T00:00:00"/>
    <x v="3"/>
    <n v="4063.8853919257276"/>
    <n v="341366.37292176113"/>
    <n v="113850.37292176113"/>
    <n v="4"/>
  </r>
  <r>
    <s v="L0428"/>
    <s v="Vikram Das"/>
    <n v="34"/>
    <s v="F"/>
    <x v="2"/>
    <n v="1972418"/>
    <n v="1494797"/>
    <n v="8.8699999999999992"/>
    <n v="36"/>
    <n v="605"/>
    <x v="2"/>
    <x v="1"/>
    <d v="2018-04-25T00:00:00"/>
    <x v="3"/>
    <n v="47443.755919598843"/>
    <n v="1707975.2131055584"/>
    <n v="213178.21310555842"/>
    <n v="7"/>
  </r>
  <r>
    <s v="L0429"/>
    <s v="Priya Singh"/>
    <n v="39"/>
    <s v="M"/>
    <x v="1"/>
    <n v="1678969"/>
    <n v="1158955"/>
    <n v="12.65"/>
    <n v="84"/>
    <n v="815"/>
    <x v="0"/>
    <x v="1"/>
    <d v="2020-07-18T00:00:00"/>
    <x v="1"/>
    <n v="20863.766984424572"/>
    <n v="1752556.4266916641"/>
    <n v="593601.42669166415"/>
    <n v="5"/>
  </r>
  <r>
    <s v="L0430"/>
    <s v="Sahil Gupta"/>
    <n v="29"/>
    <s v="M"/>
    <x v="2"/>
    <n v="1775444"/>
    <n v="1581378"/>
    <n v="11.55"/>
    <n v="36"/>
    <n v="627"/>
    <x v="1"/>
    <x v="1"/>
    <d v="2023-11-15T00:00:00"/>
    <x v="3"/>
    <n v="52185.143753468918"/>
    <n v="1878665.1751248811"/>
    <n v="297287.17512488109"/>
    <n v="2"/>
  </r>
  <r>
    <s v="L0431"/>
    <s v="Pooja Reddy"/>
    <n v="46"/>
    <s v="F"/>
    <x v="2"/>
    <n v="1210439"/>
    <n v="514039"/>
    <n v="14.45"/>
    <n v="48"/>
    <n v="754"/>
    <x v="1"/>
    <x v="1"/>
    <d v="2024-04-11T00:00:00"/>
    <x v="0"/>
    <n v="14163.185895989265"/>
    <n v="679832.92300748476"/>
    <n v="165793.92300748476"/>
    <n v="1"/>
  </r>
  <r>
    <s v="L0432"/>
    <s v="Pooja Reddy"/>
    <n v="41"/>
    <s v="F"/>
    <x v="1"/>
    <n v="543192"/>
    <n v="814907"/>
    <n v="9.9600000000000009"/>
    <n v="72"/>
    <n v="784"/>
    <x v="0"/>
    <x v="1"/>
    <d v="2018-12-31T00:00:00"/>
    <x v="1"/>
    <n v="15080.402347763033"/>
    <n v="1085788.9690389384"/>
    <n v="270881.9690389384"/>
    <n v="7"/>
  </r>
  <r>
    <s v="L0433"/>
    <s v="Arjun Mehta"/>
    <n v="48"/>
    <s v="F"/>
    <x v="1"/>
    <n v="1248733"/>
    <n v="972280"/>
    <n v="8.76"/>
    <n v="96"/>
    <n v="706"/>
    <x v="0"/>
    <x v="1"/>
    <d v="2021-04-06T00:00:00"/>
    <x v="1"/>
    <n v="14123.340030381314"/>
    <n v="1355840.6429166063"/>
    <n v="383560.64291660627"/>
    <n v="4"/>
  </r>
  <r>
    <s v="L0434"/>
    <s v="Vikram Das"/>
    <n v="32"/>
    <s v="F"/>
    <x v="2"/>
    <n v="598755"/>
    <n v="1208083"/>
    <n v="14.4"/>
    <n v="36"/>
    <n v="630"/>
    <x v="3"/>
    <x v="0"/>
    <d v="2024-02-11T00:00:00"/>
    <x v="1"/>
    <n v="41524.503805446548"/>
    <n v="1494882.1369960757"/>
    <n v="286799.13699607574"/>
    <n v="1"/>
  </r>
  <r>
    <s v="L0435"/>
    <s v="Meena George"/>
    <n v="57"/>
    <s v="F"/>
    <x v="1"/>
    <n v="1442061"/>
    <n v="659859"/>
    <n v="12.19"/>
    <n v="72"/>
    <n v="849"/>
    <x v="2"/>
    <x v="0"/>
    <d v="2018-11-18T00:00:00"/>
    <x v="3"/>
    <n v="12965.660601413629"/>
    <n v="933527.56330178131"/>
    <n v="273668.56330178131"/>
    <n v="7"/>
  </r>
  <r>
    <s v="L0436"/>
    <s v="Rina Kapoor"/>
    <n v="48"/>
    <s v="M"/>
    <x v="1"/>
    <n v="495519"/>
    <n v="833578"/>
    <n v="14.47"/>
    <n v="96"/>
    <n v="600"/>
    <x v="0"/>
    <x v="1"/>
    <d v="2018-12-06T00:00:00"/>
    <x v="1"/>
    <n v="14704.35262453494"/>
    <n v="1411617.8519553542"/>
    <n v="578039.85195535421"/>
    <n v="7"/>
  </r>
  <r>
    <s v="L0437"/>
    <s v="Rohit Khanna"/>
    <n v="57"/>
    <s v="F"/>
    <x v="0"/>
    <n v="1825344"/>
    <n v="712368"/>
    <n v="13.03"/>
    <n v="120"/>
    <n v="613"/>
    <x v="3"/>
    <x v="1"/>
    <d v="2018-10-03T00:00:00"/>
    <x v="2"/>
    <n v="10649.028201962123"/>
    <n v="1277883.3842354547"/>
    <n v="565515.38423545472"/>
    <n v="7"/>
  </r>
  <r>
    <s v="L0438"/>
    <s v="Pooja Reddy"/>
    <n v="49"/>
    <s v="F"/>
    <x v="1"/>
    <n v="1438486"/>
    <n v="1511170"/>
    <n v="10.42"/>
    <n v="60"/>
    <n v="607"/>
    <x v="1"/>
    <x v="1"/>
    <d v="2019-01-16T00:00:00"/>
    <x v="1"/>
    <n v="32421.081397233211"/>
    <n v="1945264.8838339928"/>
    <n v="434094.88383399276"/>
    <n v="6"/>
  </r>
  <r>
    <s v="L0439"/>
    <s v="Aarav Patel"/>
    <n v="48"/>
    <s v="F"/>
    <x v="2"/>
    <n v="1006715"/>
    <n v="602812"/>
    <n v="13.36"/>
    <n v="36"/>
    <n v="669"/>
    <x v="3"/>
    <x v="1"/>
    <d v="2018-03-25T00:00:00"/>
    <x v="1"/>
    <n v="20415.802831739191"/>
    <n v="734968.90194261086"/>
    <n v="132156.90194261086"/>
    <n v="7"/>
  </r>
  <r>
    <s v="L0440"/>
    <s v="Isha Verma"/>
    <n v="30"/>
    <s v="M"/>
    <x v="1"/>
    <n v="1242889"/>
    <n v="500508"/>
    <n v="9.9600000000000009"/>
    <n v="72"/>
    <n v="803"/>
    <x v="3"/>
    <x v="0"/>
    <d v="2020-12-25T00:00:00"/>
    <x v="3"/>
    <n v="9262.2373083973762"/>
    <n v="666881.08620461111"/>
    <n v="166373.08620461111"/>
    <n v="5"/>
  </r>
  <r>
    <s v="L0441"/>
    <s v="Aarav Patel"/>
    <n v="40"/>
    <s v="M"/>
    <x v="1"/>
    <n v="558204"/>
    <n v="902952"/>
    <n v="11.58"/>
    <n v="48"/>
    <n v="645"/>
    <x v="3"/>
    <x v="0"/>
    <d v="2021-11-22T00:00:00"/>
    <x v="0"/>
    <n v="23592.412179060429"/>
    <n v="1132435.7845949007"/>
    <n v="229483.78459490067"/>
    <n v="4"/>
  </r>
  <r>
    <s v="L0442"/>
    <s v="Raj Kumar"/>
    <n v="40"/>
    <s v="M"/>
    <x v="0"/>
    <n v="766768"/>
    <n v="256988"/>
    <n v="9.74"/>
    <n v="120"/>
    <n v="629"/>
    <x v="1"/>
    <x v="0"/>
    <d v="2020-07-29T00:00:00"/>
    <x v="1"/>
    <n v="3359.2233860401288"/>
    <n v="403106.80632481544"/>
    <n v="146118.80632481544"/>
    <n v="5"/>
  </r>
  <r>
    <s v="L0443"/>
    <s v="Pooja Reddy"/>
    <n v="50"/>
    <s v="M"/>
    <x v="0"/>
    <n v="896502"/>
    <n v="1746244"/>
    <n v="12.9"/>
    <n v="96"/>
    <n v="840"/>
    <x v="0"/>
    <x v="1"/>
    <d v="2024-03-21T00:00:00"/>
    <x v="0"/>
    <n v="29251.976639422603"/>
    <n v="2808189.7573845698"/>
    <n v="1061945.7573845698"/>
    <n v="1"/>
  </r>
  <r>
    <s v="L0444"/>
    <s v="Rina Kapoor"/>
    <n v="42"/>
    <s v="M"/>
    <x v="0"/>
    <n v="305235"/>
    <n v="927517"/>
    <n v="8.2799999999999994"/>
    <n v="48"/>
    <n v="705"/>
    <x v="1"/>
    <x v="1"/>
    <d v="2018-07-20T00:00:00"/>
    <x v="2"/>
    <n v="22765.504308496053"/>
    <n v="1092744.2068078106"/>
    <n v="165227.20680781058"/>
    <n v="7"/>
  </r>
  <r>
    <s v="L0445"/>
    <s v="Kiran Menon"/>
    <n v="42"/>
    <s v="M"/>
    <x v="0"/>
    <n v="1819992"/>
    <n v="354759"/>
    <n v="12.85"/>
    <n v="96"/>
    <n v="671"/>
    <x v="1"/>
    <x v="1"/>
    <d v="2021-07-25T00:00:00"/>
    <x v="3"/>
    <n v="5932.7986778571421"/>
    <n v="569548.67307428562"/>
    <n v="214789.67307428562"/>
    <n v="4"/>
  </r>
  <r>
    <s v="L0446"/>
    <s v="Meena George"/>
    <n v="59"/>
    <s v="F"/>
    <x v="2"/>
    <n v="1144064"/>
    <n v="1898777"/>
    <n v="14.22"/>
    <n v="96"/>
    <n v="819"/>
    <x v="1"/>
    <x v="1"/>
    <d v="2024-11-01T00:00:00"/>
    <x v="0"/>
    <n v="33222.782549239499"/>
    <n v="3189387.1247269921"/>
    <n v="1290610.1247269921"/>
    <n v="1"/>
  </r>
  <r>
    <s v="L0447"/>
    <s v="Mohit Jain"/>
    <n v="56"/>
    <s v="M"/>
    <x v="0"/>
    <n v="678416"/>
    <n v="1226402"/>
    <n v="11.48"/>
    <n v="120"/>
    <n v="780"/>
    <x v="2"/>
    <x v="1"/>
    <d v="2019-07-21T00:00:00"/>
    <x v="2"/>
    <n v="17228.623694984828"/>
    <n v="2067434.8433981794"/>
    <n v="841032.84339817939"/>
    <n v="6"/>
  </r>
  <r>
    <s v="L0448"/>
    <s v="Aditya Sharma"/>
    <n v="41"/>
    <s v="M"/>
    <x v="1"/>
    <n v="538047"/>
    <n v="977543"/>
    <n v="12.37"/>
    <n v="48"/>
    <n v="778"/>
    <x v="3"/>
    <x v="1"/>
    <d v="2021-06-26T00:00:00"/>
    <x v="3"/>
    <n v="25920.401119853967"/>
    <n v="1244179.2537529904"/>
    <n v="266636.25375299039"/>
    <n v="4"/>
  </r>
  <r>
    <s v="L0449"/>
    <s v="Deepika Joshi"/>
    <n v="59"/>
    <s v="M"/>
    <x v="0"/>
    <n v="382284"/>
    <n v="528321"/>
    <n v="14.22"/>
    <n v="96"/>
    <n v="629"/>
    <x v="0"/>
    <x v="1"/>
    <d v="2023-09-30T00:00:00"/>
    <x v="2"/>
    <n v="9243.9995319075169"/>
    <n v="887423.95506312163"/>
    <n v="359102.95506312163"/>
    <n v="2"/>
  </r>
  <r>
    <s v="L0450"/>
    <s v="Tanya Rao"/>
    <n v="53"/>
    <s v="F"/>
    <x v="0"/>
    <n v="838875"/>
    <n v="1061146"/>
    <n v="8.6"/>
    <n v="72"/>
    <n v="796"/>
    <x v="2"/>
    <x v="1"/>
    <d v="2020-12-16T00:00:00"/>
    <x v="1"/>
    <n v="18917.744448753685"/>
    <n v="1362077.6003102653"/>
    <n v="300931.60031026532"/>
    <n v="5"/>
  </r>
  <r>
    <s v="L0451"/>
    <s v="Aarav Patel"/>
    <n v="32"/>
    <s v="F"/>
    <x v="0"/>
    <n v="1876270"/>
    <n v="392772"/>
    <n v="13.51"/>
    <n v="72"/>
    <n v="755"/>
    <x v="2"/>
    <x v="1"/>
    <d v="2021-07-26T00:00:00"/>
    <x v="0"/>
    <n v="7990.6631252753441"/>
    <n v="575327.74501982483"/>
    <n v="182555.74501982483"/>
    <n v="4"/>
  </r>
  <r>
    <s v="L0452"/>
    <s v="Amit Yadav"/>
    <n v="51"/>
    <s v="M"/>
    <x v="0"/>
    <n v="510774"/>
    <n v="1146800"/>
    <n v="9.24"/>
    <n v="96"/>
    <n v="780"/>
    <x v="2"/>
    <x v="1"/>
    <d v="2022-08-25T00:00:00"/>
    <x v="0"/>
    <n v="16943.978010974515"/>
    <n v="1626621.8890535533"/>
    <n v="479821.88905355334"/>
    <n v="3"/>
  </r>
  <r>
    <s v="L0453"/>
    <s v="Neha Sharma"/>
    <n v="39"/>
    <s v="F"/>
    <x v="1"/>
    <n v="646957"/>
    <n v="1761773"/>
    <n v="10.98"/>
    <n v="120"/>
    <n v="802"/>
    <x v="3"/>
    <x v="1"/>
    <d v="2022-09-24T00:00:00"/>
    <x v="1"/>
    <n v="24248.484105077448"/>
    <n v="2909818.0926092938"/>
    <n v="1148045.0926092938"/>
    <n v="3"/>
  </r>
  <r>
    <s v="L0454"/>
    <s v="Arjun Mehta"/>
    <n v="60"/>
    <s v="M"/>
    <x v="1"/>
    <n v="1521723"/>
    <n v="960717"/>
    <n v="7.71"/>
    <n v="96"/>
    <n v="674"/>
    <x v="0"/>
    <x v="1"/>
    <d v="2018-05-08T00:00:00"/>
    <x v="2"/>
    <n v="13440.169165010284"/>
    <n v="1290256.2398409871"/>
    <n v="329539.23984098714"/>
    <n v="7"/>
  </r>
  <r>
    <s v="L0455"/>
    <s v="Pooja Reddy"/>
    <n v="37"/>
    <s v="M"/>
    <x v="2"/>
    <n v="856333"/>
    <n v="444718"/>
    <n v="10.87"/>
    <n v="48"/>
    <n v="709"/>
    <x v="3"/>
    <x v="1"/>
    <d v="2023-05-06T00:00:00"/>
    <x v="1"/>
    <n v="11465.913418538852"/>
    <n v="550363.84408986487"/>
    <n v="105645.84408986487"/>
    <n v="2"/>
  </r>
  <r>
    <s v="L0456"/>
    <s v="Tanya Rao"/>
    <n v="41"/>
    <s v="M"/>
    <x v="0"/>
    <n v="313975"/>
    <n v="731637"/>
    <n v="8.1300000000000008"/>
    <n v="48"/>
    <n v="621"/>
    <x v="2"/>
    <x v="0"/>
    <d v="2024-04-09T00:00:00"/>
    <x v="2"/>
    <n v="17906.077074444889"/>
    <n v="859491.69957335468"/>
    <n v="127854.69957335468"/>
    <n v="1"/>
  </r>
  <r>
    <s v="L0457"/>
    <s v="Amit Yadav"/>
    <n v="47"/>
    <s v="F"/>
    <x v="1"/>
    <n v="1187223"/>
    <n v="1580569"/>
    <n v="13.11"/>
    <n v="36"/>
    <n v="832"/>
    <x v="3"/>
    <x v="1"/>
    <d v="2021-05-09T00:00:00"/>
    <x v="2"/>
    <n v="53339.397672609848"/>
    <n v="1920218.3162139545"/>
    <n v="339649.31621395447"/>
    <n v="4"/>
  </r>
  <r>
    <s v="L0458"/>
    <s v="Meena George"/>
    <n v="47"/>
    <s v="M"/>
    <x v="1"/>
    <n v="464608"/>
    <n v="908339"/>
    <n v="9.49"/>
    <n v="60"/>
    <n v="671"/>
    <x v="1"/>
    <x v="1"/>
    <d v="2023-05-03T00:00:00"/>
    <x v="3"/>
    <n v="19072.371032731473"/>
    <n v="1144342.2619638883"/>
    <n v="236003.2619638883"/>
    <n v="2"/>
  </r>
  <r>
    <s v="L0459"/>
    <s v="Neha Sharma"/>
    <n v="33"/>
    <s v="F"/>
    <x v="0"/>
    <n v="724606"/>
    <n v="1409373"/>
    <n v="8.99"/>
    <n v="84"/>
    <n v="650"/>
    <x v="3"/>
    <x v="0"/>
    <d v="2024-05-11T00:00:00"/>
    <x v="0"/>
    <n v="22668.360577160067"/>
    <n v="1904142.2884814455"/>
    <n v="494769.28848144552"/>
    <n v="1"/>
  </r>
  <r>
    <s v="L0460"/>
    <s v="Aditya Sharma"/>
    <n v="37"/>
    <s v="M"/>
    <x v="0"/>
    <n v="536231"/>
    <n v="1428223"/>
    <n v="14.73"/>
    <n v="60"/>
    <n v="666"/>
    <x v="2"/>
    <x v="0"/>
    <d v="2020-09-16T00:00:00"/>
    <x v="2"/>
    <n v="33775.244462644951"/>
    <n v="2026514.6677586969"/>
    <n v="598291.66775869695"/>
    <n v="5"/>
  </r>
  <r>
    <s v="L0461"/>
    <s v="Sahil Gupta"/>
    <n v="52"/>
    <s v="F"/>
    <x v="1"/>
    <n v="332802"/>
    <n v="1612879"/>
    <n v="11.02"/>
    <n v="96"/>
    <n v="755"/>
    <x v="0"/>
    <x v="1"/>
    <d v="2019-06-14T00:00:00"/>
    <x v="3"/>
    <n v="25353.191711742606"/>
    <n v="2433906.4043272901"/>
    <n v="821027.40432729013"/>
    <n v="6"/>
  </r>
  <r>
    <s v="L0462"/>
    <s v="Deepika Joshi"/>
    <n v="45"/>
    <s v="F"/>
    <x v="1"/>
    <n v="1554041"/>
    <n v="1898093"/>
    <n v="8.2799999999999994"/>
    <n v="72"/>
    <n v="821"/>
    <x v="2"/>
    <x v="1"/>
    <d v="2019-06-25T00:00:00"/>
    <x v="0"/>
    <n v="33539.822193625856"/>
    <n v="2414867.1979410616"/>
    <n v="516774.19794106157"/>
    <n v="6"/>
  </r>
  <r>
    <s v="L0463"/>
    <s v="Rohan Nair"/>
    <n v="35"/>
    <s v="F"/>
    <x v="0"/>
    <n v="1903319"/>
    <n v="1732576"/>
    <n v="13.85"/>
    <n v="120"/>
    <n v="674"/>
    <x v="3"/>
    <x v="1"/>
    <d v="2024-10-27T00:00:00"/>
    <x v="3"/>
    <n v="26745.050035023829"/>
    <n v="3209406.0042028595"/>
    <n v="1476830.0042028595"/>
    <n v="1"/>
  </r>
  <r>
    <s v="L0464"/>
    <s v="Tanya Rao"/>
    <n v="34"/>
    <s v="M"/>
    <x v="1"/>
    <n v="863277"/>
    <n v="877644"/>
    <n v="10.15"/>
    <n v="72"/>
    <n v="768"/>
    <x v="2"/>
    <x v="1"/>
    <d v="2023-01-25T00:00:00"/>
    <x v="0"/>
    <n v="16325.555739891182"/>
    <n v="1175440.0132721651"/>
    <n v="297796.01327216509"/>
    <n v="2"/>
  </r>
  <r>
    <s v="L0465"/>
    <s v="Aditya Sharma"/>
    <n v="52"/>
    <s v="F"/>
    <x v="1"/>
    <n v="967203"/>
    <n v="1598663"/>
    <n v="12.11"/>
    <n v="72"/>
    <n v="821"/>
    <x v="3"/>
    <x v="1"/>
    <d v="2019-01-13T00:00:00"/>
    <x v="0"/>
    <n v="31345.692844369809"/>
    <n v="2256889.8847946264"/>
    <n v="658226.88479462638"/>
    <n v="6"/>
  </r>
  <r>
    <s v="L0466"/>
    <s v="Arjun Mehta"/>
    <n v="55"/>
    <s v="F"/>
    <x v="2"/>
    <n v="495954"/>
    <n v="1632015"/>
    <n v="7.57"/>
    <n v="72"/>
    <n v="721"/>
    <x v="2"/>
    <x v="1"/>
    <d v="2022-11-24T00:00:00"/>
    <x v="1"/>
    <n v="28273.074628385621"/>
    <n v="2035661.3732437647"/>
    <n v="403646.37324376474"/>
    <n v="3"/>
  </r>
  <r>
    <s v="L0467"/>
    <s v="Amit Yadav"/>
    <n v="45"/>
    <s v="M"/>
    <x v="2"/>
    <n v="567515"/>
    <n v="1409191"/>
    <n v="11.59"/>
    <n v="72"/>
    <n v="794"/>
    <x v="2"/>
    <x v="1"/>
    <d v="2022-11-28T00:00:00"/>
    <x v="0"/>
    <n v="27250.425986694154"/>
    <n v="1962030.671041979"/>
    <n v="552839.67104197899"/>
    <n v="3"/>
  </r>
  <r>
    <s v="L0468"/>
    <s v="Meena George"/>
    <n v="60"/>
    <s v="F"/>
    <x v="2"/>
    <n v="637456"/>
    <n v="1484244"/>
    <n v="9.39"/>
    <n v="36"/>
    <n v="792"/>
    <x v="1"/>
    <x v="0"/>
    <d v="2019-10-08T00:00:00"/>
    <x v="1"/>
    <n v="47468.4302036925"/>
    <n v="1708863.4873329301"/>
    <n v="224619.48733293009"/>
    <n v="6"/>
  </r>
  <r>
    <s v="L0469"/>
    <s v="Raj Kumar"/>
    <n v="41"/>
    <s v="M"/>
    <x v="0"/>
    <n v="1781951"/>
    <n v="1207184"/>
    <n v="13.03"/>
    <n v="60"/>
    <n v="640"/>
    <x v="2"/>
    <x v="0"/>
    <d v="2020-03-27T00:00:00"/>
    <x v="2"/>
    <n v="27485.688370998381"/>
    <n v="1649141.3022599029"/>
    <n v="441957.30225990294"/>
    <n v="5"/>
  </r>
  <r>
    <s v="L0470"/>
    <s v="Isha Verma"/>
    <n v="47"/>
    <s v="F"/>
    <x v="0"/>
    <n v="1500499"/>
    <n v="1240254"/>
    <n v="13.73"/>
    <n v="48"/>
    <n v="664"/>
    <x v="3"/>
    <x v="0"/>
    <d v="2023-11-06T00:00:00"/>
    <x v="1"/>
    <n v="33724.03059808023"/>
    <n v="1618753.4687078511"/>
    <n v="378499.46870785113"/>
    <n v="2"/>
  </r>
  <r>
    <s v="L0471"/>
    <s v="Arjun Mehta"/>
    <n v="31"/>
    <s v="M"/>
    <x v="0"/>
    <n v="708927"/>
    <n v="1773015"/>
    <n v="10.32"/>
    <n v="36"/>
    <n v="662"/>
    <x v="3"/>
    <x v="1"/>
    <d v="2022-04-02T00:00:00"/>
    <x v="2"/>
    <n v="57476.951271122132"/>
    <n v="2069170.2457603968"/>
    <n v="296155.24576039682"/>
    <n v="3"/>
  </r>
  <r>
    <s v="L0472"/>
    <s v="Rohit Khanna"/>
    <n v="51"/>
    <s v="M"/>
    <x v="0"/>
    <n v="336636"/>
    <n v="1816922"/>
    <n v="7.72"/>
    <n v="84"/>
    <n v="695"/>
    <x v="0"/>
    <x v="1"/>
    <d v="2019-04-26T00:00:00"/>
    <x v="3"/>
    <n v="28066.140919549594"/>
    <n v="2357555.837242166"/>
    <n v="540633.83724216605"/>
    <n v="6"/>
  </r>
  <r>
    <s v="L0473"/>
    <s v="Tanya Rao"/>
    <n v="34"/>
    <s v="M"/>
    <x v="2"/>
    <n v="1881925"/>
    <n v="1940036"/>
    <n v="7.53"/>
    <n v="60"/>
    <n v="730"/>
    <x v="2"/>
    <x v="1"/>
    <d v="2024-06-28T00:00:00"/>
    <x v="2"/>
    <n v="38902.00454981903"/>
    <n v="2334120.2729891418"/>
    <n v="394084.27298914175"/>
    <n v="1"/>
  </r>
  <r>
    <s v="L0474"/>
    <s v="Rohit Khanna"/>
    <n v="38"/>
    <s v="M"/>
    <x v="2"/>
    <n v="1714129"/>
    <n v="1496529"/>
    <n v="10.52"/>
    <n v="120"/>
    <n v="656"/>
    <x v="0"/>
    <x v="1"/>
    <d v="2023-05-07T00:00:00"/>
    <x v="3"/>
    <n v="20210.176544146787"/>
    <n v="2425221.1852976144"/>
    <n v="928692.18529761443"/>
    <n v="2"/>
  </r>
  <r>
    <s v="L0475"/>
    <s v="Mohit Jain"/>
    <n v="36"/>
    <s v="M"/>
    <x v="2"/>
    <n v="449942"/>
    <n v="1346357"/>
    <n v="9.36"/>
    <n v="60"/>
    <n v="712"/>
    <x v="3"/>
    <x v="1"/>
    <d v="2022-12-07T00:00:00"/>
    <x v="1"/>
    <n v="28183.97815383894"/>
    <n v="1691038.6892303363"/>
    <n v="344681.68923033634"/>
    <n v="3"/>
  </r>
  <r>
    <s v="L0476"/>
    <s v="Rohit Khanna"/>
    <n v="57"/>
    <s v="M"/>
    <x v="0"/>
    <n v="1633802"/>
    <n v="663943"/>
    <n v="7.86"/>
    <n v="120"/>
    <n v="765"/>
    <x v="1"/>
    <x v="1"/>
    <d v="2019-11-18T00:00:00"/>
    <x v="1"/>
    <n v="8006.4288067800589"/>
    <n v="960771.45681360713"/>
    <n v="296828.45681360713"/>
    <n v="6"/>
  </r>
  <r>
    <s v="L0477"/>
    <s v="Deepika Joshi"/>
    <n v="39"/>
    <s v="F"/>
    <x v="0"/>
    <n v="1272294"/>
    <n v="1137709"/>
    <n v="10.82"/>
    <n v="120"/>
    <n v="659"/>
    <x v="0"/>
    <x v="0"/>
    <d v="2020-05-29T00:00:00"/>
    <x v="1"/>
    <n v="15556.246038160076"/>
    <n v="1866749.524579209"/>
    <n v="729040.52457920904"/>
    <n v="5"/>
  </r>
  <r>
    <s v="L0478"/>
    <s v="Rina Kapoor"/>
    <n v="33"/>
    <s v="M"/>
    <x v="2"/>
    <n v="557162"/>
    <n v="520408"/>
    <n v="8.01"/>
    <n v="60"/>
    <n v="834"/>
    <x v="1"/>
    <x v="1"/>
    <d v="2020-05-12T00:00:00"/>
    <x v="2"/>
    <n v="10554.488565315654"/>
    <n v="633269.31391893921"/>
    <n v="112861.31391893921"/>
    <n v="5"/>
  </r>
  <r>
    <s v="L0479"/>
    <s v="Aarav Patel"/>
    <n v="39"/>
    <s v="M"/>
    <x v="2"/>
    <n v="1857242"/>
    <n v="1158713"/>
    <n v="11.33"/>
    <n v="84"/>
    <n v="697"/>
    <x v="3"/>
    <x v="0"/>
    <d v="2020-04-29T00:00:00"/>
    <x v="3"/>
    <n v="20041.609491728301"/>
    <n v="1683495.1973051773"/>
    <n v="524782.19730517734"/>
    <n v="5"/>
  </r>
  <r>
    <s v="L0480"/>
    <s v="Neha Sharma"/>
    <n v="46"/>
    <s v="M"/>
    <x v="2"/>
    <n v="356169"/>
    <n v="1132001"/>
    <n v="12.75"/>
    <n v="120"/>
    <n v="679"/>
    <x v="1"/>
    <x v="1"/>
    <d v="2019-08-26T00:00:00"/>
    <x v="3"/>
    <n v="16735.481115307277"/>
    <n v="2008257.7338368732"/>
    <n v="876256.7338368732"/>
    <n v="6"/>
  </r>
  <r>
    <s v="L0481"/>
    <s v="Rohan Nair"/>
    <n v="28"/>
    <s v="M"/>
    <x v="0"/>
    <n v="1229813"/>
    <n v="1503928"/>
    <n v="10.79"/>
    <n v="96"/>
    <n v="656"/>
    <x v="2"/>
    <x v="1"/>
    <d v="2018-09-17T00:00:00"/>
    <x v="1"/>
    <n v="23454.333739353202"/>
    <n v="2251616.0389779075"/>
    <n v="747688.0389779075"/>
    <n v="7"/>
  </r>
  <r>
    <s v="L0482"/>
    <s v="Arjun Mehta"/>
    <n v="57"/>
    <s v="M"/>
    <x v="2"/>
    <n v="795529"/>
    <n v="1852541"/>
    <n v="11.23"/>
    <n v="96"/>
    <n v="841"/>
    <x v="1"/>
    <x v="1"/>
    <d v="2022-05-13T00:00:00"/>
    <x v="2"/>
    <n v="29330.814162755079"/>
    <n v="2815758.1596244876"/>
    <n v="963217.15962448763"/>
    <n v="3"/>
  </r>
  <r>
    <s v="L0483"/>
    <s v="Raj Kumar"/>
    <n v="28"/>
    <s v="M"/>
    <x v="1"/>
    <n v="1473929"/>
    <n v="516318"/>
    <n v="14.13"/>
    <n v="60"/>
    <n v="817"/>
    <x v="1"/>
    <x v="1"/>
    <d v="2018-05-08T00:00:00"/>
    <x v="3"/>
    <n v="12048.643300707221"/>
    <n v="722918.59804243327"/>
    <n v="206600.59804243327"/>
    <n v="7"/>
  </r>
  <r>
    <s v="L0484"/>
    <s v="Mohit Jain"/>
    <n v="38"/>
    <s v="F"/>
    <x v="2"/>
    <n v="326356"/>
    <n v="1071574"/>
    <n v="9.59"/>
    <n v="60"/>
    <n v="708"/>
    <x v="1"/>
    <x v="0"/>
    <d v="2019-03-01T00:00:00"/>
    <x v="1"/>
    <n v="22552.207828190469"/>
    <n v="1353132.4696914281"/>
    <n v="281558.46969142812"/>
    <n v="6"/>
  </r>
  <r>
    <s v="L0485"/>
    <s v="Rohan Nair"/>
    <n v="34"/>
    <s v="F"/>
    <x v="0"/>
    <n v="365911"/>
    <n v="1691571"/>
    <n v="14.83"/>
    <n v="96"/>
    <n v="754"/>
    <x v="0"/>
    <x v="1"/>
    <d v="2021-06-03T00:00:00"/>
    <x v="0"/>
    <n v="30189.751694831371"/>
    <n v="2898216.1627038117"/>
    <n v="1206645.1627038117"/>
    <n v="4"/>
  </r>
  <r>
    <s v="L0486"/>
    <s v="Meena George"/>
    <n v="46"/>
    <s v="F"/>
    <x v="1"/>
    <n v="1038028"/>
    <n v="1888819"/>
    <n v="13.61"/>
    <n v="72"/>
    <n v="683"/>
    <x v="2"/>
    <x v="1"/>
    <d v="2018-12-26T00:00:00"/>
    <x v="2"/>
    <n v="38527.164347531543"/>
    <n v="2773955.8330222713"/>
    <n v="885136.83302227128"/>
    <n v="7"/>
  </r>
  <r>
    <s v="L0487"/>
    <s v="Arjun Mehta"/>
    <n v="51"/>
    <s v="F"/>
    <x v="1"/>
    <n v="1594789"/>
    <n v="1209176"/>
    <n v="10.11"/>
    <n v="120"/>
    <n v="688"/>
    <x v="2"/>
    <x v="1"/>
    <d v="2018-08-13T00:00:00"/>
    <x v="1"/>
    <n v="16053.095369678622"/>
    <n v="1926371.4443614346"/>
    <n v="717195.44436143455"/>
    <n v="7"/>
  </r>
  <r>
    <s v="L0488"/>
    <s v="Meena George"/>
    <n v="30"/>
    <s v="M"/>
    <x v="0"/>
    <n v="1441244"/>
    <n v="642329"/>
    <n v="8.01"/>
    <n v="84"/>
    <n v="815"/>
    <x v="3"/>
    <x v="1"/>
    <d v="2021-10-14T00:00:00"/>
    <x v="1"/>
    <n v="10014.67797770005"/>
    <n v="841232.95012680418"/>
    <n v="198903.95012680418"/>
    <n v="4"/>
  </r>
  <r>
    <s v="L0489"/>
    <s v="Amit Yadav"/>
    <n v="56"/>
    <s v="M"/>
    <x v="0"/>
    <n v="624635"/>
    <n v="421005"/>
    <n v="10.28"/>
    <n v="96"/>
    <n v="605"/>
    <x v="2"/>
    <x v="1"/>
    <d v="2023-11-15T00:00:00"/>
    <x v="0"/>
    <n v="6450.9438947151921"/>
    <n v="619290.61389265838"/>
    <n v="198285.61389265838"/>
    <n v="2"/>
  </r>
  <r>
    <s v="L0490"/>
    <s v="Amit Yadav"/>
    <n v="37"/>
    <s v="F"/>
    <x v="0"/>
    <n v="1436043"/>
    <n v="593573"/>
    <n v="12.77"/>
    <n v="72"/>
    <n v="704"/>
    <x v="0"/>
    <x v="0"/>
    <d v="2023-07-04T00:00:00"/>
    <x v="3"/>
    <n v="11843.513781525278"/>
    <n v="852732.99226982007"/>
    <n v="259159.99226982007"/>
    <n v="2"/>
  </r>
  <r>
    <s v="L0491"/>
    <s v="Isha Verma"/>
    <n v="51"/>
    <s v="F"/>
    <x v="2"/>
    <n v="1776881"/>
    <n v="1992320"/>
    <n v="13.15"/>
    <n v="48"/>
    <n v="745"/>
    <x v="2"/>
    <x v="0"/>
    <d v="2024-08-18T00:00:00"/>
    <x v="2"/>
    <n v="53597.401638471601"/>
    <n v="2572675.2786466368"/>
    <n v="580355.27864663675"/>
    <n v="1"/>
  </r>
  <r>
    <s v="L0492"/>
    <s v="Aditya Sharma"/>
    <n v="39"/>
    <s v="F"/>
    <x v="0"/>
    <n v="603092"/>
    <n v="706087"/>
    <n v="9.32"/>
    <n v="96"/>
    <n v="809"/>
    <x v="0"/>
    <x v="1"/>
    <d v="2023-04-05T00:00:00"/>
    <x v="2"/>
    <n v="10461.908562987754"/>
    <n v="1004343.2220468244"/>
    <n v="298256.2220468244"/>
    <n v="2"/>
  </r>
  <r>
    <s v="L0493"/>
    <s v="Pooja Reddy"/>
    <n v="38"/>
    <s v="M"/>
    <x v="0"/>
    <n v="1871569"/>
    <n v="783602"/>
    <n v="11.02"/>
    <n v="72"/>
    <n v="687"/>
    <x v="1"/>
    <x v="1"/>
    <d v="2020-01-20T00:00:00"/>
    <x v="0"/>
    <n v="14923.170655754177"/>
    <n v="1074468.2872143006"/>
    <n v="290866.2872143006"/>
    <n v="5"/>
  </r>
  <r>
    <s v="L0494"/>
    <s v="Vikram Das"/>
    <n v="60"/>
    <s v="M"/>
    <x v="1"/>
    <n v="632522"/>
    <n v="1769463"/>
    <n v="7.61"/>
    <n v="36"/>
    <n v="636"/>
    <x v="0"/>
    <x v="0"/>
    <d v="2021-01-27T00:00:00"/>
    <x v="0"/>
    <n v="55130.73858825527"/>
    <n v="1984706.5891771896"/>
    <n v="215243.58917718963"/>
    <n v="4"/>
  </r>
  <r>
    <s v="L0495"/>
    <s v="Pooja Reddy"/>
    <n v="49"/>
    <s v="M"/>
    <x v="1"/>
    <n v="831241"/>
    <n v="1537761"/>
    <n v="9.7100000000000009"/>
    <n v="96"/>
    <n v="834"/>
    <x v="2"/>
    <x v="1"/>
    <d v="2023-11-06T00:00:00"/>
    <x v="1"/>
    <n v="23098.936756414823"/>
    <n v="2217497.9286158229"/>
    <n v="679736.92861582292"/>
    <n v="2"/>
  </r>
  <r>
    <s v="L0496"/>
    <s v="Pooja Reddy"/>
    <n v="26"/>
    <s v="F"/>
    <x v="0"/>
    <n v="1794321"/>
    <n v="1297848"/>
    <n v="14.95"/>
    <n v="36"/>
    <n v="831"/>
    <x v="0"/>
    <x v="1"/>
    <d v="2021-04-25T00:00:00"/>
    <x v="2"/>
    <n v="44958.555685151572"/>
    <n v="1618508.0046654567"/>
    <n v="320660.00466545671"/>
    <n v="4"/>
  </r>
  <r>
    <s v="L0497"/>
    <s v="Arjun Mehta"/>
    <n v="47"/>
    <s v="M"/>
    <x v="0"/>
    <n v="936518"/>
    <n v="968429"/>
    <n v="8.6"/>
    <n v="84"/>
    <n v="746"/>
    <x v="0"/>
    <x v="1"/>
    <d v="2018-01-26T00:00:00"/>
    <x v="0"/>
    <n v="15385.255859354438"/>
    <n v="1292361.4921857729"/>
    <n v="323932.49218577286"/>
    <n v="7"/>
  </r>
  <r>
    <s v="L0498"/>
    <s v="Sahil Gupta"/>
    <n v="36"/>
    <s v="F"/>
    <x v="2"/>
    <n v="965638"/>
    <n v="1838044"/>
    <n v="14.55"/>
    <n v="60"/>
    <n v="778"/>
    <x v="2"/>
    <x v="1"/>
    <d v="2021-04-08T00:00:00"/>
    <x v="3"/>
    <n v="43293.97442095005"/>
    <n v="2597638.465257003"/>
    <n v="759594.46525700297"/>
    <n v="4"/>
  </r>
  <r>
    <s v="L0499"/>
    <s v="Aarav Patel"/>
    <n v="60"/>
    <s v="M"/>
    <x v="2"/>
    <n v="1409008"/>
    <n v="723997"/>
    <n v="13.25"/>
    <n v="72"/>
    <n v="850"/>
    <x v="1"/>
    <x v="1"/>
    <d v="2023-04-26T00:00:00"/>
    <x v="3"/>
    <n v="14629.295518800178"/>
    <n v="1053309.2773536127"/>
    <n v="329312.27735361271"/>
    <n v="2"/>
  </r>
  <r>
    <s v="L0500"/>
    <s v="Pooja Reddy"/>
    <n v="48"/>
    <s v="F"/>
    <x v="0"/>
    <n v="1786991"/>
    <n v="1194006"/>
    <n v="11.02"/>
    <n v="60"/>
    <n v="647"/>
    <x v="0"/>
    <x v="1"/>
    <d v="2020-02-21T00:00:00"/>
    <x v="3"/>
    <n v="25972.494417184855"/>
    <n v="1558349.6650310913"/>
    <n v="364343.66503109131"/>
    <n v="5"/>
  </r>
  <r>
    <s v="L0501"/>
    <s v="Raj Kumar"/>
    <n v="55"/>
    <s v="F"/>
    <x v="0"/>
    <n v="463624"/>
    <n v="977914"/>
    <n v="12.98"/>
    <n v="72"/>
    <n v="828"/>
    <x v="3"/>
    <x v="1"/>
    <d v="2019-04-16T00:00:00"/>
    <x v="2"/>
    <n v="19620.427427255396"/>
    <n v="1412670.7747623886"/>
    <n v="434756.77476238855"/>
    <n v="6"/>
  </r>
  <r>
    <s v="L0502"/>
    <s v="Arjun Mehta"/>
    <n v="33"/>
    <s v="F"/>
    <x v="1"/>
    <n v="1775586"/>
    <n v="502871"/>
    <n v="12.51"/>
    <n v="84"/>
    <n v="634"/>
    <x v="1"/>
    <x v="1"/>
    <d v="2020-09-22T00:00:00"/>
    <x v="1"/>
    <n v="9014.782970360211"/>
    <n v="757241.76951025776"/>
    <n v="254370.76951025776"/>
    <n v="5"/>
  </r>
  <r>
    <s v="L0503"/>
    <s v="Rina Kapoor"/>
    <n v="53"/>
    <s v="F"/>
    <x v="2"/>
    <n v="722689"/>
    <n v="407836"/>
    <n v="9.1"/>
    <n v="96"/>
    <n v="633"/>
    <x v="0"/>
    <x v="0"/>
    <d v="2022-07-19T00:00:00"/>
    <x v="3"/>
    <n v="5996.0586494519648"/>
    <n v="575621.63034738856"/>
    <n v="167785.63034738856"/>
    <n v="3"/>
  </r>
  <r>
    <s v="L0504"/>
    <s v="Raj Kumar"/>
    <n v="46"/>
    <s v="M"/>
    <x v="2"/>
    <n v="735990"/>
    <n v="288904"/>
    <n v="12.45"/>
    <n v="48"/>
    <n v="812"/>
    <x v="2"/>
    <x v="1"/>
    <d v="2022-11-18T00:00:00"/>
    <x v="2"/>
    <n v="7671.9388856747246"/>
    <n v="368253.06651238678"/>
    <n v="79349.06651238678"/>
    <n v="3"/>
  </r>
  <r>
    <s v="L0505"/>
    <s v="Aarav Patel"/>
    <n v="28"/>
    <s v="F"/>
    <x v="2"/>
    <n v="1979090"/>
    <n v="933013"/>
    <n v="13.69"/>
    <n v="36"/>
    <n v="761"/>
    <x v="2"/>
    <x v="0"/>
    <d v="2019-10-21T00:00:00"/>
    <x v="2"/>
    <n v="31747.874922878"/>
    <n v="1142923.497223608"/>
    <n v="209910.49722360796"/>
    <n v="6"/>
  </r>
  <r>
    <s v="L0506"/>
    <s v="Arjun Mehta"/>
    <n v="31"/>
    <s v="M"/>
    <x v="2"/>
    <n v="1501177"/>
    <n v="230706"/>
    <n v="8.75"/>
    <n v="72"/>
    <n v="742"/>
    <x v="1"/>
    <x v="1"/>
    <d v="2019-04-28T00:00:00"/>
    <x v="2"/>
    <n v="4130.0319722454688"/>
    <n v="297362.30200167373"/>
    <n v="66656.302001673728"/>
    <n v="6"/>
  </r>
  <r>
    <s v="L0507"/>
    <s v="Meena George"/>
    <n v="31"/>
    <s v="M"/>
    <x v="0"/>
    <n v="813461"/>
    <n v="1033886"/>
    <n v="13.57"/>
    <n v="96"/>
    <n v="656"/>
    <x v="0"/>
    <x v="1"/>
    <d v="2021-05-06T00:00:00"/>
    <x v="2"/>
    <n v="17708.069901791834"/>
    <n v="1699974.710572016"/>
    <n v="666088.71057201596"/>
    <n v="4"/>
  </r>
  <r>
    <s v="L0508"/>
    <s v="Amit Yadav"/>
    <n v="32"/>
    <s v="M"/>
    <x v="1"/>
    <n v="315875"/>
    <n v="1980101"/>
    <n v="7.75"/>
    <n v="96"/>
    <n v="832"/>
    <x v="2"/>
    <x v="1"/>
    <d v="2020-02-27T00:00:00"/>
    <x v="1"/>
    <n v="27741.103934435563"/>
    <n v="2663145.9777058139"/>
    <n v="683044.97770581394"/>
    <n v="5"/>
  </r>
  <r>
    <s v="L0509"/>
    <s v="Aditya Sharma"/>
    <n v="30"/>
    <s v="M"/>
    <x v="0"/>
    <n v="1861064"/>
    <n v="1703927"/>
    <n v="8.58"/>
    <n v="96"/>
    <n v="683"/>
    <x v="0"/>
    <x v="0"/>
    <d v="2024-10-22T00:00:00"/>
    <x v="2"/>
    <n v="24593.195029304279"/>
    <n v="2360946.7228132109"/>
    <n v="657019.72281321092"/>
    <n v="1"/>
  </r>
  <r>
    <s v="L0510"/>
    <s v="Aarav Patel"/>
    <n v="53"/>
    <s v="F"/>
    <x v="2"/>
    <n v="1768396"/>
    <n v="837217"/>
    <n v="9.69"/>
    <n v="96"/>
    <n v="714"/>
    <x v="1"/>
    <x v="1"/>
    <d v="2021-12-02T00:00:00"/>
    <x v="1"/>
    <n v="12567.152952817838"/>
    <n v="1206446.6834705125"/>
    <n v="369229.68347051251"/>
    <n v="4"/>
  </r>
  <r>
    <s v="L0511"/>
    <s v="Deepika Joshi"/>
    <n v="50"/>
    <s v="F"/>
    <x v="2"/>
    <n v="995576"/>
    <n v="1130048"/>
    <n v="7.56"/>
    <n v="84"/>
    <n v="803"/>
    <x v="1"/>
    <x v="1"/>
    <d v="2023-06-28T00:00:00"/>
    <x v="1"/>
    <n v="17366.470288953493"/>
    <n v="1458783.5042720933"/>
    <n v="328735.5042720933"/>
    <n v="2"/>
  </r>
  <r>
    <s v="L0512"/>
    <s v="Rina Kapoor"/>
    <n v="30"/>
    <s v="M"/>
    <x v="2"/>
    <n v="531941"/>
    <n v="940228"/>
    <n v="8.57"/>
    <n v="96"/>
    <n v="600"/>
    <x v="3"/>
    <x v="1"/>
    <d v="2022-05-09T00:00:00"/>
    <x v="3"/>
    <n v="13565.704877494698"/>
    <n v="1302307.6682394911"/>
    <n v="362079.66823949106"/>
    <n v="3"/>
  </r>
  <r>
    <s v="L0513"/>
    <s v="Meena George"/>
    <n v="57"/>
    <s v="M"/>
    <x v="2"/>
    <n v="1491229"/>
    <n v="1611643"/>
    <n v="7.74"/>
    <n v="96"/>
    <n v="724"/>
    <x v="2"/>
    <x v="0"/>
    <d v="2021-10-16T00:00:00"/>
    <x v="3"/>
    <n v="22570.880110453909"/>
    <n v="2166804.4906035755"/>
    <n v="555161.49060357548"/>
    <n v="4"/>
  </r>
  <r>
    <s v="L0514"/>
    <s v="Vikram Das"/>
    <n v="26"/>
    <s v="M"/>
    <x v="1"/>
    <n v="545153"/>
    <n v="1596986"/>
    <n v="9.99"/>
    <n v="72"/>
    <n v="624"/>
    <x v="1"/>
    <x v="1"/>
    <d v="2021-01-14T00:00:00"/>
    <x v="0"/>
    <n v="29577.450888888739"/>
    <n v="2129576.4639999894"/>
    <n v="532590.46399998944"/>
    <n v="4"/>
  </r>
  <r>
    <s v="L0515"/>
    <s v="Rina Kapoor"/>
    <n v="45"/>
    <s v="M"/>
    <x v="2"/>
    <n v="1233182"/>
    <n v="1734860"/>
    <n v="8.11"/>
    <n v="60"/>
    <n v="842"/>
    <x v="3"/>
    <x v="0"/>
    <d v="2018-05-11T00:00:00"/>
    <x v="3"/>
    <n v="35268.106814436302"/>
    <n v="2116086.4088661782"/>
    <n v="381226.40886617824"/>
    <n v="7"/>
  </r>
  <r>
    <s v="L0516"/>
    <s v="Rohit Khanna"/>
    <n v="39"/>
    <s v="M"/>
    <x v="0"/>
    <n v="1816534"/>
    <n v="1926760"/>
    <n v="7.52"/>
    <n v="36"/>
    <n v="620"/>
    <x v="2"/>
    <x v="0"/>
    <d v="2021-06-03T00:00:00"/>
    <x v="0"/>
    <n v="59951.91650888935"/>
    <n v="2158268.9943200164"/>
    <n v="231508.99432001635"/>
    <n v="4"/>
  </r>
  <r>
    <s v="L0517"/>
    <s v="Rina Kapoor"/>
    <n v="52"/>
    <s v="F"/>
    <x v="0"/>
    <n v="1281118"/>
    <n v="373045"/>
    <n v="7.96"/>
    <n v="48"/>
    <n v="830"/>
    <x v="1"/>
    <x v="1"/>
    <d v="2022-05-31T00:00:00"/>
    <x v="2"/>
    <n v="9100.1159123155539"/>
    <n v="436805.56379114662"/>
    <n v="63760.563791146618"/>
    <n v="3"/>
  </r>
  <r>
    <s v="L0518"/>
    <s v="Mohit Jain"/>
    <n v="36"/>
    <s v="M"/>
    <x v="2"/>
    <n v="1061800"/>
    <n v="1341845"/>
    <n v="10.85"/>
    <n v="72"/>
    <n v="651"/>
    <x v="1"/>
    <x v="1"/>
    <d v="2021-08-15T00:00:00"/>
    <x v="0"/>
    <n v="25437.810865605086"/>
    <n v="1831522.3823235661"/>
    <n v="489677.38232356613"/>
    <n v="4"/>
  </r>
  <r>
    <s v="L0519"/>
    <s v="Sneha Pillai"/>
    <n v="29"/>
    <s v="M"/>
    <x v="2"/>
    <n v="325439"/>
    <n v="520913"/>
    <n v="13.23"/>
    <n v="48"/>
    <n v="795"/>
    <x v="2"/>
    <x v="1"/>
    <d v="2022-10-13T00:00:00"/>
    <x v="1"/>
    <n v="14034.32936381513"/>
    <n v="673647.80946312624"/>
    <n v="152734.80946312624"/>
    <n v="3"/>
  </r>
  <r>
    <s v="L0520"/>
    <s v="Neha Sharma"/>
    <n v="51"/>
    <s v="F"/>
    <x v="2"/>
    <n v="540010"/>
    <n v="1372618"/>
    <n v="13.39"/>
    <n v="120"/>
    <n v="713"/>
    <x v="3"/>
    <x v="1"/>
    <d v="2024-01-11T00:00:00"/>
    <x v="0"/>
    <n v="20811.61233091816"/>
    <n v="2497393.4797101794"/>
    <n v="1124775.4797101794"/>
    <n v="1"/>
  </r>
  <r>
    <s v="L0521"/>
    <s v="Rohit Khanna"/>
    <n v="32"/>
    <s v="F"/>
    <x v="2"/>
    <n v="624279"/>
    <n v="781808"/>
    <n v="14.35"/>
    <n v="84"/>
    <n v="827"/>
    <x v="1"/>
    <x v="1"/>
    <d v="2023-01-29T00:00:00"/>
    <x v="1"/>
    <n v="14802.665992804434"/>
    <n v="1243423.9433955725"/>
    <n v="461615.94339557248"/>
    <n v="2"/>
  </r>
  <r>
    <s v="L0522"/>
    <s v="Priya Singh"/>
    <n v="27"/>
    <s v="F"/>
    <x v="1"/>
    <n v="1734333"/>
    <n v="1295926"/>
    <n v="12.07"/>
    <n v="36"/>
    <n v="706"/>
    <x v="2"/>
    <x v="1"/>
    <d v="2022-09-24T00:00:00"/>
    <x v="1"/>
    <n v="43086.627701009849"/>
    <n v="1551118.5972363546"/>
    <n v="255192.5972363546"/>
    <n v="3"/>
  </r>
  <r>
    <s v="L0523"/>
    <s v="Amit Yadav"/>
    <n v="30"/>
    <s v="F"/>
    <x v="0"/>
    <n v="1205066"/>
    <n v="672204"/>
    <n v="7.63"/>
    <n v="72"/>
    <n v="705"/>
    <x v="1"/>
    <x v="1"/>
    <d v="2024-04-20T00:00:00"/>
    <x v="3"/>
    <n v="11664.844314197118"/>
    <n v="839868.79062219255"/>
    <n v="167664.79062219255"/>
    <n v="1"/>
  </r>
  <r>
    <s v="L0524"/>
    <s v="Meena George"/>
    <n v="49"/>
    <s v="M"/>
    <x v="2"/>
    <n v="995603"/>
    <n v="1821210"/>
    <n v="14.55"/>
    <n v="60"/>
    <n v="654"/>
    <x v="0"/>
    <x v="1"/>
    <d v="2022-08-03T00:00:00"/>
    <x v="0"/>
    <n v="42897.460101705088"/>
    <n v="2573847.6061023055"/>
    <n v="752637.60610230546"/>
    <n v="3"/>
  </r>
  <r>
    <s v="L0525"/>
    <s v="Tanya Rao"/>
    <n v="36"/>
    <s v="M"/>
    <x v="0"/>
    <n v="677840"/>
    <n v="1134686"/>
    <n v="10.25"/>
    <n v="72"/>
    <n v="762"/>
    <x v="2"/>
    <x v="1"/>
    <d v="2020-11-03T00:00:00"/>
    <x v="2"/>
    <n v="21164.340550914731"/>
    <n v="1523832.5196658606"/>
    <n v="389146.51966586057"/>
    <n v="5"/>
  </r>
  <r>
    <s v="L0526"/>
    <s v="Raj Kumar"/>
    <n v="28"/>
    <s v="F"/>
    <x v="2"/>
    <n v="514097"/>
    <n v="1610099"/>
    <n v="13.26"/>
    <n v="96"/>
    <n v="721"/>
    <x v="1"/>
    <x v="1"/>
    <d v="2019-12-24T00:00:00"/>
    <x v="2"/>
    <n v="27296.040606213843"/>
    <n v="2620419.8981965287"/>
    <n v="1010320.8981965287"/>
    <n v="6"/>
  </r>
  <r>
    <s v="L0527"/>
    <s v="Kiran Menon"/>
    <n v="58"/>
    <s v="F"/>
    <x v="0"/>
    <n v="1116816"/>
    <n v="1075512"/>
    <n v="8.39"/>
    <n v="60"/>
    <n v="699"/>
    <x v="2"/>
    <x v="1"/>
    <d v="2020-10-11T00:00:00"/>
    <x v="1"/>
    <n v="22008.800348722354"/>
    <n v="1320528.0209233412"/>
    <n v="245016.02092334116"/>
    <n v="5"/>
  </r>
  <r>
    <s v="L0528"/>
    <s v="Deepika Joshi"/>
    <n v="34"/>
    <s v="F"/>
    <x v="1"/>
    <n v="410032"/>
    <n v="228565"/>
    <n v="9.02"/>
    <n v="36"/>
    <n v="721"/>
    <x v="1"/>
    <x v="1"/>
    <d v="2022-04-10T00:00:00"/>
    <x v="1"/>
    <n v="7270.4336237995794"/>
    <n v="261735.61045678487"/>
    <n v="33170.610456784867"/>
    <n v="3"/>
  </r>
  <r>
    <s v="L0529"/>
    <s v="Isha Verma"/>
    <n v="40"/>
    <s v="F"/>
    <x v="1"/>
    <n v="1947537"/>
    <n v="792992"/>
    <n v="8.36"/>
    <n v="36"/>
    <n v="792"/>
    <x v="3"/>
    <x v="1"/>
    <d v="2018-06-13T00:00:00"/>
    <x v="0"/>
    <n v="24981.393890012801"/>
    <n v="899330.18004046089"/>
    <n v="106338.18004046089"/>
    <n v="7"/>
  </r>
  <r>
    <s v="L0530"/>
    <s v="Rohan Nair"/>
    <n v="39"/>
    <s v="F"/>
    <x v="0"/>
    <n v="533014"/>
    <n v="1757115"/>
    <n v="12.86"/>
    <n v="36"/>
    <n v="778"/>
    <x v="2"/>
    <x v="0"/>
    <d v="2024-06-11T00:00:00"/>
    <x v="0"/>
    <n v="59085.730918769375"/>
    <n v="2127086.3130756975"/>
    <n v="369971.31307569752"/>
    <n v="1"/>
  </r>
  <r>
    <s v="L0531"/>
    <s v="Isha Verma"/>
    <n v="39"/>
    <s v="F"/>
    <x v="1"/>
    <n v="1097834"/>
    <n v="359168"/>
    <n v="8.39"/>
    <n v="36"/>
    <n v="648"/>
    <x v="0"/>
    <x v="0"/>
    <d v="2020-08-10T00:00:00"/>
    <x v="1"/>
    <n v="11319.7512241896"/>
    <n v="407511.04407082562"/>
    <n v="48343.044070825621"/>
    <n v="5"/>
  </r>
  <r>
    <s v="L0532"/>
    <s v="Priya Singh"/>
    <n v="48"/>
    <s v="F"/>
    <x v="0"/>
    <n v="1842882"/>
    <n v="751473"/>
    <n v="7.91"/>
    <n v="72"/>
    <n v="637"/>
    <x v="0"/>
    <x v="1"/>
    <d v="2021-12-10T00:00:00"/>
    <x v="2"/>
    <n v="13142.758197336934"/>
    <n v="946278.59020825929"/>
    <n v="194805.59020825929"/>
    <n v="4"/>
  </r>
  <r>
    <s v="L0533"/>
    <s v="Kiran Menon"/>
    <n v="41"/>
    <s v="M"/>
    <x v="0"/>
    <n v="714272"/>
    <n v="1889958"/>
    <n v="12.63"/>
    <n v="72"/>
    <n v="713"/>
    <x v="3"/>
    <x v="0"/>
    <d v="2024-07-30T00:00:00"/>
    <x v="1"/>
    <n v="37571.142857774947"/>
    <n v="2705122.2857597964"/>
    <n v="815164.28575979639"/>
    <n v="1"/>
  </r>
  <r>
    <s v="L0534"/>
    <s v="Raj Kumar"/>
    <n v="40"/>
    <s v="M"/>
    <x v="0"/>
    <n v="1637279"/>
    <n v="1528074"/>
    <n v="10.71"/>
    <n v="120"/>
    <n v="611"/>
    <x v="1"/>
    <x v="0"/>
    <d v="2018-10-01T00:00:00"/>
    <x v="0"/>
    <n v="20799.161672066337"/>
    <n v="2495899.4006479606"/>
    <n v="967825.4006479606"/>
    <n v="7"/>
  </r>
  <r>
    <s v="L0535"/>
    <s v="Mohit Jain"/>
    <n v="27"/>
    <s v="F"/>
    <x v="1"/>
    <n v="1605940"/>
    <n v="876720"/>
    <n v="7.53"/>
    <n v="120"/>
    <n v="757"/>
    <x v="3"/>
    <x v="0"/>
    <d v="2022-03-30T00:00:00"/>
    <x v="0"/>
    <n v="10420.553972704864"/>
    <n v="1250466.4767245837"/>
    <n v="373746.47672458366"/>
    <n v="3"/>
  </r>
  <r>
    <s v="L0536"/>
    <s v="Neha Sharma"/>
    <n v="39"/>
    <s v="F"/>
    <x v="1"/>
    <n v="961227"/>
    <n v="988303"/>
    <n v="9.66"/>
    <n v="36"/>
    <n v="709"/>
    <x v="3"/>
    <x v="1"/>
    <d v="2020-12-28T00:00:00"/>
    <x v="3"/>
    <n v="31732.229905363041"/>
    <n v="1142360.2765930695"/>
    <n v="154057.27659306955"/>
    <n v="5"/>
  </r>
  <r>
    <s v="L0537"/>
    <s v="Aditya Sharma"/>
    <n v="45"/>
    <s v="M"/>
    <x v="2"/>
    <n v="604893"/>
    <n v="557664"/>
    <n v="11.13"/>
    <n v="84"/>
    <n v="727"/>
    <x v="0"/>
    <x v="1"/>
    <d v="2019-10-24T00:00:00"/>
    <x v="1"/>
    <n v="9586.7269829382676"/>
    <n v="805285.06656681444"/>
    <n v="247621.06656681444"/>
    <n v="6"/>
  </r>
  <r>
    <s v="L0538"/>
    <s v="Isha Verma"/>
    <n v="33"/>
    <s v="M"/>
    <x v="0"/>
    <n v="594891"/>
    <n v="1592601"/>
    <n v="11.8"/>
    <n v="48"/>
    <n v="653"/>
    <x v="3"/>
    <x v="1"/>
    <d v="2023-10-08T00:00:00"/>
    <x v="1"/>
    <n v="41783.072452892149"/>
    <n v="2005587.4777388233"/>
    <n v="412986.47773882328"/>
    <n v="2"/>
  </r>
  <r>
    <s v="L0539"/>
    <s v="Aditya Sharma"/>
    <n v="48"/>
    <s v="F"/>
    <x v="1"/>
    <n v="1813400"/>
    <n v="562738"/>
    <n v="10.29"/>
    <n v="96"/>
    <n v="608"/>
    <x v="3"/>
    <x v="1"/>
    <d v="2018-08-17T00:00:00"/>
    <x v="2"/>
    <n v="8625.6738275776988"/>
    <n v="828064.68744745909"/>
    <n v="265326.68744745909"/>
    <n v="7"/>
  </r>
  <r>
    <s v="L0540"/>
    <s v="Neha Sharma"/>
    <n v="40"/>
    <s v="F"/>
    <x v="0"/>
    <n v="1588282"/>
    <n v="1290545"/>
    <n v="11.59"/>
    <n v="84"/>
    <n v="697"/>
    <x v="1"/>
    <x v="1"/>
    <d v="2023-10-07T00:00:00"/>
    <x v="2"/>
    <n v="22499.651002867722"/>
    <n v="1889970.6842408886"/>
    <n v="599425.68424088857"/>
    <n v="2"/>
  </r>
  <r>
    <s v="L0541"/>
    <s v="Sahil Gupta"/>
    <n v="33"/>
    <s v="F"/>
    <x v="0"/>
    <n v="1286985"/>
    <n v="267961"/>
    <n v="14.25"/>
    <n v="96"/>
    <n v="603"/>
    <x v="1"/>
    <x v="1"/>
    <d v="2021-02-17T00:00:00"/>
    <x v="0"/>
    <n v="4693.0900210421478"/>
    <n v="450536.64202004619"/>
    <n v="182575.64202004619"/>
    <n v="4"/>
  </r>
  <r>
    <s v="L0542"/>
    <s v="Aarav Patel"/>
    <n v="27"/>
    <s v="M"/>
    <x v="0"/>
    <n v="1924743"/>
    <n v="1080016"/>
    <n v="13.81"/>
    <n v="60"/>
    <n v="838"/>
    <x v="1"/>
    <x v="0"/>
    <d v="2021-03-16T00:00:00"/>
    <x v="0"/>
    <n v="25023.825120134876"/>
    <n v="1501429.5072080926"/>
    <n v="421413.5072080926"/>
    <n v="4"/>
  </r>
  <r>
    <s v="L0543"/>
    <s v="Isha Verma"/>
    <n v="31"/>
    <s v="F"/>
    <x v="2"/>
    <n v="1497200"/>
    <n v="755827"/>
    <n v="14.65"/>
    <n v="120"/>
    <n v="809"/>
    <x v="3"/>
    <x v="1"/>
    <d v="2018-08-18T00:00:00"/>
    <x v="1"/>
    <n v="12032.640179968814"/>
    <n v="1443916.8215962576"/>
    <n v="688089.82159625762"/>
    <n v="7"/>
  </r>
  <r>
    <s v="L0544"/>
    <s v="Mohit Jain"/>
    <n v="48"/>
    <s v="F"/>
    <x v="1"/>
    <n v="708864"/>
    <n v="1855830"/>
    <n v="13.1"/>
    <n v="96"/>
    <n v="705"/>
    <x v="0"/>
    <x v="1"/>
    <d v="2020-04-26T00:00:00"/>
    <x v="3"/>
    <n v="31295.306715817227"/>
    <n v="3004349.444718454"/>
    <n v="1148519.444718454"/>
    <n v="5"/>
  </r>
  <r>
    <s v="L0545"/>
    <s v="Rohit Khanna"/>
    <n v="28"/>
    <s v="M"/>
    <x v="0"/>
    <n v="1966476"/>
    <n v="1573366"/>
    <n v="9.33"/>
    <n v="36"/>
    <n v="765"/>
    <x v="0"/>
    <x v="1"/>
    <d v="2024-04-20T00:00:00"/>
    <x v="2"/>
    <n v="50274.615575667747"/>
    <n v="1809886.160724039"/>
    <n v="236520.16072403896"/>
    <n v="1"/>
  </r>
  <r>
    <s v="L0546"/>
    <s v="Vikram Das"/>
    <n v="43"/>
    <s v="M"/>
    <x v="0"/>
    <n v="684353"/>
    <n v="914725"/>
    <n v="8.41"/>
    <n v="60"/>
    <n v="608"/>
    <x v="3"/>
    <x v="1"/>
    <d v="2022-08-20T00:00:00"/>
    <x v="3"/>
    <n v="18727.331438834164"/>
    <n v="1123639.88633005"/>
    <n v="208914.88633004995"/>
    <n v="3"/>
  </r>
  <r>
    <s v="L0547"/>
    <s v="Isha Verma"/>
    <n v="41"/>
    <s v="M"/>
    <x v="0"/>
    <n v="1136388"/>
    <n v="1104693"/>
    <n v="10.11"/>
    <n v="96"/>
    <n v="769"/>
    <x v="0"/>
    <x v="1"/>
    <d v="2023-07-13T00:00:00"/>
    <x v="2"/>
    <n v="16827.160135794547"/>
    <n v="1615407.3730362765"/>
    <n v="510714.37303627655"/>
    <n v="2"/>
  </r>
  <r>
    <s v="L0548"/>
    <s v="Deepika Joshi"/>
    <n v="48"/>
    <s v="F"/>
    <x v="1"/>
    <n v="1852709"/>
    <n v="1650559"/>
    <n v="10.02"/>
    <n v="60"/>
    <n v="621"/>
    <x v="2"/>
    <x v="1"/>
    <d v="2018-11-19T00:00:00"/>
    <x v="3"/>
    <n v="35085.74592653018"/>
    <n v="2105144.7555918107"/>
    <n v="454585.75559181068"/>
    <n v="7"/>
  </r>
  <r>
    <s v="L0549"/>
    <s v="Kiran Menon"/>
    <n v="59"/>
    <s v="M"/>
    <x v="1"/>
    <n v="817559"/>
    <n v="1401290"/>
    <n v="13.81"/>
    <n v="36"/>
    <n v="795"/>
    <x v="1"/>
    <x v="1"/>
    <d v="2022-04-26T00:00:00"/>
    <x v="2"/>
    <n v="47763.559755250324"/>
    <n v="1719488.1511890118"/>
    <n v="318198.15118901175"/>
    <n v="3"/>
  </r>
  <r>
    <s v="L0550"/>
    <s v="Deepika Joshi"/>
    <n v="41"/>
    <s v="M"/>
    <x v="0"/>
    <n v="1827755"/>
    <n v="1185869"/>
    <n v="10.84"/>
    <n v="60"/>
    <n v="696"/>
    <x v="0"/>
    <x v="1"/>
    <d v="2019-10-01T00:00:00"/>
    <x v="2"/>
    <n v="25689.141894910543"/>
    <n v="1541348.5136946326"/>
    <n v="355479.51369463257"/>
    <n v="6"/>
  </r>
  <r>
    <s v="L0551"/>
    <s v="Raj Kumar"/>
    <n v="43"/>
    <s v="F"/>
    <x v="1"/>
    <n v="1417387"/>
    <n v="940555"/>
    <n v="10.1"/>
    <n v="84"/>
    <n v="813"/>
    <x v="0"/>
    <x v="1"/>
    <d v="2020-04-02T00:00:00"/>
    <x v="3"/>
    <n v="15662.967706868141"/>
    <n v="1315689.287376924"/>
    <n v="375134.28737692395"/>
    <n v="5"/>
  </r>
  <r>
    <s v="L0552"/>
    <s v="Tanya Rao"/>
    <n v="57"/>
    <s v="F"/>
    <x v="2"/>
    <n v="1100317"/>
    <n v="1160846"/>
    <n v="13.67"/>
    <n v="120"/>
    <n v="689"/>
    <x v="0"/>
    <x v="1"/>
    <d v="2023-03-23T00:00:00"/>
    <x v="1"/>
    <n v="17794.426021588002"/>
    <n v="2135331.1225905605"/>
    <n v="974485.12259056047"/>
    <n v="2"/>
  </r>
  <r>
    <s v="L0553"/>
    <s v="Isha Verma"/>
    <n v="36"/>
    <s v="F"/>
    <x v="2"/>
    <n v="1696873"/>
    <n v="850956"/>
    <n v="10.65"/>
    <n v="72"/>
    <n v="801"/>
    <x v="2"/>
    <x v="0"/>
    <d v="2023-12-22T00:00:00"/>
    <x v="3"/>
    <n v="16045.026837981111"/>
    <n v="1155241.9323346401"/>
    <n v="304285.93233464006"/>
    <n v="2"/>
  </r>
  <r>
    <s v="L0554"/>
    <s v="Meena George"/>
    <n v="42"/>
    <s v="F"/>
    <x v="0"/>
    <n v="677323"/>
    <n v="1575607"/>
    <n v="11.37"/>
    <n v="96"/>
    <n v="602"/>
    <x v="2"/>
    <x v="1"/>
    <d v="2021-11-19T00:00:00"/>
    <x v="1"/>
    <n v="25065.83407770349"/>
    <n v="2406320.071459535"/>
    <n v="830713.07145953504"/>
    <n v="4"/>
  </r>
  <r>
    <s v="L0555"/>
    <s v="Deepika Joshi"/>
    <n v="59"/>
    <s v="M"/>
    <x v="0"/>
    <n v="409655"/>
    <n v="619137"/>
    <n v="14.68"/>
    <n v="96"/>
    <n v="756"/>
    <x v="2"/>
    <x v="1"/>
    <d v="2019-09-23T00:00:00"/>
    <x v="0"/>
    <n v="10996.316455152912"/>
    <n v="1055646.3796946795"/>
    <n v="436509.37969467952"/>
    <n v="6"/>
  </r>
  <r>
    <s v="L0556"/>
    <s v="Priya Singh"/>
    <n v="33"/>
    <s v="F"/>
    <x v="0"/>
    <n v="1828497"/>
    <n v="815527"/>
    <n v="10.42"/>
    <n v="96"/>
    <n v="805"/>
    <x v="0"/>
    <x v="1"/>
    <d v="2019-12-23T00:00:00"/>
    <x v="1"/>
    <n v="12556.920024773653"/>
    <n v="1205464.3223782708"/>
    <n v="389937.32237827079"/>
    <n v="6"/>
  </r>
  <r>
    <s v="L0557"/>
    <s v="Mohit Jain"/>
    <n v="52"/>
    <s v="F"/>
    <x v="0"/>
    <n v="450978"/>
    <n v="805319"/>
    <n v="12.98"/>
    <n v="120"/>
    <n v="717"/>
    <x v="0"/>
    <x v="1"/>
    <d v="2021-09-01T00:00:00"/>
    <x v="3"/>
    <n v="12014.779508608981"/>
    <n v="1441773.5410330778"/>
    <n v="636454.54103307775"/>
    <n v="4"/>
  </r>
  <r>
    <s v="L0558"/>
    <s v="Rina Kapoor"/>
    <n v="43"/>
    <s v="M"/>
    <x v="1"/>
    <n v="1402375"/>
    <n v="827916"/>
    <n v="7.64"/>
    <n v="72"/>
    <n v="691"/>
    <x v="3"/>
    <x v="1"/>
    <d v="2018-02-26T00:00:00"/>
    <x v="1"/>
    <n v="14370.953213285529"/>
    <n v="1034708.6313565581"/>
    <n v="206792.63135655806"/>
    <n v="7"/>
  </r>
  <r>
    <s v="L0559"/>
    <s v="Vikram Das"/>
    <n v="36"/>
    <s v="F"/>
    <x v="2"/>
    <n v="1826589"/>
    <n v="1961682"/>
    <n v="12.11"/>
    <n v="36"/>
    <n v="681"/>
    <x v="2"/>
    <x v="1"/>
    <d v="2020-06-26T00:00:00"/>
    <x v="1"/>
    <n v="65259.024935977781"/>
    <n v="2349324.8976952001"/>
    <n v="387642.89769520005"/>
    <n v="5"/>
  </r>
  <r>
    <s v="L0560"/>
    <s v="Priya Singh"/>
    <n v="43"/>
    <s v="F"/>
    <x v="2"/>
    <n v="1919613"/>
    <n v="230448"/>
    <n v="11.27"/>
    <n v="120"/>
    <n v="723"/>
    <x v="0"/>
    <x v="1"/>
    <d v="2021-10-03T00:00:00"/>
    <x v="3"/>
    <n v="3209.7440128888838"/>
    <n v="385169.28154666605"/>
    <n v="154721.28154666605"/>
    <n v="4"/>
  </r>
  <r>
    <s v="L0561"/>
    <s v="Arjun Mehta"/>
    <n v="44"/>
    <s v="F"/>
    <x v="2"/>
    <n v="919530"/>
    <n v="287107"/>
    <n v="10.49"/>
    <n v="60"/>
    <n v="737"/>
    <x v="0"/>
    <x v="1"/>
    <d v="2022-03-18T00:00:00"/>
    <x v="0"/>
    <n v="6169.6270805339091"/>
    <n v="370177.62483203452"/>
    <n v="83070.624832034518"/>
    <n v="3"/>
  </r>
  <r>
    <s v="L0562"/>
    <s v="Isha Verma"/>
    <n v="58"/>
    <s v="M"/>
    <x v="0"/>
    <n v="896440"/>
    <n v="1268125"/>
    <n v="10.23"/>
    <n v="72"/>
    <n v="617"/>
    <x v="0"/>
    <x v="1"/>
    <d v="2022-05-31T00:00:00"/>
    <x v="0"/>
    <n v="23640.427488583515"/>
    <n v="1702110.7791780131"/>
    <n v="433985.77917801309"/>
    <n v="3"/>
  </r>
  <r>
    <s v="L0563"/>
    <s v="Sahil Gupta"/>
    <n v="47"/>
    <s v="F"/>
    <x v="1"/>
    <n v="1373837"/>
    <n v="813669"/>
    <n v="11.44"/>
    <n v="96"/>
    <n v="670"/>
    <x v="2"/>
    <x v="1"/>
    <d v="2018-03-30T00:00:00"/>
    <x v="0"/>
    <n v="12975.357102887823"/>
    <n v="1245634.2818772311"/>
    <n v="431965.28187723109"/>
    <n v="7"/>
  </r>
  <r>
    <s v="L0564"/>
    <s v="Tanya Rao"/>
    <n v="31"/>
    <s v="M"/>
    <x v="2"/>
    <n v="1077781"/>
    <n v="766453"/>
    <n v="8.23"/>
    <n v="36"/>
    <n v="820"/>
    <x v="2"/>
    <x v="1"/>
    <d v="2019-03-09T00:00:00"/>
    <x v="3"/>
    <n v="24099.257763632984"/>
    <n v="867573.27949078742"/>
    <n v="101120.27949078742"/>
    <n v="6"/>
  </r>
  <r>
    <s v="L0565"/>
    <s v="Mohit Jain"/>
    <n v="38"/>
    <s v="M"/>
    <x v="1"/>
    <n v="1062346"/>
    <n v="1300028"/>
    <n v="9.41"/>
    <n v="36"/>
    <n v="733"/>
    <x v="2"/>
    <x v="1"/>
    <d v="2021-05-25T00:00:00"/>
    <x v="0"/>
    <n v="41589.059660374704"/>
    <n v="1497206.1477734894"/>
    <n v="197178.14777348936"/>
    <n v="4"/>
  </r>
  <r>
    <s v="L0566"/>
    <s v="Neha Sharma"/>
    <n v="59"/>
    <s v="M"/>
    <x v="0"/>
    <n v="1574081"/>
    <n v="282217"/>
    <n v="10.41"/>
    <n v="48"/>
    <n v="641"/>
    <x v="3"/>
    <x v="0"/>
    <d v="2023-08-26T00:00:00"/>
    <x v="1"/>
    <n v="7213.4487265862736"/>
    <n v="346245.53887614113"/>
    <n v="64028.53887614113"/>
    <n v="2"/>
  </r>
  <r>
    <s v="L0567"/>
    <s v="Rohit Khanna"/>
    <n v="45"/>
    <s v="M"/>
    <x v="0"/>
    <n v="968174"/>
    <n v="209122"/>
    <n v="14.27"/>
    <n v="60"/>
    <n v="782"/>
    <x v="1"/>
    <x v="1"/>
    <d v="2023-02-21T00:00:00"/>
    <x v="0"/>
    <n v="4895.2251679683495"/>
    <n v="293713.51007810095"/>
    <n v="84591.510078100953"/>
    <n v="2"/>
  </r>
  <r>
    <s v="L0568"/>
    <s v="Sneha Pillai"/>
    <n v="56"/>
    <s v="F"/>
    <x v="2"/>
    <n v="1275864"/>
    <n v="378351"/>
    <n v="8.0399999999999991"/>
    <n v="60"/>
    <n v="749"/>
    <x v="3"/>
    <x v="1"/>
    <d v="2019-09-22T00:00:00"/>
    <x v="0"/>
    <n v="7678.8390153859682"/>
    <n v="460730.3409231581"/>
    <n v="82379.340923158103"/>
    <n v="6"/>
  </r>
  <r>
    <s v="L0569"/>
    <s v="Sahil Gupta"/>
    <n v="41"/>
    <s v="F"/>
    <x v="1"/>
    <n v="1582421"/>
    <n v="286543"/>
    <n v="12.54"/>
    <n v="36"/>
    <n v="792"/>
    <x v="3"/>
    <x v="1"/>
    <d v="2024-03-15T00:00:00"/>
    <x v="0"/>
    <n v="9591.4006914444672"/>
    <n v="345290.4248920008"/>
    <n v="58747.424892000796"/>
    <n v="1"/>
  </r>
  <r>
    <s v="L0570"/>
    <s v="Sneha Pillai"/>
    <n v="32"/>
    <s v="F"/>
    <x v="0"/>
    <n v="1463439"/>
    <n v="1312851"/>
    <n v="9.6300000000000008"/>
    <n v="72"/>
    <n v="635"/>
    <x v="0"/>
    <x v="0"/>
    <d v="2019-09-08T00:00:00"/>
    <x v="0"/>
    <n v="24077.421602775274"/>
    <n v="1733574.3553998198"/>
    <n v="420723.35539981979"/>
    <n v="6"/>
  </r>
  <r>
    <s v="L0571"/>
    <s v="Mohit Jain"/>
    <n v="29"/>
    <s v="M"/>
    <x v="1"/>
    <n v="1563551"/>
    <n v="546903"/>
    <n v="10.29"/>
    <n v="84"/>
    <n v="680"/>
    <x v="1"/>
    <x v="1"/>
    <d v="2022-02-07T00:00:00"/>
    <x v="3"/>
    <n v="9161.3963760055885"/>
    <n v="769557.29558446945"/>
    <n v="222654.29558446945"/>
    <n v="3"/>
  </r>
  <r>
    <s v="L0572"/>
    <s v="Rohit Khanna"/>
    <n v="37"/>
    <s v="F"/>
    <x v="2"/>
    <n v="1088910"/>
    <n v="1406059"/>
    <n v="14.91"/>
    <n v="96"/>
    <n v="629"/>
    <x v="3"/>
    <x v="1"/>
    <d v="2021-10-17T00:00:00"/>
    <x v="3"/>
    <n v="25159.124238100096"/>
    <n v="2415275.9268576093"/>
    <n v="1009216.9268576093"/>
    <n v="4"/>
  </r>
  <r>
    <s v="L0573"/>
    <s v="Tanya Rao"/>
    <n v="25"/>
    <s v="M"/>
    <x v="1"/>
    <n v="1585909"/>
    <n v="556614"/>
    <n v="10.33"/>
    <n v="48"/>
    <n v="629"/>
    <x v="2"/>
    <x v="0"/>
    <d v="2018-12-24T00:00:00"/>
    <x v="0"/>
    <n v="14205.545033289678"/>
    <n v="681866.16159790452"/>
    <n v="125252.16159790452"/>
    <n v="7"/>
  </r>
  <r>
    <s v="L0574"/>
    <s v="Isha Verma"/>
    <n v="57"/>
    <s v="M"/>
    <x v="2"/>
    <n v="544554"/>
    <n v="1786855"/>
    <n v="8.58"/>
    <n v="96"/>
    <n v="761"/>
    <x v="0"/>
    <x v="1"/>
    <d v="2020-04-27T00:00:00"/>
    <x v="0"/>
    <n v="25790.115130570437"/>
    <n v="2475851.0525347618"/>
    <n v="688996.05253476184"/>
    <n v="5"/>
  </r>
  <r>
    <s v="L0575"/>
    <s v="Rina Kapoor"/>
    <n v="35"/>
    <s v="F"/>
    <x v="1"/>
    <n v="852146"/>
    <n v="926482"/>
    <n v="8.86"/>
    <n v="60"/>
    <n v="662"/>
    <x v="2"/>
    <x v="1"/>
    <d v="2024-01-25T00:00:00"/>
    <x v="2"/>
    <n v="19169.352441917908"/>
    <n v="1150161.1465150744"/>
    <n v="223679.14651507442"/>
    <n v="1"/>
  </r>
  <r>
    <s v="L0576"/>
    <s v="Rohan Nair"/>
    <n v="44"/>
    <s v="M"/>
    <x v="2"/>
    <n v="837783"/>
    <n v="1694695"/>
    <n v="8.3000000000000007"/>
    <n v="60"/>
    <n v="665"/>
    <x v="0"/>
    <x v="1"/>
    <d v="2022-06-03T00:00:00"/>
    <x v="0"/>
    <n v="34606.135963137101"/>
    <n v="2076368.1577882261"/>
    <n v="381673.15778822615"/>
    <n v="3"/>
  </r>
  <r>
    <s v="L0577"/>
    <s v="Aditya Sharma"/>
    <n v="44"/>
    <s v="M"/>
    <x v="1"/>
    <n v="1068786"/>
    <n v="1530668"/>
    <n v="9.9"/>
    <n v="120"/>
    <n v="625"/>
    <x v="0"/>
    <x v="1"/>
    <d v="2019-06-14T00:00:00"/>
    <x v="1"/>
    <n v="20143.224182757756"/>
    <n v="2417186.9019309306"/>
    <n v="886518.90193093056"/>
    <n v="6"/>
  </r>
  <r>
    <s v="L0578"/>
    <s v="Vikram Das"/>
    <n v="33"/>
    <s v="F"/>
    <x v="1"/>
    <n v="466822"/>
    <n v="388036"/>
    <n v="9.2200000000000006"/>
    <n v="48"/>
    <n v="651"/>
    <x v="3"/>
    <x v="1"/>
    <d v="2019-12-05T00:00:00"/>
    <x v="3"/>
    <n v="9696.8788054686447"/>
    <n v="465450.18266249495"/>
    <n v="77414.182662494946"/>
    <n v="6"/>
  </r>
  <r>
    <s v="L0579"/>
    <s v="Rohan Nair"/>
    <n v="40"/>
    <s v="F"/>
    <x v="0"/>
    <n v="1695820"/>
    <n v="350238"/>
    <n v="12.41"/>
    <n v="96"/>
    <n v="641"/>
    <x v="2"/>
    <x v="0"/>
    <d v="2020-02-05T00:00:00"/>
    <x v="0"/>
    <n v="5771.5548350956951"/>
    <n v="554069.2641691867"/>
    <n v="203831.2641691867"/>
    <n v="5"/>
  </r>
  <r>
    <s v="L0580"/>
    <s v="Raj Kumar"/>
    <n v="43"/>
    <s v="M"/>
    <x v="0"/>
    <n v="1382704"/>
    <n v="1297152"/>
    <n v="12.49"/>
    <n v="120"/>
    <n v="619"/>
    <x v="2"/>
    <x v="1"/>
    <d v="2018-07-10T00:00:00"/>
    <x v="3"/>
    <n v="18979.639499270379"/>
    <n v="2277556.7399124457"/>
    <n v="980404.73991244566"/>
    <n v="7"/>
  </r>
  <r>
    <s v="L0581"/>
    <s v="Sahil Gupta"/>
    <n v="44"/>
    <s v="M"/>
    <x v="2"/>
    <n v="853719"/>
    <n v="312665"/>
    <n v="10.199999999999999"/>
    <n v="120"/>
    <n v="767"/>
    <x v="1"/>
    <x v="1"/>
    <d v="2018-07-10T00:00:00"/>
    <x v="3"/>
    <n v="4166.5965889852405"/>
    <n v="499991.59067822888"/>
    <n v="187326.59067822888"/>
    <n v="7"/>
  </r>
  <r>
    <s v="L0582"/>
    <s v="Priya Singh"/>
    <n v="59"/>
    <s v="F"/>
    <x v="2"/>
    <n v="1748967"/>
    <n v="372501"/>
    <n v="11.08"/>
    <n v="36"/>
    <n v="847"/>
    <x v="0"/>
    <x v="1"/>
    <d v="2022-11-10T00:00:00"/>
    <x v="2"/>
    <n v="12209.321936514651"/>
    <n v="439535.58971452742"/>
    <n v="67034.589714527421"/>
    <n v="3"/>
  </r>
  <r>
    <s v="L0583"/>
    <s v="Arjun Mehta"/>
    <n v="38"/>
    <s v="M"/>
    <x v="0"/>
    <n v="462515"/>
    <n v="1592866"/>
    <n v="14.35"/>
    <n v="36"/>
    <n v="693"/>
    <x v="1"/>
    <x v="1"/>
    <d v="2020-06-24T00:00:00"/>
    <x v="1"/>
    <n v="54711.55062622363"/>
    <n v="1969615.8225440506"/>
    <n v="376749.82254405064"/>
    <n v="5"/>
  </r>
  <r>
    <s v="L0584"/>
    <s v="Vikram Das"/>
    <n v="42"/>
    <s v="M"/>
    <x v="2"/>
    <n v="1675948"/>
    <n v="1074246"/>
    <n v="14.79"/>
    <n v="96"/>
    <n v="729"/>
    <x v="2"/>
    <x v="1"/>
    <d v="2020-10-03T00:00:00"/>
    <x v="2"/>
    <n v="19147.460768555953"/>
    <n v="1838156.2337813715"/>
    <n v="763910.2337813715"/>
    <n v="5"/>
  </r>
  <r>
    <s v="L0585"/>
    <s v="Vikram Das"/>
    <n v="36"/>
    <s v="M"/>
    <x v="2"/>
    <n v="1243579"/>
    <n v="865028"/>
    <n v="9.1999999999999993"/>
    <n v="120"/>
    <n v="740"/>
    <x v="3"/>
    <x v="1"/>
    <d v="2022-08-07T00:00:00"/>
    <x v="3"/>
    <n v="11051.658291239466"/>
    <n v="1326198.9949487359"/>
    <n v="461170.99494873593"/>
    <n v="3"/>
  </r>
  <r>
    <s v="L0586"/>
    <s v="Raj Kumar"/>
    <n v="57"/>
    <s v="M"/>
    <x v="1"/>
    <n v="1523038"/>
    <n v="560284"/>
    <n v="10.66"/>
    <n v="84"/>
    <n v="749"/>
    <x v="2"/>
    <x v="1"/>
    <d v="2019-02-20T00:00:00"/>
    <x v="3"/>
    <n v="9493.5588792151666"/>
    <n v="797458.94585407397"/>
    <n v="237174.94585407397"/>
    <n v="6"/>
  </r>
  <r>
    <s v="L0587"/>
    <s v="Vikram Das"/>
    <n v="31"/>
    <s v="F"/>
    <x v="2"/>
    <n v="1684853"/>
    <n v="797609"/>
    <n v="8.2200000000000006"/>
    <n v="48"/>
    <n v="822"/>
    <x v="2"/>
    <x v="1"/>
    <d v="2024-04-03T00:00:00"/>
    <x v="1"/>
    <n v="19554.439483996059"/>
    <n v="938613.09523181082"/>
    <n v="141004.09523181082"/>
    <n v="1"/>
  </r>
  <r>
    <s v="L0588"/>
    <s v="Aditya Sharma"/>
    <n v="49"/>
    <s v="M"/>
    <x v="0"/>
    <n v="1073994"/>
    <n v="333117"/>
    <n v="12.3"/>
    <n v="72"/>
    <n v="603"/>
    <x v="1"/>
    <x v="1"/>
    <d v="2022-11-02T00:00:00"/>
    <x v="1"/>
    <n v="6564.5870972890316"/>
    <n v="472650.27100481029"/>
    <n v="139533.27100481029"/>
    <n v="3"/>
  </r>
  <r>
    <s v="L0589"/>
    <s v="Priya Singh"/>
    <n v="35"/>
    <s v="F"/>
    <x v="0"/>
    <n v="1532742"/>
    <n v="632542"/>
    <n v="13.97"/>
    <n v="120"/>
    <n v="845"/>
    <x v="2"/>
    <x v="0"/>
    <d v="2023-09-26T00:00:00"/>
    <x v="0"/>
    <n v="9809.8476233419133"/>
    <n v="1177181.7148010295"/>
    <n v="544639.71480102954"/>
    <n v="2"/>
  </r>
  <r>
    <s v="L0590"/>
    <s v="Deepika Joshi"/>
    <n v="34"/>
    <s v="M"/>
    <x v="2"/>
    <n v="1966683"/>
    <n v="390499"/>
    <n v="9.11"/>
    <n v="48"/>
    <n v="836"/>
    <x v="3"/>
    <x v="1"/>
    <d v="2021-04-06T00:00:00"/>
    <x v="1"/>
    <n v="9737.9934199423224"/>
    <n v="467423.68415723147"/>
    <n v="76924.684157231473"/>
    <n v="4"/>
  </r>
  <r>
    <s v="L0591"/>
    <s v="Kiran Menon"/>
    <n v="34"/>
    <s v="M"/>
    <x v="0"/>
    <n v="1934440"/>
    <n v="519852"/>
    <n v="7.92"/>
    <n v="120"/>
    <n v="842"/>
    <x v="1"/>
    <x v="1"/>
    <d v="2024-05-21T00:00:00"/>
    <x v="2"/>
    <n v="6285.2855129886257"/>
    <n v="754234.26155863504"/>
    <n v="234382.26155863504"/>
    <n v="1"/>
  </r>
  <r>
    <s v="L0592"/>
    <s v="Rina Kapoor"/>
    <n v="28"/>
    <s v="F"/>
    <x v="0"/>
    <n v="1835876"/>
    <n v="454872"/>
    <n v="14.61"/>
    <n v="96"/>
    <n v="717"/>
    <x v="0"/>
    <x v="0"/>
    <d v="2021-06-22T00:00:00"/>
    <x v="2"/>
    <n v="8060.5343654867411"/>
    <n v="773811.2990867272"/>
    <n v="318939.2990867272"/>
    <n v="4"/>
  </r>
  <r>
    <s v="L0593"/>
    <s v="Isha Verma"/>
    <n v="26"/>
    <s v="F"/>
    <x v="1"/>
    <n v="987146"/>
    <n v="411207"/>
    <n v="9.7100000000000009"/>
    <n v="60"/>
    <n v="791"/>
    <x v="0"/>
    <x v="0"/>
    <d v="2018-02-14T00:00:00"/>
    <x v="1"/>
    <n v="8678.3733681498506"/>
    <n v="520702.40208899102"/>
    <n v="109495.40208899102"/>
    <n v="7"/>
  </r>
  <r>
    <s v="L0594"/>
    <s v="Aditya Sharma"/>
    <n v="57"/>
    <s v="F"/>
    <x v="1"/>
    <n v="1899022"/>
    <n v="1895464"/>
    <n v="11.29"/>
    <n v="72"/>
    <n v="689"/>
    <x v="1"/>
    <x v="1"/>
    <d v="2018-02-14T00:00:00"/>
    <x v="0"/>
    <n v="36360.580926456561"/>
    <n v="2617961.8267048723"/>
    <n v="722497.82670487231"/>
    <n v="7"/>
  </r>
  <r>
    <s v="L0595"/>
    <s v="Isha Verma"/>
    <n v="38"/>
    <s v="F"/>
    <x v="2"/>
    <n v="1033654"/>
    <n v="1372089"/>
    <n v="10.8"/>
    <n v="84"/>
    <n v="848"/>
    <x v="2"/>
    <x v="1"/>
    <d v="2018-07-10T00:00:00"/>
    <x v="0"/>
    <n v="23349.468366130466"/>
    <n v="1961355.3427549591"/>
    <n v="589266.34275495913"/>
    <n v="7"/>
  </r>
  <r>
    <s v="L0596"/>
    <s v="Aarav Patel"/>
    <n v="45"/>
    <s v="F"/>
    <x v="2"/>
    <n v="1167675"/>
    <n v="1528301"/>
    <n v="10.6"/>
    <n v="96"/>
    <n v="705"/>
    <x v="1"/>
    <x v="1"/>
    <d v="2020-11-27T00:00:00"/>
    <x v="0"/>
    <n v="23678.722517670736"/>
    <n v="2273157.3616963904"/>
    <n v="744856.36169639044"/>
    <n v="5"/>
  </r>
  <r>
    <s v="L0597"/>
    <s v="Rohit Khanna"/>
    <n v="57"/>
    <s v="F"/>
    <x v="2"/>
    <n v="1956980"/>
    <n v="1831783"/>
    <n v="10.220000000000001"/>
    <n v="96"/>
    <n v="844"/>
    <x v="2"/>
    <x v="1"/>
    <d v="2020-02-24T00:00:00"/>
    <x v="2"/>
    <n v="28009.469245892938"/>
    <n v="2688909.0476057222"/>
    <n v="857126.04760572221"/>
    <n v="5"/>
  </r>
  <r>
    <s v="L0598"/>
    <s v="Arjun Mehta"/>
    <n v="35"/>
    <s v="M"/>
    <x v="2"/>
    <n v="1884944"/>
    <n v="1251999"/>
    <n v="12.03"/>
    <n v="36"/>
    <n v="679"/>
    <x v="3"/>
    <x v="0"/>
    <d v="2018-04-06T00:00:00"/>
    <x v="2"/>
    <n v="41602.224334827311"/>
    <n v="1497680.0760537833"/>
    <n v="245681.0760537833"/>
    <n v="7"/>
  </r>
  <r>
    <s v="L0599"/>
    <s v="Aarav Patel"/>
    <n v="31"/>
    <s v="M"/>
    <x v="0"/>
    <n v="1670942"/>
    <n v="459036"/>
    <n v="7.72"/>
    <n v="84"/>
    <n v="846"/>
    <x v="3"/>
    <x v="1"/>
    <d v="2021-08-05T00:00:00"/>
    <x v="0"/>
    <n v="7090.7661766142783"/>
    <n v="595624.35883559939"/>
    <n v="136588.35883559939"/>
    <n v="4"/>
  </r>
  <r>
    <s v="L0600"/>
    <s v="Mohit Jain"/>
    <n v="46"/>
    <s v="F"/>
    <x v="0"/>
    <n v="1182187"/>
    <n v="1862340"/>
    <n v="10.02"/>
    <n v="36"/>
    <n v="722"/>
    <x v="3"/>
    <x v="1"/>
    <d v="2018-01-06T00:00:00"/>
    <x v="0"/>
    <n v="60109.962075902418"/>
    <n v="2163958.6347324871"/>
    <n v="301618.63473248715"/>
    <n v="7"/>
  </r>
  <r>
    <s v="L0601"/>
    <s v="Tanya Rao"/>
    <n v="45"/>
    <s v="F"/>
    <x v="0"/>
    <n v="601642"/>
    <n v="1405581"/>
    <n v="9.42"/>
    <n v="36"/>
    <n v="642"/>
    <x v="0"/>
    <x v="1"/>
    <d v="2021-12-28T00:00:00"/>
    <x v="1"/>
    <n v="44972.360216182424"/>
    <n v="1619004.9677825673"/>
    <n v="213423.96778256726"/>
    <n v="4"/>
  </r>
  <r>
    <s v="L0602"/>
    <s v="Arjun Mehta"/>
    <n v="27"/>
    <s v="M"/>
    <x v="2"/>
    <n v="839846"/>
    <n v="1780938"/>
    <n v="8.83"/>
    <n v="48"/>
    <n v="629"/>
    <x v="3"/>
    <x v="0"/>
    <d v="2021-08-27T00:00:00"/>
    <x v="1"/>
    <n v="44175.096582399674"/>
    <n v="2120404.6359551842"/>
    <n v="339466.63595518423"/>
    <n v="4"/>
  </r>
  <r>
    <s v="L0603"/>
    <s v="Raj Kumar"/>
    <n v="39"/>
    <s v="M"/>
    <x v="1"/>
    <n v="1899520"/>
    <n v="1342671"/>
    <n v="14.85"/>
    <n v="96"/>
    <n v="746"/>
    <x v="3"/>
    <x v="1"/>
    <d v="2019-12-08T00:00:00"/>
    <x v="2"/>
    <n v="23978.373383499755"/>
    <n v="2301923.8448159765"/>
    <n v="959252.84481597645"/>
    <n v="6"/>
  </r>
  <r>
    <s v="L0604"/>
    <s v="Mohit Jain"/>
    <n v="55"/>
    <s v="F"/>
    <x v="1"/>
    <n v="1295023"/>
    <n v="1679375"/>
    <n v="11.55"/>
    <n v="96"/>
    <n v="677"/>
    <x v="3"/>
    <x v="1"/>
    <d v="2020-08-31T00:00:00"/>
    <x v="0"/>
    <n v="26881.096505292797"/>
    <n v="2580585.2645081086"/>
    <n v="901210.26450810861"/>
    <n v="5"/>
  </r>
  <r>
    <s v="L0605"/>
    <s v="Kiran Menon"/>
    <n v="29"/>
    <s v="M"/>
    <x v="0"/>
    <n v="1168683"/>
    <n v="1089482"/>
    <n v="7.64"/>
    <n v="72"/>
    <n v="737"/>
    <x v="2"/>
    <x v="1"/>
    <d v="2018-12-28T00:00:00"/>
    <x v="0"/>
    <n v="18911.211824287424"/>
    <n v="1361607.2513486946"/>
    <n v="272125.25134869455"/>
    <n v="7"/>
  </r>
  <r>
    <s v="L0606"/>
    <s v="Raj Kumar"/>
    <n v="33"/>
    <s v="M"/>
    <x v="1"/>
    <n v="1460368"/>
    <n v="1257952"/>
    <n v="11.54"/>
    <n v="60"/>
    <n v="764"/>
    <x v="1"/>
    <x v="1"/>
    <d v="2024-06-18T00:00:00"/>
    <x v="1"/>
    <n v="27690.912108075419"/>
    <n v="1661454.7264845253"/>
    <n v="403502.72648452525"/>
    <n v="1"/>
  </r>
  <r>
    <s v="L0607"/>
    <s v="Rohan Nair"/>
    <n v="28"/>
    <s v="F"/>
    <x v="2"/>
    <n v="1499836"/>
    <n v="1213045"/>
    <n v="12.98"/>
    <n v="120"/>
    <n v="624"/>
    <x v="1"/>
    <x v="1"/>
    <d v="2020-04-26T00:00:00"/>
    <x v="2"/>
    <n v="18097.757794141926"/>
    <n v="2171730.935297031"/>
    <n v="958685.93529703096"/>
    <n v="5"/>
  </r>
  <r>
    <s v="L0608"/>
    <s v="Aditya Sharma"/>
    <n v="46"/>
    <s v="F"/>
    <x v="2"/>
    <n v="830709"/>
    <n v="1172468"/>
    <n v="12.11"/>
    <n v="36"/>
    <n v="630"/>
    <x v="1"/>
    <x v="1"/>
    <d v="2020-04-29T00:00:00"/>
    <x v="1"/>
    <n v="39004.343440290519"/>
    <n v="1404156.3638504588"/>
    <n v="231688.36385045876"/>
    <n v="5"/>
  </r>
  <r>
    <s v="L0609"/>
    <s v="Mohit Jain"/>
    <n v="28"/>
    <s v="M"/>
    <x v="0"/>
    <n v="1423436"/>
    <n v="1746384"/>
    <n v="8.7200000000000006"/>
    <n v="120"/>
    <n v="698"/>
    <x v="1"/>
    <x v="1"/>
    <d v="2021-08-26T00:00:00"/>
    <x v="2"/>
    <n v="21858.68553346266"/>
    <n v="2623042.2640155191"/>
    <n v="876658.26401551906"/>
    <n v="4"/>
  </r>
  <r>
    <s v="L0610"/>
    <s v="Vikram Das"/>
    <n v="33"/>
    <s v="F"/>
    <x v="2"/>
    <n v="1162741"/>
    <n v="420503"/>
    <n v="13.28"/>
    <n v="48"/>
    <n v="623"/>
    <x v="1"/>
    <x v="1"/>
    <d v="2021-01-20T00:00:00"/>
    <x v="2"/>
    <n v="11339.567910401967"/>
    <n v="544299.25969929446"/>
    <n v="123796.25969929446"/>
    <n v="4"/>
  </r>
  <r>
    <s v="L0611"/>
    <s v="Pooja Reddy"/>
    <n v="40"/>
    <s v="F"/>
    <x v="1"/>
    <n v="1682578"/>
    <n v="1162545"/>
    <n v="11.86"/>
    <n v="120"/>
    <n v="633"/>
    <x v="0"/>
    <x v="1"/>
    <d v="2022-01-03T00:00:00"/>
    <x v="1"/>
    <n v="16585.19205606023"/>
    <n v="1990223.0467272275"/>
    <n v="827678.04672722751"/>
    <n v="3"/>
  </r>
  <r>
    <s v="L0612"/>
    <s v="Rina Kapoor"/>
    <n v="38"/>
    <s v="F"/>
    <x v="0"/>
    <n v="1263667"/>
    <n v="1563876"/>
    <n v="9.92"/>
    <n v="60"/>
    <n v="704"/>
    <x v="1"/>
    <x v="1"/>
    <d v="2019-07-08T00:00:00"/>
    <x v="1"/>
    <n v="33166.217513627693"/>
    <n v="1989973.0508176615"/>
    <n v="426097.05081766145"/>
    <n v="6"/>
  </r>
  <r>
    <s v="L0613"/>
    <s v="Priya Singh"/>
    <n v="26"/>
    <s v="F"/>
    <x v="0"/>
    <n v="727567"/>
    <n v="1907590"/>
    <n v="12.35"/>
    <n v="84"/>
    <n v="639"/>
    <x v="0"/>
    <x v="0"/>
    <d v="2020-01-24T00:00:00"/>
    <x v="1"/>
    <n v="34032.26983442693"/>
    <n v="2858710.6660918621"/>
    <n v="951120.66609186213"/>
    <n v="5"/>
  </r>
  <r>
    <s v="L0614"/>
    <s v="Arjun Mehta"/>
    <n v="49"/>
    <s v="F"/>
    <x v="0"/>
    <n v="534280"/>
    <n v="1670734"/>
    <n v="8.24"/>
    <n v="72"/>
    <n v="728"/>
    <x v="0"/>
    <x v="1"/>
    <d v="2019-04-25T00:00:00"/>
    <x v="1"/>
    <n v="29489.555458343799"/>
    <n v="2123247.9930007537"/>
    <n v="452513.99300075369"/>
    <n v="6"/>
  </r>
  <r>
    <s v="L0615"/>
    <s v="Amit Yadav"/>
    <n v="35"/>
    <s v="F"/>
    <x v="1"/>
    <n v="1365441"/>
    <n v="1156662"/>
    <n v="10.84"/>
    <n v="84"/>
    <n v="771"/>
    <x v="1"/>
    <x v="1"/>
    <d v="2022-01-02T00:00:00"/>
    <x v="2"/>
    <n v="19707.699363424756"/>
    <n v="1655446.7465276795"/>
    <n v="498784.7465276795"/>
    <n v="3"/>
  </r>
  <r>
    <s v="L0616"/>
    <s v="Rohan Nair"/>
    <n v="30"/>
    <s v="F"/>
    <x v="1"/>
    <n v="1162005"/>
    <n v="1412662"/>
    <n v="11.82"/>
    <n v="120"/>
    <n v="603"/>
    <x v="1"/>
    <x v="0"/>
    <d v="2019-05-07T00:00:00"/>
    <x v="1"/>
    <n v="20120.8732763056"/>
    <n v="2414504.7931566718"/>
    <n v="1001842.7931566718"/>
    <n v="6"/>
  </r>
  <r>
    <s v="L0617"/>
    <s v="Rohit Khanna"/>
    <n v="52"/>
    <s v="F"/>
    <x v="2"/>
    <n v="467685"/>
    <n v="622842"/>
    <n v="9.0299999999999994"/>
    <n v="96"/>
    <n v="711"/>
    <x v="0"/>
    <x v="1"/>
    <d v="2018-06-12T00:00:00"/>
    <x v="1"/>
    <n v="9134.4580764557795"/>
    <n v="876907.97533975483"/>
    <n v="254065.97533975483"/>
    <n v="7"/>
  </r>
  <r>
    <s v="L0618"/>
    <s v="Aditya Sharma"/>
    <n v="49"/>
    <s v="F"/>
    <x v="1"/>
    <n v="1235928"/>
    <n v="554481"/>
    <n v="14.69"/>
    <n v="84"/>
    <n v="817"/>
    <x v="2"/>
    <x v="0"/>
    <d v="2021-04-16T00:00:00"/>
    <x v="1"/>
    <n v="10603.474399877319"/>
    <n v="890691.84958969476"/>
    <n v="336210.84958969476"/>
    <n v="4"/>
  </r>
  <r>
    <s v="L0619"/>
    <s v="Arjun Mehta"/>
    <n v="29"/>
    <s v="F"/>
    <x v="0"/>
    <n v="644111"/>
    <n v="440057"/>
    <n v="13.46"/>
    <n v="84"/>
    <n v="675"/>
    <x v="3"/>
    <x v="1"/>
    <d v="2019-08-08T00:00:00"/>
    <x v="2"/>
    <n v="8115.9614240906103"/>
    <n v="681740.75962361123"/>
    <n v="241683.75962361123"/>
    <n v="6"/>
  </r>
  <r>
    <s v="L0620"/>
    <s v="Rohan Nair"/>
    <n v="49"/>
    <s v="M"/>
    <x v="1"/>
    <n v="1666129"/>
    <n v="571255"/>
    <n v="13.23"/>
    <n v="60"/>
    <n v="752"/>
    <x v="1"/>
    <x v="1"/>
    <d v="2024-10-23T00:00:00"/>
    <x v="0"/>
    <n v="13065.164838631981"/>
    <n v="783909.89031791885"/>
    <n v="212654.89031791885"/>
    <n v="1"/>
  </r>
  <r>
    <s v="L0621"/>
    <s v="Sahil Gupta"/>
    <n v="27"/>
    <s v="F"/>
    <x v="1"/>
    <n v="1447925"/>
    <n v="518873"/>
    <n v="10.8"/>
    <n v="60"/>
    <n v="765"/>
    <x v="0"/>
    <x v="1"/>
    <d v="2023-11-13T00:00:00"/>
    <x v="1"/>
    <n v="11229.871981343698"/>
    <n v="673792.31888062193"/>
    <n v="154919.31888062193"/>
    <n v="2"/>
  </r>
  <r>
    <s v="L0622"/>
    <s v="Tanya Rao"/>
    <n v="47"/>
    <s v="F"/>
    <x v="2"/>
    <n v="1693750"/>
    <n v="1083714"/>
    <n v="9.16"/>
    <n v="120"/>
    <n v="697"/>
    <x v="1"/>
    <x v="1"/>
    <d v="2021-01-29T00:00:00"/>
    <x v="1"/>
    <n v="13822.047066876083"/>
    <n v="1658645.6480251299"/>
    <n v="574931.64802512992"/>
    <n v="4"/>
  </r>
  <r>
    <s v="L0623"/>
    <s v="Deepika Joshi"/>
    <n v="39"/>
    <s v="M"/>
    <x v="2"/>
    <n v="326923"/>
    <n v="355347"/>
    <n v="12.98"/>
    <n v="84"/>
    <n v="846"/>
    <x v="0"/>
    <x v="1"/>
    <d v="2019-08-29T00:00:00"/>
    <x v="3"/>
    <n v="6460.596472409492"/>
    <n v="542690.10368239728"/>
    <n v="187343.10368239728"/>
    <n v="6"/>
  </r>
  <r>
    <s v="L0624"/>
    <s v="Aarav Patel"/>
    <n v="27"/>
    <s v="M"/>
    <x v="2"/>
    <n v="697644"/>
    <n v="1960285"/>
    <n v="10.62"/>
    <n v="84"/>
    <n v="745"/>
    <x v="3"/>
    <x v="1"/>
    <d v="2021-01-13T00:00:00"/>
    <x v="3"/>
    <n v="33174.470398096455"/>
    <n v="2786655.5134401023"/>
    <n v="826370.51344010234"/>
    <n v="4"/>
  </r>
  <r>
    <s v="L0625"/>
    <s v="Tanya Rao"/>
    <n v="26"/>
    <s v="M"/>
    <x v="2"/>
    <n v="581185"/>
    <n v="1344024"/>
    <n v="13.01"/>
    <n v="84"/>
    <n v="741"/>
    <x v="1"/>
    <x v="1"/>
    <d v="2018-08-04T00:00:00"/>
    <x v="0"/>
    <n v="24457.742852719231"/>
    <n v="2054450.3996284155"/>
    <n v="710426.39962841547"/>
    <n v="7"/>
  </r>
  <r>
    <s v="L0626"/>
    <s v="Raj Kumar"/>
    <n v="25"/>
    <s v="F"/>
    <x v="1"/>
    <n v="1083962"/>
    <n v="205607"/>
    <n v="10.85"/>
    <n v="48"/>
    <n v="812"/>
    <x v="3"/>
    <x v="1"/>
    <d v="2023-01-14T00:00:00"/>
    <x v="1"/>
    <n v="5299.0554549835133"/>
    <n v="254354.66183920862"/>
    <n v="48747.661839208624"/>
    <n v="2"/>
  </r>
  <r>
    <s v="L0627"/>
    <s v="Rohit Khanna"/>
    <n v="28"/>
    <s v="F"/>
    <x v="2"/>
    <n v="1237289"/>
    <n v="423945"/>
    <n v="11.36"/>
    <n v="96"/>
    <n v="719"/>
    <x v="0"/>
    <x v="1"/>
    <d v="2022-02-16T00:00:00"/>
    <x v="3"/>
    <n v="6742.1048168163125"/>
    <n v="647242.06241436605"/>
    <n v="223297.06241436605"/>
    <n v="3"/>
  </r>
  <r>
    <s v="L0628"/>
    <s v="Tanya Rao"/>
    <n v="59"/>
    <s v="M"/>
    <x v="2"/>
    <n v="1783813"/>
    <n v="678095"/>
    <n v="7.64"/>
    <n v="84"/>
    <n v="601"/>
    <x v="1"/>
    <x v="1"/>
    <d v="2020-01-25T00:00:00"/>
    <x v="1"/>
    <n v="10447.723578240155"/>
    <n v="877608.78057217295"/>
    <n v="199513.78057217295"/>
    <n v="5"/>
  </r>
  <r>
    <s v="L0629"/>
    <s v="Neha Sharma"/>
    <n v="33"/>
    <s v="M"/>
    <x v="1"/>
    <n v="1127441"/>
    <n v="835752"/>
    <n v="7.7"/>
    <n v="60"/>
    <n v="708"/>
    <x v="1"/>
    <x v="1"/>
    <d v="2024-08-08T00:00:00"/>
    <x v="1"/>
    <n v="16826.298341869027"/>
    <n v="1009577.9005121416"/>
    <n v="173825.90051214164"/>
    <n v="1"/>
  </r>
  <r>
    <s v="L0630"/>
    <s v="Sahil Gupta"/>
    <n v="37"/>
    <s v="M"/>
    <x v="1"/>
    <n v="763793"/>
    <n v="832598"/>
    <n v="11.05"/>
    <n v="48"/>
    <n v="617"/>
    <x v="2"/>
    <x v="1"/>
    <d v="2018-06-12T00:00:00"/>
    <x v="2"/>
    <n v="21539.152764455808"/>
    <n v="1033879.3326938788"/>
    <n v="201281.33269387879"/>
    <n v="7"/>
  </r>
  <r>
    <s v="L0631"/>
    <s v="Meena George"/>
    <n v="27"/>
    <s v="F"/>
    <x v="0"/>
    <n v="685569"/>
    <n v="1200144"/>
    <n v="13.57"/>
    <n v="60"/>
    <n v="708"/>
    <x v="0"/>
    <x v="0"/>
    <d v="2023-12-09T00:00:00"/>
    <x v="0"/>
    <n v="27658.428134956303"/>
    <n v="1659505.6880973782"/>
    <n v="459361.68809737824"/>
    <n v="2"/>
  </r>
  <r>
    <s v="L0632"/>
    <s v="Amit Yadav"/>
    <n v="59"/>
    <s v="F"/>
    <x v="2"/>
    <n v="1726699"/>
    <n v="333780"/>
    <n v="14.85"/>
    <n v="72"/>
    <n v="677"/>
    <x v="3"/>
    <x v="1"/>
    <d v="2018-01-09T00:00:00"/>
    <x v="0"/>
    <n v="7030.6212838764377"/>
    <n v="506204.73243910354"/>
    <n v="172424.73243910354"/>
    <n v="7"/>
  </r>
  <r>
    <s v="L0633"/>
    <s v="Arjun Mehta"/>
    <n v="55"/>
    <s v="F"/>
    <x v="2"/>
    <n v="519715"/>
    <n v="1358171"/>
    <n v="13.57"/>
    <n v="120"/>
    <n v="637"/>
    <x v="0"/>
    <x v="1"/>
    <d v="2024-06-28T00:00:00"/>
    <x v="3"/>
    <n v="20738.113577388489"/>
    <n v="2488573.6292866189"/>
    <n v="1130402.6292866189"/>
    <n v="1"/>
  </r>
  <r>
    <s v="L0634"/>
    <s v="Rohit Khanna"/>
    <n v="54"/>
    <s v="F"/>
    <x v="2"/>
    <n v="889848"/>
    <n v="1747633"/>
    <n v="10.73"/>
    <n v="48"/>
    <n v="705"/>
    <x v="2"/>
    <x v="1"/>
    <d v="2018-04-05T00:00:00"/>
    <x v="1"/>
    <n v="44939.680767128993"/>
    <n v="2157104.6768221916"/>
    <n v="409471.67682219157"/>
    <n v="7"/>
  </r>
  <r>
    <s v="L0635"/>
    <s v="Kiran Menon"/>
    <n v="28"/>
    <s v="F"/>
    <x v="0"/>
    <n v="658834"/>
    <n v="1580045"/>
    <n v="14.07"/>
    <n v="120"/>
    <n v="674"/>
    <x v="2"/>
    <x v="1"/>
    <d v="2022-07-18T00:00:00"/>
    <x v="3"/>
    <n v="24599.340678868568"/>
    <n v="2951920.881464228"/>
    <n v="1371875.881464228"/>
    <n v="3"/>
  </r>
  <r>
    <s v="L0636"/>
    <s v="Sahil Gupta"/>
    <n v="44"/>
    <s v="F"/>
    <x v="0"/>
    <n v="509734"/>
    <n v="835680"/>
    <n v="10.44"/>
    <n v="84"/>
    <n v="720"/>
    <x v="1"/>
    <x v="0"/>
    <d v="2020-10-27T00:00:00"/>
    <x v="2"/>
    <n v="14064.004796292538"/>
    <n v="1181376.4028885732"/>
    <n v="345696.40288857324"/>
    <n v="5"/>
  </r>
  <r>
    <s v="L0637"/>
    <s v="Raj Kumar"/>
    <n v="41"/>
    <s v="M"/>
    <x v="1"/>
    <n v="1906223"/>
    <n v="1803153"/>
    <n v="8.17"/>
    <n v="84"/>
    <n v="733"/>
    <x v="2"/>
    <x v="1"/>
    <d v="2018-11-06T00:00:00"/>
    <x v="1"/>
    <n v="28257.292481567983"/>
    <n v="2373612.5684517105"/>
    <n v="570459.56845171051"/>
    <n v="7"/>
  </r>
  <r>
    <s v="L0638"/>
    <s v="Sneha Pillai"/>
    <n v="44"/>
    <s v="M"/>
    <x v="2"/>
    <n v="345249"/>
    <n v="526215"/>
    <n v="12.77"/>
    <n v="48"/>
    <n v="744"/>
    <x v="2"/>
    <x v="1"/>
    <d v="2018-06-27T00:00:00"/>
    <x v="1"/>
    <n v="14057.034860598857"/>
    <n v="674737.67330874514"/>
    <n v="148522.67330874514"/>
    <n v="7"/>
  </r>
  <r>
    <s v="L0639"/>
    <s v="Vikram Das"/>
    <n v="51"/>
    <s v="F"/>
    <x v="2"/>
    <n v="390472"/>
    <n v="1755196"/>
    <n v="13.54"/>
    <n v="72"/>
    <n v="622"/>
    <x v="2"/>
    <x v="1"/>
    <d v="2023-04-10T00:00:00"/>
    <x v="1"/>
    <n v="35736.200967919409"/>
    <n v="2573006.4696901976"/>
    <n v="817810.46969019761"/>
    <n v="2"/>
  </r>
  <r>
    <s v="L0640"/>
    <s v="Aarav Patel"/>
    <n v="30"/>
    <s v="M"/>
    <x v="0"/>
    <n v="593989"/>
    <n v="1393772"/>
    <n v="13.89"/>
    <n v="48"/>
    <n v="624"/>
    <x v="3"/>
    <x v="0"/>
    <d v="2020-12-13T00:00:00"/>
    <x v="0"/>
    <n v="38010.014887111043"/>
    <n v="1824480.7145813301"/>
    <n v="430708.71458133007"/>
    <n v="5"/>
  </r>
  <r>
    <s v="L0641"/>
    <s v="Vikram Das"/>
    <n v="34"/>
    <s v="F"/>
    <x v="0"/>
    <n v="1134277"/>
    <n v="1467447"/>
    <n v="8.36"/>
    <n v="48"/>
    <n v="617"/>
    <x v="0"/>
    <x v="0"/>
    <d v="2021-02-11T00:00:00"/>
    <x v="2"/>
    <n v="36073.163211025174"/>
    <n v="1731511.8341292082"/>
    <n v="264064.83412920823"/>
    <n v="4"/>
  </r>
  <r>
    <s v="L0642"/>
    <s v="Rina Kapoor"/>
    <n v="48"/>
    <s v="F"/>
    <x v="2"/>
    <n v="1871891"/>
    <n v="1804899"/>
    <n v="8.59"/>
    <n v="60"/>
    <n v="617"/>
    <x v="1"/>
    <x v="1"/>
    <d v="2021-11-18T00:00:00"/>
    <x v="3"/>
    <n v="37108.606612218078"/>
    <n v="2226516.3967330847"/>
    <n v="421617.39673308469"/>
    <n v="4"/>
  </r>
  <r>
    <s v="L0643"/>
    <s v="Tanya Rao"/>
    <n v="52"/>
    <s v="M"/>
    <x v="0"/>
    <n v="1999544"/>
    <n v="1709333"/>
    <n v="12.12"/>
    <n v="84"/>
    <n v="669"/>
    <x v="1"/>
    <x v="1"/>
    <d v="2020-08-30T00:00:00"/>
    <x v="2"/>
    <n v="30284.203144863106"/>
    <n v="2543873.0641685007"/>
    <n v="834540.06416850071"/>
    <n v="5"/>
  </r>
  <r>
    <s v="L0644"/>
    <s v="Amit Yadav"/>
    <n v="54"/>
    <s v="F"/>
    <x v="1"/>
    <n v="369559"/>
    <n v="1161090"/>
    <n v="12.14"/>
    <n v="84"/>
    <n v="775"/>
    <x v="0"/>
    <x v="1"/>
    <d v="2024-07-23T00:00:00"/>
    <x v="2"/>
    <n v="20583.443385859533"/>
    <n v="1729009.2444122008"/>
    <n v="567919.24441220076"/>
    <n v="1"/>
  </r>
  <r>
    <s v="L0645"/>
    <s v="Aarav Patel"/>
    <n v="48"/>
    <s v="M"/>
    <x v="1"/>
    <n v="1737315"/>
    <n v="1666733"/>
    <n v="11.88"/>
    <n v="36"/>
    <n v="731"/>
    <x v="0"/>
    <x v="1"/>
    <d v="2022-02-23T00:00:00"/>
    <x v="1"/>
    <n v="55263.907096328105"/>
    <n v="1989500.6554678117"/>
    <n v="322767.65546781174"/>
    <n v="3"/>
  </r>
  <r>
    <s v="L0646"/>
    <s v="Rohan Nair"/>
    <n v="57"/>
    <s v="F"/>
    <x v="2"/>
    <n v="1205435"/>
    <n v="378198"/>
    <n v="13.95"/>
    <n v="72"/>
    <n v="679"/>
    <x v="2"/>
    <x v="1"/>
    <d v="2019-07-25T00:00:00"/>
    <x v="3"/>
    <n v="7782.9274252420264"/>
    <n v="560370.77461742586"/>
    <n v="182172.77461742586"/>
    <n v="6"/>
  </r>
  <r>
    <s v="L0647"/>
    <s v="Isha Verma"/>
    <n v="30"/>
    <s v="F"/>
    <x v="2"/>
    <n v="1599495"/>
    <n v="338793"/>
    <n v="12.59"/>
    <n v="96"/>
    <n v="836"/>
    <x v="1"/>
    <x v="1"/>
    <d v="2021-03-30T00:00:00"/>
    <x v="3"/>
    <n v="5616.7633110238758"/>
    <n v="539209.2778582921"/>
    <n v="200416.2778582921"/>
    <n v="4"/>
  </r>
  <r>
    <s v="L0648"/>
    <s v="Isha Verma"/>
    <n v="53"/>
    <s v="M"/>
    <x v="1"/>
    <n v="1943511"/>
    <n v="634230"/>
    <n v="12.29"/>
    <n v="72"/>
    <n v="697"/>
    <x v="2"/>
    <x v="0"/>
    <d v="2024-04-12T00:00:00"/>
    <x v="1"/>
    <n v="12495.173010678274"/>
    <n v="899652.45676883578"/>
    <n v="265422.45676883578"/>
    <n v="1"/>
  </r>
  <r>
    <s v="L0649"/>
    <s v="Arjun Mehta"/>
    <n v="45"/>
    <s v="M"/>
    <x v="2"/>
    <n v="794193"/>
    <n v="450861"/>
    <n v="10.08"/>
    <n v="48"/>
    <n v="651"/>
    <x v="2"/>
    <x v="1"/>
    <d v="2018-12-22T00:00:00"/>
    <x v="3"/>
    <n v="11452.329383082812"/>
    <n v="549711.81038797495"/>
    <n v="98850.810387974954"/>
    <n v="7"/>
  </r>
  <r>
    <s v="L0650"/>
    <s v="Rina Kapoor"/>
    <n v="29"/>
    <s v="F"/>
    <x v="1"/>
    <n v="1776654"/>
    <n v="534170"/>
    <n v="7.92"/>
    <n v="84"/>
    <n v="830"/>
    <x v="1"/>
    <x v="1"/>
    <d v="2018-10-03T00:00:00"/>
    <x v="0"/>
    <n v="8304.4136617485692"/>
    <n v="697570.74758687976"/>
    <n v="163400.74758687976"/>
    <n v="7"/>
  </r>
  <r>
    <s v="L0651"/>
    <s v="Kiran Menon"/>
    <n v="43"/>
    <s v="M"/>
    <x v="1"/>
    <n v="775546"/>
    <n v="962484"/>
    <n v="13.35"/>
    <n v="36"/>
    <n v="824"/>
    <x v="3"/>
    <x v="0"/>
    <d v="2023-08-18T00:00:00"/>
    <x v="1"/>
    <n v="32592.384816075657"/>
    <n v="1173325.8533787236"/>
    <n v="210841.85337872361"/>
    <n v="2"/>
  </r>
  <r>
    <s v="L0652"/>
    <s v="Isha Verma"/>
    <n v="44"/>
    <s v="M"/>
    <x v="0"/>
    <n v="755719"/>
    <n v="1475468"/>
    <n v="14.07"/>
    <n v="36"/>
    <n v="753"/>
    <x v="3"/>
    <x v="1"/>
    <d v="2021-06-10T00:00:00"/>
    <x v="1"/>
    <n v="50478.177037556226"/>
    <n v="1817214.3733520242"/>
    <n v="341746.37335202424"/>
    <n v="4"/>
  </r>
  <r>
    <s v="L0653"/>
    <s v="Priya Singh"/>
    <n v="36"/>
    <s v="F"/>
    <x v="1"/>
    <n v="1971347"/>
    <n v="987678"/>
    <n v="7.65"/>
    <n v="36"/>
    <n v="721"/>
    <x v="1"/>
    <x v="1"/>
    <d v="2018-06-28T00:00:00"/>
    <x v="2"/>
    <n v="30791.014424662466"/>
    <n v="1108476.5192878488"/>
    <n v="120798.51928784885"/>
    <n v="7"/>
  </r>
  <r>
    <s v="L0654"/>
    <s v="Meena George"/>
    <n v="36"/>
    <s v="M"/>
    <x v="1"/>
    <n v="1431702"/>
    <n v="826102"/>
    <n v="13.62"/>
    <n v="120"/>
    <n v="781"/>
    <x v="1"/>
    <x v="1"/>
    <d v="2024-06-24T00:00:00"/>
    <x v="1"/>
    <n v="12638.5188543407"/>
    <n v="1516622.2625208839"/>
    <n v="690520.26252088393"/>
    <n v="1"/>
  </r>
  <r>
    <s v="L0655"/>
    <s v="Neha Sharma"/>
    <n v="30"/>
    <s v="F"/>
    <x v="2"/>
    <n v="1938960"/>
    <n v="468798"/>
    <n v="10.67"/>
    <n v="84"/>
    <n v="813"/>
    <x v="1"/>
    <x v="1"/>
    <d v="2024-09-03T00:00:00"/>
    <x v="1"/>
    <n v="7945.8533299921901"/>
    <n v="667451.67971934401"/>
    <n v="198653.67971934401"/>
    <n v="1"/>
  </r>
  <r>
    <s v="L0656"/>
    <s v="Pooja Reddy"/>
    <n v="32"/>
    <s v="M"/>
    <x v="0"/>
    <n v="1153454"/>
    <n v="983987"/>
    <n v="13.54"/>
    <n v="36"/>
    <n v="751"/>
    <x v="2"/>
    <x v="1"/>
    <d v="2018-01-24T00:00:00"/>
    <x v="1"/>
    <n v="33410.922074734866"/>
    <n v="1202793.1946904552"/>
    <n v="218806.19469045522"/>
    <n v="7"/>
  </r>
  <r>
    <s v="L0657"/>
    <s v="Pooja Reddy"/>
    <n v="39"/>
    <s v="F"/>
    <x v="1"/>
    <n v="853247"/>
    <n v="646857"/>
    <n v="10.52"/>
    <n v="48"/>
    <n v="811"/>
    <x v="0"/>
    <x v="1"/>
    <d v="2024-09-19T00:00:00"/>
    <x v="2"/>
    <n v="16567.973977910679"/>
    <n v="795262.75093971263"/>
    <n v="148405.75093971263"/>
    <n v="1"/>
  </r>
  <r>
    <s v="L0658"/>
    <s v="Priya Singh"/>
    <n v="45"/>
    <s v="M"/>
    <x v="2"/>
    <n v="964831"/>
    <n v="1162545"/>
    <n v="14.05"/>
    <n v="84"/>
    <n v="634"/>
    <x v="2"/>
    <x v="1"/>
    <d v="2021-08-13T00:00:00"/>
    <x v="0"/>
    <n v="21818.229887030851"/>
    <n v="1832731.3105105916"/>
    <n v="670186.3105105916"/>
    <n v="4"/>
  </r>
  <r>
    <s v="L0659"/>
    <s v="Sneha Pillai"/>
    <n v="46"/>
    <s v="F"/>
    <x v="1"/>
    <n v="1646681"/>
    <n v="1021879"/>
    <n v="12.62"/>
    <n v="36"/>
    <n v="737"/>
    <x v="3"/>
    <x v="1"/>
    <d v="2019-02-07T00:00:00"/>
    <x v="2"/>
    <n v="34244.403615634932"/>
    <n v="1232798.5301628576"/>
    <n v="210919.53016285761"/>
    <n v="6"/>
  </r>
  <r>
    <s v="L0660"/>
    <s v="Pooja Reddy"/>
    <n v="43"/>
    <s v="F"/>
    <x v="2"/>
    <n v="1435186"/>
    <n v="908156"/>
    <n v="10.67"/>
    <n v="84"/>
    <n v="763"/>
    <x v="1"/>
    <x v="1"/>
    <d v="2018-10-09T00:00:00"/>
    <x v="3"/>
    <n v="15392.715789641568"/>
    <n v="1292988.1263298918"/>
    <n v="384832.12632989185"/>
    <n v="7"/>
  </r>
  <r>
    <s v="L0661"/>
    <s v="Sneha Pillai"/>
    <n v="44"/>
    <s v="F"/>
    <x v="0"/>
    <n v="380069"/>
    <n v="324240"/>
    <n v="11.76"/>
    <n v="36"/>
    <n v="603"/>
    <x v="1"/>
    <x v="1"/>
    <d v="2019-03-18T00:00:00"/>
    <x v="3"/>
    <n v="10732.278419386757"/>
    <n v="386362.02309792326"/>
    <n v="62122.023097923258"/>
    <n v="6"/>
  </r>
  <r>
    <s v="L0662"/>
    <s v="Isha Verma"/>
    <n v="27"/>
    <s v="M"/>
    <x v="1"/>
    <n v="1686563"/>
    <n v="1847578"/>
    <n v="10.11"/>
    <n v="60"/>
    <n v="791"/>
    <x v="2"/>
    <x v="1"/>
    <d v="2020-01-17T00:00:00"/>
    <x v="3"/>
    <n v="39355.646336605962"/>
    <n v="2361338.7801963575"/>
    <n v="513760.78019635752"/>
    <n v="5"/>
  </r>
  <r>
    <s v="L0663"/>
    <s v="Aarav Patel"/>
    <n v="59"/>
    <s v="F"/>
    <x v="2"/>
    <n v="1337187"/>
    <n v="373076"/>
    <n v="11.91"/>
    <n v="96"/>
    <n v="850"/>
    <x v="0"/>
    <x v="1"/>
    <d v="2020-11-16T00:00:00"/>
    <x v="0"/>
    <n v="6045.1116715431772"/>
    <n v="580330.72046814498"/>
    <n v="207254.72046814498"/>
    <n v="5"/>
  </r>
  <r>
    <s v="L0664"/>
    <s v="Sahil Gupta"/>
    <n v="30"/>
    <s v="M"/>
    <x v="0"/>
    <n v="606239"/>
    <n v="1646723"/>
    <n v="11.53"/>
    <n v="60"/>
    <n v="790"/>
    <x v="3"/>
    <x v="1"/>
    <d v="2018-12-03T00:00:00"/>
    <x v="2"/>
    <n v="36240.538260401292"/>
    <n v="2174432.2956240773"/>
    <n v="527709.29562407732"/>
    <n v="7"/>
  </r>
  <r>
    <s v="L0665"/>
    <s v="Aditya Sharma"/>
    <n v="34"/>
    <s v="F"/>
    <x v="2"/>
    <n v="953567"/>
    <n v="1665527"/>
    <n v="14.13"/>
    <n v="120"/>
    <n v="731"/>
    <x v="3"/>
    <x v="1"/>
    <d v="2023-07-19T00:00:00"/>
    <x v="1"/>
    <n v="25990.387174407642"/>
    <n v="3118846.4609289169"/>
    <n v="1453319.4609289169"/>
    <n v="2"/>
  </r>
  <r>
    <s v="L0666"/>
    <s v="Isha Verma"/>
    <n v="44"/>
    <s v="F"/>
    <x v="2"/>
    <n v="676646"/>
    <n v="941213"/>
    <n v="8.07"/>
    <n v="72"/>
    <n v="663"/>
    <x v="2"/>
    <x v="0"/>
    <d v="2023-10-21T00:00:00"/>
    <x v="1"/>
    <n v="16534.702516876354"/>
    <n v="1190498.5812150976"/>
    <n v="249285.58121509757"/>
    <n v="2"/>
  </r>
  <r>
    <s v="L0667"/>
    <s v="Sahil Gupta"/>
    <n v="55"/>
    <s v="F"/>
    <x v="0"/>
    <n v="1867786"/>
    <n v="908898"/>
    <n v="11.77"/>
    <n v="84"/>
    <n v="815"/>
    <x v="0"/>
    <x v="1"/>
    <d v="2021-01-14T00:00:00"/>
    <x v="3"/>
    <n v="15932.9541419549"/>
    <n v="1338368.1479242116"/>
    <n v="429470.14792421157"/>
    <n v="4"/>
  </r>
  <r>
    <s v="L0668"/>
    <s v="Tanya Rao"/>
    <n v="48"/>
    <s v="M"/>
    <x v="2"/>
    <n v="801876"/>
    <n v="204605"/>
    <n v="9.3699999999999992"/>
    <n v="72"/>
    <n v="740"/>
    <x v="2"/>
    <x v="1"/>
    <d v="2023-05-21T00:00:00"/>
    <x v="2"/>
    <n v="3725.7995127818585"/>
    <n v="268257.56492029381"/>
    <n v="63652.564920293808"/>
    <n v="2"/>
  </r>
  <r>
    <s v="L0669"/>
    <s v="Rohit Khanna"/>
    <n v="52"/>
    <s v="M"/>
    <x v="2"/>
    <n v="1351485"/>
    <n v="1651890"/>
    <n v="13.97"/>
    <n v="36"/>
    <n v="725"/>
    <x v="2"/>
    <x v="1"/>
    <d v="2024-06-14T00:00:00"/>
    <x v="0"/>
    <n v="56433.618580226699"/>
    <n v="2031610.2688881611"/>
    <n v="379720.26888816105"/>
    <n v="1"/>
  </r>
  <r>
    <s v="L0670"/>
    <s v="Meena George"/>
    <n v="39"/>
    <s v="F"/>
    <x v="2"/>
    <n v="516981"/>
    <n v="768439"/>
    <n v="9.91"/>
    <n v="96"/>
    <n v="783"/>
    <x v="0"/>
    <x v="1"/>
    <d v="2024-10-30T00:00:00"/>
    <x v="0"/>
    <n v="11623.856858050112"/>
    <n v="1115890.2583728107"/>
    <n v="347451.25837281067"/>
    <n v="1"/>
  </r>
  <r>
    <s v="L0671"/>
    <s v="Amit Yadav"/>
    <n v="48"/>
    <s v="M"/>
    <x v="0"/>
    <n v="372816"/>
    <n v="1791514"/>
    <n v="8.99"/>
    <n v="96"/>
    <n v="674"/>
    <x v="1"/>
    <x v="0"/>
    <d v="2021-07-13T00:00:00"/>
    <x v="2"/>
    <n v="26236.751469403109"/>
    <n v="2518728.1410626983"/>
    <n v="727214.14106269833"/>
    <n v="4"/>
  </r>
  <r>
    <s v="L0672"/>
    <s v="Raj Kumar"/>
    <n v="37"/>
    <s v="F"/>
    <x v="0"/>
    <n v="990043"/>
    <n v="1591302"/>
    <n v="13.04"/>
    <n v="120"/>
    <n v="841"/>
    <x v="2"/>
    <x v="0"/>
    <d v="2019-10-20T00:00:00"/>
    <x v="1"/>
    <n v="23797.406229738302"/>
    <n v="2855688.7475685962"/>
    <n v="1264386.7475685962"/>
    <n v="6"/>
  </r>
  <r>
    <s v="L0673"/>
    <s v="Priya Singh"/>
    <n v="48"/>
    <s v="F"/>
    <x v="1"/>
    <n v="1273603"/>
    <n v="866246"/>
    <n v="13.96"/>
    <n v="84"/>
    <n v="813"/>
    <x v="2"/>
    <x v="1"/>
    <d v="2024-07-28T00:00:00"/>
    <x v="2"/>
    <n v="16214.324970860698"/>
    <n v="1362003.2975522988"/>
    <n v="495757.29755229875"/>
    <n v="1"/>
  </r>
  <r>
    <s v="L0674"/>
    <s v="Tanya Rao"/>
    <n v="26"/>
    <s v="F"/>
    <x v="1"/>
    <n v="1634599"/>
    <n v="617962"/>
    <n v="7.83"/>
    <n v="36"/>
    <n v="636"/>
    <x v="2"/>
    <x v="1"/>
    <d v="2022-06-13T00:00:00"/>
    <x v="3"/>
    <n v="19316.256408520319"/>
    <n v="695385.23070673156"/>
    <n v="77423.230706731556"/>
    <n v="3"/>
  </r>
  <r>
    <s v="L0675"/>
    <s v="Arjun Mehta"/>
    <n v="56"/>
    <s v="F"/>
    <x v="2"/>
    <n v="778809"/>
    <n v="772021"/>
    <n v="13.51"/>
    <n v="48"/>
    <n v="763"/>
    <x v="2"/>
    <x v="1"/>
    <d v="2018-07-21T00:00:00"/>
    <x v="0"/>
    <n v="20907.342372082272"/>
    <n v="1003552.433859949"/>
    <n v="231531.433859949"/>
    <n v="7"/>
  </r>
  <r>
    <s v="L0676"/>
    <s v="Mohit Jain"/>
    <n v="44"/>
    <s v="M"/>
    <x v="0"/>
    <n v="333499"/>
    <n v="1014268"/>
    <n v="13.36"/>
    <n v="84"/>
    <n v="615"/>
    <x v="3"/>
    <x v="1"/>
    <d v="2023-10-27T00:00:00"/>
    <x v="2"/>
    <n v="18650.614772470453"/>
    <n v="1566651.6408875182"/>
    <n v="552383.64088751818"/>
    <n v="2"/>
  </r>
  <r>
    <s v="L0677"/>
    <s v="Priya Singh"/>
    <n v="27"/>
    <s v="F"/>
    <x v="1"/>
    <n v="1441746"/>
    <n v="1913788"/>
    <n v="13.1"/>
    <n v="48"/>
    <n v="837"/>
    <x v="0"/>
    <x v="1"/>
    <d v="2021-09-18T00:00:00"/>
    <x v="2"/>
    <n v="51437.176740351955"/>
    <n v="2468984.483536894"/>
    <n v="555196.48353689397"/>
    <n v="4"/>
  </r>
  <r>
    <s v="L0678"/>
    <s v="Neha Sharma"/>
    <n v="52"/>
    <s v="F"/>
    <x v="2"/>
    <n v="1766527"/>
    <n v="1670602"/>
    <n v="14.93"/>
    <n v="60"/>
    <n v="678"/>
    <x v="0"/>
    <x v="1"/>
    <d v="2018-10-27T00:00:00"/>
    <x v="2"/>
    <n v="39682.146812679646"/>
    <n v="2380928.808760779"/>
    <n v="710326.80876077898"/>
    <n v="7"/>
  </r>
  <r>
    <s v="L0679"/>
    <s v="Priya Singh"/>
    <n v="33"/>
    <s v="F"/>
    <x v="1"/>
    <n v="1170442"/>
    <n v="1141644"/>
    <n v="12.42"/>
    <n v="72"/>
    <n v="745"/>
    <x v="1"/>
    <x v="1"/>
    <d v="2021-07-11T00:00:00"/>
    <x v="3"/>
    <n v="22569.491620239864"/>
    <n v="1625003.3966572701"/>
    <n v="483359.39665727015"/>
    <n v="4"/>
  </r>
  <r>
    <s v="L0680"/>
    <s v="Arjun Mehta"/>
    <n v="45"/>
    <s v="M"/>
    <x v="1"/>
    <n v="1874375"/>
    <n v="648521"/>
    <n v="11.52"/>
    <n v="96"/>
    <n v="618"/>
    <x v="0"/>
    <x v="1"/>
    <d v="2019-02-24T00:00:00"/>
    <x v="3"/>
    <n v="10370.022176785153"/>
    <n v="995522.12897137459"/>
    <n v="347001.12897137459"/>
    <n v="6"/>
  </r>
  <r>
    <s v="L0681"/>
    <s v="Rina Kapoor"/>
    <n v="36"/>
    <s v="M"/>
    <x v="2"/>
    <n v="1226191"/>
    <n v="1355857"/>
    <n v="10.42"/>
    <n v="36"/>
    <n v="735"/>
    <x v="0"/>
    <x v="0"/>
    <d v="2021-09-17T00:00:00"/>
    <x v="1"/>
    <n v="44017.536970900779"/>
    <n v="1584631.330952428"/>
    <n v="228774.33095242805"/>
    <n v="4"/>
  </r>
  <r>
    <s v="L0682"/>
    <s v="Deepika Joshi"/>
    <n v="52"/>
    <s v="M"/>
    <x v="2"/>
    <n v="1458490"/>
    <n v="552378"/>
    <n v="10.61"/>
    <n v="48"/>
    <n v="713"/>
    <x v="0"/>
    <x v="1"/>
    <d v="2021-05-30T00:00:00"/>
    <x v="2"/>
    <n v="14172.105907055755"/>
    <n v="680261.08353867626"/>
    <n v="127883.08353867626"/>
    <n v="4"/>
  </r>
  <r>
    <s v="L0683"/>
    <s v="Sahil Gupta"/>
    <n v="35"/>
    <s v="F"/>
    <x v="0"/>
    <n v="956662"/>
    <n v="1868883"/>
    <n v="7.71"/>
    <n v="60"/>
    <n v="823"/>
    <x v="2"/>
    <x v="1"/>
    <d v="2023-02-14T00:00:00"/>
    <x v="3"/>
    <n v="37635.359344182456"/>
    <n v="2258121.5606509475"/>
    <n v="389238.5606509475"/>
    <n v="2"/>
  </r>
  <r>
    <s v="L0684"/>
    <s v="Sneha Pillai"/>
    <n v="49"/>
    <s v="F"/>
    <x v="0"/>
    <n v="1256662"/>
    <n v="969002"/>
    <n v="10.53"/>
    <n v="48"/>
    <n v="841"/>
    <x v="3"/>
    <x v="1"/>
    <d v="2020-10-05T00:00:00"/>
    <x v="2"/>
    <n v="24823.767635394965"/>
    <n v="1191540.8464989583"/>
    <n v="222538.8464989583"/>
    <n v="5"/>
  </r>
  <r>
    <s v="L0685"/>
    <s v="Pooja Reddy"/>
    <n v="57"/>
    <s v="M"/>
    <x v="1"/>
    <n v="1635219"/>
    <n v="1361963"/>
    <n v="9"/>
    <n v="36"/>
    <n v="724"/>
    <x v="3"/>
    <x v="1"/>
    <d v="2023-05-27T00:00:00"/>
    <x v="2"/>
    <n v="43310.059292730795"/>
    <n v="1559162.1345383087"/>
    <n v="197199.13453830872"/>
    <n v="2"/>
  </r>
  <r>
    <s v="L0686"/>
    <s v="Vikram Das"/>
    <n v="46"/>
    <s v="M"/>
    <x v="2"/>
    <n v="830656"/>
    <n v="1013349"/>
    <n v="14.09"/>
    <n v="60"/>
    <n v="667"/>
    <x v="1"/>
    <x v="1"/>
    <d v="2018-02-27T00:00:00"/>
    <x v="1"/>
    <n v="23626.167614462091"/>
    <n v="1417570.0568677254"/>
    <n v="404221.05686772545"/>
    <n v="7"/>
  </r>
  <r>
    <s v="L0687"/>
    <s v="Rohan Nair"/>
    <n v="55"/>
    <s v="M"/>
    <x v="0"/>
    <n v="1348821"/>
    <n v="706400"/>
    <n v="11.77"/>
    <n v="120"/>
    <n v="621"/>
    <x v="1"/>
    <x v="1"/>
    <d v="2021-01-07T00:00:00"/>
    <x v="0"/>
    <n v="10041.087757924797"/>
    <n v="1204930.5309509756"/>
    <n v="498530.5309509756"/>
    <n v="4"/>
  </r>
  <r>
    <s v="L0688"/>
    <s v="Neha Sharma"/>
    <n v="31"/>
    <s v="M"/>
    <x v="0"/>
    <n v="1797157"/>
    <n v="1979668"/>
    <n v="10.24"/>
    <n v="36"/>
    <n v="715"/>
    <x v="2"/>
    <x v="1"/>
    <d v="2019-11-22T00:00:00"/>
    <x v="2"/>
    <n v="64101.616511171334"/>
    <n v="2307658.194402168"/>
    <n v="327990.19440216804"/>
    <n v="6"/>
  </r>
  <r>
    <s v="L0689"/>
    <s v="Meena George"/>
    <n v="45"/>
    <s v="M"/>
    <x v="2"/>
    <n v="1267984"/>
    <n v="1893699"/>
    <n v="10.37"/>
    <n v="96"/>
    <n v="666"/>
    <x v="0"/>
    <x v="1"/>
    <d v="2020-05-27T00:00:00"/>
    <x v="2"/>
    <n v="29107.380560322945"/>
    <n v="2794308.5337910028"/>
    <n v="900609.53379100282"/>
    <n v="5"/>
  </r>
  <r>
    <s v="L0690"/>
    <s v="Isha Verma"/>
    <n v="44"/>
    <s v="F"/>
    <x v="1"/>
    <n v="372508"/>
    <n v="1593255"/>
    <n v="14.52"/>
    <n v="72"/>
    <n v="778"/>
    <x v="3"/>
    <x v="0"/>
    <d v="2024-02-24T00:00:00"/>
    <x v="1"/>
    <n v="33275.471344624653"/>
    <n v="2395833.936812975"/>
    <n v="802578.93681297498"/>
    <n v="1"/>
  </r>
  <r>
    <s v="L0691"/>
    <s v="Sahil Gupta"/>
    <n v="32"/>
    <s v="F"/>
    <x v="1"/>
    <n v="516067"/>
    <n v="371953"/>
    <n v="8.39"/>
    <n v="36"/>
    <n v="741"/>
    <x v="2"/>
    <x v="1"/>
    <d v="2023-11-25T00:00:00"/>
    <x v="3"/>
    <n v="11722.690849660867"/>
    <n v="422016.8705877912"/>
    <n v="50063.8705877912"/>
    <n v="2"/>
  </r>
  <r>
    <s v="L0692"/>
    <s v="Arjun Mehta"/>
    <n v="39"/>
    <s v="F"/>
    <x v="0"/>
    <n v="730876"/>
    <n v="856637"/>
    <n v="9.51"/>
    <n v="60"/>
    <n v="785"/>
    <x v="0"/>
    <x v="1"/>
    <d v="2024-09-02T00:00:00"/>
    <x v="1"/>
    <n v="17995.158063243816"/>
    <n v="1079709.4837946289"/>
    <n v="223072.48379462888"/>
    <n v="1"/>
  </r>
  <r>
    <s v="L0693"/>
    <s v="Isha Verma"/>
    <n v="28"/>
    <s v="F"/>
    <x v="2"/>
    <n v="915933"/>
    <n v="560112"/>
    <n v="13.49"/>
    <n v="72"/>
    <n v="715"/>
    <x v="1"/>
    <x v="0"/>
    <d v="2018-02-06T00:00:00"/>
    <x v="1"/>
    <n v="11389.119228991916"/>
    <n v="820016.58448741795"/>
    <n v="259904.58448741795"/>
    <n v="7"/>
  </r>
  <r>
    <s v="L0694"/>
    <s v="Tanya Rao"/>
    <n v="37"/>
    <s v="M"/>
    <x v="0"/>
    <n v="400671"/>
    <n v="609757"/>
    <n v="11.15"/>
    <n v="60"/>
    <n v="681"/>
    <x v="0"/>
    <x v="1"/>
    <d v="2020-07-31T00:00:00"/>
    <x v="2"/>
    <n v="13303.253924055476"/>
    <n v="798195.23544332851"/>
    <n v="188438.23544332851"/>
    <n v="5"/>
  </r>
  <r>
    <s v="L0695"/>
    <s v="Raj Kumar"/>
    <n v="25"/>
    <s v="F"/>
    <x v="2"/>
    <n v="630336"/>
    <n v="1953728"/>
    <n v="11.14"/>
    <n v="60"/>
    <n v="691"/>
    <x v="2"/>
    <x v="1"/>
    <d v="2023-12-15T00:00:00"/>
    <x v="0"/>
    <n v="42615.31576033109"/>
    <n v="2556918.9456198653"/>
    <n v="603190.94561986532"/>
    <n v="2"/>
  </r>
  <r>
    <s v="L0696"/>
    <s v="Aditya Sharma"/>
    <n v="41"/>
    <s v="M"/>
    <x v="2"/>
    <n v="1253072"/>
    <n v="1503538"/>
    <n v="14.35"/>
    <n v="96"/>
    <n v="615"/>
    <x v="3"/>
    <x v="1"/>
    <d v="2023-01-14T00:00:00"/>
    <x v="0"/>
    <n v="26419.084265955134"/>
    <n v="2536232.0895316927"/>
    <n v="1032694.0895316927"/>
    <n v="2"/>
  </r>
  <r>
    <s v="L0697"/>
    <s v="Kiran Menon"/>
    <n v="59"/>
    <s v="M"/>
    <x v="0"/>
    <n v="1401084"/>
    <n v="242211"/>
    <n v="13.4"/>
    <n v="60"/>
    <n v="697"/>
    <x v="0"/>
    <x v="1"/>
    <d v="2021-03-13T00:00:00"/>
    <x v="0"/>
    <n v="5560.7674961780995"/>
    <n v="333646.04977068596"/>
    <n v="91435.049770685961"/>
    <n v="4"/>
  </r>
  <r>
    <s v="L0698"/>
    <s v="Amit Yadav"/>
    <n v="51"/>
    <s v="F"/>
    <x v="1"/>
    <n v="432604"/>
    <n v="1168122"/>
    <n v="13.59"/>
    <n v="36"/>
    <n v="702"/>
    <x v="2"/>
    <x v="1"/>
    <d v="2018-12-24T00:00:00"/>
    <x v="2"/>
    <n v="39691.424343754181"/>
    <n v="1428891.2763751505"/>
    <n v="260769.27637515054"/>
    <n v="7"/>
  </r>
  <r>
    <s v="L0699"/>
    <s v="Sneha Pillai"/>
    <n v="42"/>
    <s v="F"/>
    <x v="0"/>
    <n v="1646007"/>
    <n v="1030499"/>
    <n v="7.58"/>
    <n v="84"/>
    <n v="638"/>
    <x v="1"/>
    <x v="0"/>
    <d v="2022-02-13T00:00:00"/>
    <x v="1"/>
    <n v="15846.796034043606"/>
    <n v="1331130.8668596628"/>
    <n v="300631.86685966281"/>
    <n v="3"/>
  </r>
  <r>
    <s v="L0700"/>
    <s v="Rohan Nair"/>
    <n v="50"/>
    <s v="F"/>
    <x v="1"/>
    <n v="824044"/>
    <n v="1540755"/>
    <n v="13.37"/>
    <n v="48"/>
    <n v="775"/>
    <x v="3"/>
    <x v="1"/>
    <d v="2019-08-06T00:00:00"/>
    <x v="3"/>
    <n v="41618.103935761952"/>
    <n v="1997668.9889165736"/>
    <n v="456913.98891657358"/>
    <n v="6"/>
  </r>
  <r>
    <s v="L0701"/>
    <s v="Rina Kapoor"/>
    <n v="45"/>
    <s v="F"/>
    <x v="0"/>
    <n v="902775"/>
    <n v="1671258"/>
    <n v="13.9"/>
    <n v="120"/>
    <n v="644"/>
    <x v="1"/>
    <x v="1"/>
    <d v="2023-06-29T00:00:00"/>
    <x v="0"/>
    <n v="25848.634970718784"/>
    <n v="3101836.1964862542"/>
    <n v="1430578.1964862542"/>
    <n v="2"/>
  </r>
  <r>
    <s v="L0702"/>
    <s v="Meena George"/>
    <n v="39"/>
    <s v="F"/>
    <x v="0"/>
    <n v="1250986"/>
    <n v="261010"/>
    <n v="9.51"/>
    <n v="72"/>
    <n v="607"/>
    <x v="2"/>
    <x v="1"/>
    <d v="2018-02-13T00:00:00"/>
    <x v="2"/>
    <n v="4771.1829947458145"/>
    <n v="343525.17562169867"/>
    <n v="82515.175621698669"/>
    <n v="7"/>
  </r>
  <r>
    <s v="L0703"/>
    <s v="Priya Singh"/>
    <n v="49"/>
    <s v="F"/>
    <x v="0"/>
    <n v="1988830"/>
    <n v="1472792"/>
    <n v="11.08"/>
    <n v="120"/>
    <n v="781"/>
    <x v="1"/>
    <x v="1"/>
    <d v="2024-05-29T00:00:00"/>
    <x v="0"/>
    <n v="20354.463406059043"/>
    <n v="2442535.6087270854"/>
    <n v="969743.6087270854"/>
    <n v="1"/>
  </r>
  <r>
    <s v="L0704"/>
    <s v="Arjun Mehta"/>
    <n v="54"/>
    <s v="M"/>
    <x v="0"/>
    <n v="850936"/>
    <n v="638000"/>
    <n v="11.57"/>
    <n v="96"/>
    <n v="612"/>
    <x v="1"/>
    <x v="1"/>
    <d v="2018-06-02T00:00:00"/>
    <x v="0"/>
    <n v="10219.170138795082"/>
    <n v="981040.33332432783"/>
    <n v="343040.33332432783"/>
    <n v="7"/>
  </r>
  <r>
    <s v="L0705"/>
    <s v="Priya Singh"/>
    <n v="53"/>
    <s v="M"/>
    <x v="0"/>
    <n v="986332"/>
    <n v="495204"/>
    <n v="7.98"/>
    <n v="120"/>
    <n v="820"/>
    <x v="0"/>
    <x v="1"/>
    <d v="2020-07-27T00:00:00"/>
    <x v="3"/>
    <n v="6002.9589557289637"/>
    <n v="720355.07468747569"/>
    <n v="225151.07468747569"/>
    <n v="5"/>
  </r>
  <r>
    <s v="L0706"/>
    <s v="Isha Verma"/>
    <n v="52"/>
    <s v="M"/>
    <x v="1"/>
    <n v="1570718"/>
    <n v="1036961"/>
    <n v="11.86"/>
    <n v="84"/>
    <n v="753"/>
    <x v="2"/>
    <x v="1"/>
    <d v="2019-06-17T00:00:00"/>
    <x v="0"/>
    <n v="18227.649526665093"/>
    <n v="1531122.5602398678"/>
    <n v="494161.56023986777"/>
    <n v="6"/>
  </r>
  <r>
    <s v="L0707"/>
    <s v="Isha Verma"/>
    <n v="27"/>
    <s v="M"/>
    <x v="2"/>
    <n v="1252928"/>
    <n v="1756360"/>
    <n v="9.56"/>
    <n v="60"/>
    <n v="627"/>
    <x v="1"/>
    <x v="1"/>
    <d v="2018-03-15T00:00:00"/>
    <x v="0"/>
    <n v="36938.349392682816"/>
    <n v="2216300.9635609691"/>
    <n v="459940.9635609691"/>
    <n v="7"/>
  </r>
  <r>
    <s v="L0708"/>
    <s v="Kiran Menon"/>
    <n v="56"/>
    <s v="F"/>
    <x v="2"/>
    <n v="1591656"/>
    <n v="229152"/>
    <n v="11.69"/>
    <n v="72"/>
    <n v="781"/>
    <x v="2"/>
    <x v="1"/>
    <d v="2021-02-10T00:00:00"/>
    <x v="0"/>
    <n v="4443.1105512666672"/>
    <n v="319903.95969120006"/>
    <n v="90751.959691200056"/>
    <n v="4"/>
  </r>
  <r>
    <s v="L0709"/>
    <s v="Rohit Khanna"/>
    <n v="38"/>
    <s v="F"/>
    <x v="1"/>
    <n v="334372"/>
    <n v="445091"/>
    <n v="8.7200000000000006"/>
    <n v="96"/>
    <n v="622"/>
    <x v="0"/>
    <x v="1"/>
    <d v="2023-08-19T00:00:00"/>
    <x v="3"/>
    <n v="6456.2047123409893"/>
    <n v="619795.65238473495"/>
    <n v="174704.65238473495"/>
    <n v="2"/>
  </r>
  <r>
    <s v="L0710"/>
    <s v="Aarav Patel"/>
    <n v="30"/>
    <s v="M"/>
    <x v="0"/>
    <n v="1200338"/>
    <n v="547286"/>
    <n v="13.55"/>
    <n v="36"/>
    <n v="620"/>
    <x v="1"/>
    <x v="1"/>
    <d v="2023-02-08T00:00:00"/>
    <x v="3"/>
    <n v="18585.545937723782"/>
    <n v="669079.65375805611"/>
    <n v="121793.65375805611"/>
    <n v="2"/>
  </r>
  <r>
    <s v="L0711"/>
    <s v="Arjun Mehta"/>
    <n v="60"/>
    <s v="F"/>
    <x v="2"/>
    <n v="1267632"/>
    <n v="393252"/>
    <n v="9.48"/>
    <n v="72"/>
    <n v="758"/>
    <x v="3"/>
    <x v="1"/>
    <d v="2021-02-15T00:00:00"/>
    <x v="2"/>
    <n v="7182.6244337647704"/>
    <n v="517148.95923106349"/>
    <n v="123896.95923106349"/>
    <n v="4"/>
  </r>
  <r>
    <s v="L0712"/>
    <s v="Aditya Sharma"/>
    <n v="34"/>
    <s v="F"/>
    <x v="1"/>
    <n v="517195"/>
    <n v="1550076"/>
    <n v="11.57"/>
    <n v="96"/>
    <n v="719"/>
    <x v="3"/>
    <x v="1"/>
    <d v="2023-02-13T00:00:00"/>
    <x v="2"/>
    <n v="24828.354815145649"/>
    <n v="2383522.0622539823"/>
    <n v="833446.06225398229"/>
    <n v="2"/>
  </r>
  <r>
    <s v="L0713"/>
    <s v="Neha Sharma"/>
    <n v="28"/>
    <s v="M"/>
    <x v="1"/>
    <n v="1143544"/>
    <n v="651363"/>
    <n v="14.74"/>
    <n v="72"/>
    <n v="721"/>
    <x v="2"/>
    <x v="0"/>
    <d v="2019-01-28T00:00:00"/>
    <x v="1"/>
    <n v="13681.275312745538"/>
    <n v="985051.82251767872"/>
    <n v="333688.82251767872"/>
    <n v="6"/>
  </r>
  <r>
    <s v="L0714"/>
    <s v="Sneha Pillai"/>
    <n v="27"/>
    <s v="M"/>
    <x v="2"/>
    <n v="1029023"/>
    <n v="1614201"/>
    <n v="13.36"/>
    <n v="96"/>
    <n v="659"/>
    <x v="1"/>
    <x v="1"/>
    <d v="2019-05-12T00:00:00"/>
    <x v="2"/>
    <n v="27456.364250783419"/>
    <n v="2635810.9680752084"/>
    <n v="1021609.9680752084"/>
    <n v="6"/>
  </r>
  <r>
    <s v="L0715"/>
    <s v="Priya Singh"/>
    <n v="34"/>
    <s v="M"/>
    <x v="2"/>
    <n v="1453371"/>
    <n v="817812"/>
    <n v="13.69"/>
    <n v="60"/>
    <n v="840"/>
    <x v="2"/>
    <x v="1"/>
    <d v="2024-05-14T00:00:00"/>
    <x v="2"/>
    <n v="18897.875361274968"/>
    <n v="1133872.521676498"/>
    <n v="316060.521676498"/>
    <n v="1"/>
  </r>
  <r>
    <s v="L0716"/>
    <s v="Priya Singh"/>
    <n v="31"/>
    <s v="M"/>
    <x v="2"/>
    <n v="1248483"/>
    <n v="1042076"/>
    <n v="10.52"/>
    <n v="96"/>
    <n v="839"/>
    <x v="1"/>
    <x v="1"/>
    <d v="2023-09-17T00:00:00"/>
    <x v="2"/>
    <n v="16100.807408111525"/>
    <n v="1545677.5111787063"/>
    <n v="503601.51117870631"/>
    <n v="2"/>
  </r>
  <r>
    <s v="L0717"/>
    <s v="Meena George"/>
    <n v="40"/>
    <s v="F"/>
    <x v="0"/>
    <n v="1162287"/>
    <n v="967382"/>
    <n v="13.92"/>
    <n v="60"/>
    <n v="809"/>
    <x v="2"/>
    <x v="1"/>
    <d v="2019-05-13T00:00:00"/>
    <x v="2"/>
    <n v="22469.185025429419"/>
    <n v="1348151.1015257651"/>
    <n v="380769.10152576515"/>
    <n v="6"/>
  </r>
  <r>
    <s v="L0718"/>
    <s v="Raj Kumar"/>
    <n v="50"/>
    <s v="F"/>
    <x v="0"/>
    <n v="1027492"/>
    <n v="1880400"/>
    <n v="12.1"/>
    <n v="48"/>
    <n v="744"/>
    <x v="2"/>
    <x v="0"/>
    <d v="2018-03-02T00:00:00"/>
    <x v="1"/>
    <n v="49610.520384110714"/>
    <n v="2381304.9784373143"/>
    <n v="500904.97843731428"/>
    <n v="7"/>
  </r>
  <r>
    <s v="L0719"/>
    <s v="Raj Kumar"/>
    <n v="40"/>
    <s v="F"/>
    <x v="2"/>
    <n v="999252"/>
    <n v="1450719"/>
    <n v="14.68"/>
    <n v="36"/>
    <n v="618"/>
    <x v="2"/>
    <x v="1"/>
    <d v="2018-12-10T00:00:00"/>
    <x v="1"/>
    <n v="50062.612933874429"/>
    <n v="1802254.0656194794"/>
    <n v="351535.0656194794"/>
    <n v="7"/>
  </r>
  <r>
    <s v="L0720"/>
    <s v="Rina Kapoor"/>
    <n v="37"/>
    <s v="M"/>
    <x v="0"/>
    <n v="1816171"/>
    <n v="804868"/>
    <n v="13.22"/>
    <n v="60"/>
    <n v="634"/>
    <x v="2"/>
    <x v="0"/>
    <d v="2022-05-03T00:00:00"/>
    <x v="2"/>
    <n v="18403.992326046049"/>
    <n v="1104239.5395627629"/>
    <n v="299371.53956276295"/>
    <n v="3"/>
  </r>
  <r>
    <s v="L0721"/>
    <s v="Priya Singh"/>
    <n v="42"/>
    <s v="F"/>
    <x v="0"/>
    <n v="1835261"/>
    <n v="1422250"/>
    <n v="12.52"/>
    <n v="48"/>
    <n v="733"/>
    <x v="1"/>
    <x v="1"/>
    <d v="2021-06-25T00:00:00"/>
    <x v="3"/>
    <n v="37817.447145519196"/>
    <n v="1815237.4629849214"/>
    <n v="392987.46298492141"/>
    <n v="4"/>
  </r>
  <r>
    <s v="L0722"/>
    <s v="Mohit Jain"/>
    <n v="48"/>
    <s v="F"/>
    <x v="1"/>
    <n v="304660"/>
    <n v="1250983"/>
    <n v="8.8800000000000008"/>
    <n v="96"/>
    <n v="673"/>
    <x v="0"/>
    <x v="1"/>
    <d v="2023-10-03T00:00:00"/>
    <x v="1"/>
    <n v="18249.373478881378"/>
    <n v="1751939.8539726124"/>
    <n v="500956.85397261241"/>
    <n v="2"/>
  </r>
  <r>
    <s v="L0723"/>
    <s v="Neha Sharma"/>
    <n v="29"/>
    <s v="F"/>
    <x v="0"/>
    <n v="1498826"/>
    <n v="1830519"/>
    <n v="13.91"/>
    <n v="48"/>
    <n v="678"/>
    <x v="3"/>
    <x v="1"/>
    <d v="2019-07-11T00:00:00"/>
    <x v="3"/>
    <n v="49939.031582190924"/>
    <n v="2397073.5159451645"/>
    <n v="566554.51594516449"/>
    <n v="6"/>
  </r>
  <r>
    <s v="L0724"/>
    <s v="Mohit Jain"/>
    <n v="58"/>
    <s v="M"/>
    <x v="2"/>
    <n v="1147542"/>
    <n v="1212717"/>
    <n v="9.2200000000000006"/>
    <n v="60"/>
    <n v="630"/>
    <x v="0"/>
    <x v="1"/>
    <d v="2018-04-02T00:00:00"/>
    <x v="2"/>
    <n v="25303.693034539148"/>
    <n v="1518221.5820723488"/>
    <n v="305504.5820723488"/>
    <n v="7"/>
  </r>
  <r>
    <s v="L0725"/>
    <s v="Aarav Patel"/>
    <n v="53"/>
    <s v="M"/>
    <x v="2"/>
    <n v="1469927"/>
    <n v="1227414"/>
    <n v="12.78"/>
    <n v="60"/>
    <n v="676"/>
    <x v="3"/>
    <x v="0"/>
    <d v="2018-07-27T00:00:00"/>
    <x v="3"/>
    <n v="27789.403569415728"/>
    <n v="1667364.2141649437"/>
    <n v="439950.21416494367"/>
    <n v="7"/>
  </r>
  <r>
    <s v="L0726"/>
    <s v="Aditya Sharma"/>
    <n v="40"/>
    <s v="M"/>
    <x v="0"/>
    <n v="1602399"/>
    <n v="973144"/>
    <n v="14.45"/>
    <n v="36"/>
    <n v="840"/>
    <x v="3"/>
    <x v="1"/>
    <d v="2023-12-21T00:00:00"/>
    <x v="3"/>
    <n v="33472.842468821436"/>
    <n v="1205022.3288775717"/>
    <n v="231878.32887757174"/>
    <n v="2"/>
  </r>
  <r>
    <s v="L0727"/>
    <s v="Tanya Rao"/>
    <n v="52"/>
    <s v="F"/>
    <x v="0"/>
    <n v="1617953"/>
    <n v="1639845"/>
    <n v="10.31"/>
    <n v="84"/>
    <n v="755"/>
    <x v="3"/>
    <x v="0"/>
    <d v="2021-05-30T00:00:00"/>
    <x v="1"/>
    <n v="27486.751776721216"/>
    <n v="2308887.1492445823"/>
    <n v="669042.14924458228"/>
    <n v="4"/>
  </r>
  <r>
    <s v="L0728"/>
    <s v="Tanya Rao"/>
    <n v="35"/>
    <s v="F"/>
    <x v="1"/>
    <n v="1115091"/>
    <n v="1857481"/>
    <n v="10.47"/>
    <n v="84"/>
    <n v="625"/>
    <x v="0"/>
    <x v="1"/>
    <d v="2019-03-01T00:00:00"/>
    <x v="3"/>
    <n v="31289.340893694538"/>
    <n v="2628304.6350703412"/>
    <n v="770823.63507034117"/>
    <n v="6"/>
  </r>
  <r>
    <s v="L0729"/>
    <s v="Raj Kumar"/>
    <n v="48"/>
    <s v="M"/>
    <x v="1"/>
    <n v="1736057"/>
    <n v="711736"/>
    <n v="8.59"/>
    <n v="48"/>
    <n v="711"/>
    <x v="0"/>
    <x v="1"/>
    <d v="2019-07-21T00:00:00"/>
    <x v="1"/>
    <n v="17573.342786565256"/>
    <n v="843520.45375513227"/>
    <n v="131784.45375513227"/>
    <n v="6"/>
  </r>
  <r>
    <s v="L0730"/>
    <s v="Sahil Gupta"/>
    <n v="47"/>
    <s v="M"/>
    <x v="0"/>
    <n v="425726"/>
    <n v="249374"/>
    <n v="8.49"/>
    <n v="60"/>
    <n v="674"/>
    <x v="1"/>
    <x v="1"/>
    <d v="2024-01-29T00:00:00"/>
    <x v="0"/>
    <n v="5115.0876782086489"/>
    <n v="306905.2606925189"/>
    <n v="57531.260692518903"/>
    <n v="1"/>
  </r>
  <r>
    <s v="L0731"/>
    <s v="Raj Kumar"/>
    <n v="52"/>
    <s v="F"/>
    <x v="2"/>
    <n v="1986162"/>
    <n v="563031"/>
    <n v="12.47"/>
    <n v="48"/>
    <n v="769"/>
    <x v="3"/>
    <x v="1"/>
    <d v="2021-01-22T00:00:00"/>
    <x v="2"/>
    <n v="14957.026303933602"/>
    <n v="717937.26258881297"/>
    <n v="154906.26258881297"/>
    <n v="4"/>
  </r>
  <r>
    <s v="L0732"/>
    <s v="Aarav Patel"/>
    <n v="27"/>
    <s v="M"/>
    <x v="2"/>
    <n v="401800"/>
    <n v="1855843"/>
    <n v="14.75"/>
    <n v="96"/>
    <n v="651"/>
    <x v="3"/>
    <x v="1"/>
    <d v="2023-03-03T00:00:00"/>
    <x v="0"/>
    <n v="33035.923594044951"/>
    <n v="3171448.665028315"/>
    <n v="1315605.665028315"/>
    <n v="2"/>
  </r>
  <r>
    <s v="L0733"/>
    <s v="Rina Kapoor"/>
    <n v="60"/>
    <s v="F"/>
    <x v="2"/>
    <n v="1698658"/>
    <n v="1860866"/>
    <n v="14.59"/>
    <n v="84"/>
    <n v="717"/>
    <x v="0"/>
    <x v="0"/>
    <d v="2020-03-22T00:00:00"/>
    <x v="3"/>
    <n v="35481.962960587938"/>
    <n v="2980484.8886893867"/>
    <n v="1119618.8886893867"/>
    <n v="5"/>
  </r>
  <r>
    <s v="L0734"/>
    <s v="Sneha Pillai"/>
    <n v="48"/>
    <s v="M"/>
    <x v="1"/>
    <n v="1600734"/>
    <n v="1397409"/>
    <n v="14.95"/>
    <n v="72"/>
    <n v="670"/>
    <x v="0"/>
    <x v="1"/>
    <d v="2022-09-17T00:00:00"/>
    <x v="0"/>
    <n v="29510.300923278959"/>
    <n v="2124741.6664760849"/>
    <n v="727332.66647608485"/>
    <n v="3"/>
  </r>
  <r>
    <s v="L0735"/>
    <s v="Amit Yadav"/>
    <n v="47"/>
    <s v="F"/>
    <x v="2"/>
    <n v="1633745"/>
    <n v="1565152"/>
    <n v="12.29"/>
    <n v="60"/>
    <n v="832"/>
    <x v="1"/>
    <x v="1"/>
    <d v="2023-04-05T00:00:00"/>
    <x v="1"/>
    <n v="35045.743493157315"/>
    <n v="2102744.6095894389"/>
    <n v="537592.60958943889"/>
    <n v="2"/>
  </r>
  <r>
    <s v="L0736"/>
    <s v="Arjun Mehta"/>
    <n v="32"/>
    <s v="M"/>
    <x v="2"/>
    <n v="1809659"/>
    <n v="921530"/>
    <n v="10.55"/>
    <n v="72"/>
    <n v="648"/>
    <x v="3"/>
    <x v="1"/>
    <d v="2018-08-29T00:00:00"/>
    <x v="1"/>
    <n v="17328.811411229122"/>
    <n v="1247674.4216084969"/>
    <n v="326144.42160849692"/>
    <n v="7"/>
  </r>
  <r>
    <s v="L0737"/>
    <s v="Raj Kumar"/>
    <n v="38"/>
    <s v="F"/>
    <x v="1"/>
    <n v="659170"/>
    <n v="1160443"/>
    <n v="13.35"/>
    <n v="84"/>
    <n v="762"/>
    <x v="0"/>
    <x v="0"/>
    <d v="2019-07-28T00:00:00"/>
    <x v="3"/>
    <n v="21332.172296033878"/>
    <n v="1791902.4728668458"/>
    <n v="631459.47286684578"/>
    <n v="6"/>
  </r>
  <r>
    <s v="L0738"/>
    <s v="Pooja Reddy"/>
    <n v="39"/>
    <s v="M"/>
    <x v="0"/>
    <n v="726837"/>
    <n v="1421994"/>
    <n v="7.6"/>
    <n v="36"/>
    <n v="700"/>
    <x v="1"/>
    <x v="1"/>
    <d v="2018-03-15T00:00:00"/>
    <x v="0"/>
    <n v="44298.192545696809"/>
    <n v="1594734.9316450851"/>
    <n v="172740.9316450851"/>
    <n v="7"/>
  </r>
  <r>
    <s v="L0739"/>
    <s v="Vikram Das"/>
    <n v="52"/>
    <s v="F"/>
    <x v="0"/>
    <n v="334603"/>
    <n v="1599242"/>
    <n v="12.31"/>
    <n v="84"/>
    <n v="734"/>
    <x v="2"/>
    <x v="1"/>
    <d v="2018-07-13T00:00:00"/>
    <x v="3"/>
    <n v="28496.803748042741"/>
    <n v="2393731.51483559"/>
    <n v="794489.51483559003"/>
    <n v="7"/>
  </r>
  <r>
    <s v="L0740"/>
    <s v="Rohan Nair"/>
    <n v="55"/>
    <s v="M"/>
    <x v="0"/>
    <n v="896699"/>
    <n v="1685703"/>
    <n v="13.6"/>
    <n v="120"/>
    <n v="665"/>
    <x v="1"/>
    <x v="1"/>
    <d v="2023-05-24T00:00:00"/>
    <x v="0"/>
    <n v="25769.416417946479"/>
    <n v="3092329.9701535776"/>
    <n v="1406626.9701535776"/>
    <n v="2"/>
  </r>
  <r>
    <s v="L0741"/>
    <s v="Aarav Patel"/>
    <n v="33"/>
    <s v="F"/>
    <x v="1"/>
    <n v="1184627"/>
    <n v="1474742"/>
    <n v="14.2"/>
    <n v="84"/>
    <n v="682"/>
    <x v="1"/>
    <x v="1"/>
    <d v="2023-09-15T00:00:00"/>
    <x v="0"/>
    <n v="27799.872830028493"/>
    <n v="2335189.3177223932"/>
    <n v="860447.3177223932"/>
    <n v="2"/>
  </r>
  <r>
    <s v="L0742"/>
    <s v="Tanya Rao"/>
    <n v="44"/>
    <s v="F"/>
    <x v="2"/>
    <n v="544608"/>
    <n v="1776982"/>
    <n v="12.06"/>
    <n v="72"/>
    <n v="732"/>
    <x v="3"/>
    <x v="1"/>
    <d v="2024-06-04T00:00:00"/>
    <x v="0"/>
    <n v="34795.809691561859"/>
    <n v="2505298.2977924538"/>
    <n v="728316.29779245378"/>
    <n v="1"/>
  </r>
  <r>
    <s v="L0743"/>
    <s v="Raj Kumar"/>
    <n v="54"/>
    <s v="F"/>
    <x v="1"/>
    <n v="455154"/>
    <n v="1594177"/>
    <n v="10.76"/>
    <n v="84"/>
    <n v="785"/>
    <x v="3"/>
    <x v="0"/>
    <d v="2018-11-26T00:00:00"/>
    <x v="1"/>
    <n v="27095.440631373302"/>
    <n v="2276017.0130353575"/>
    <n v="681840.01303535746"/>
    <n v="7"/>
  </r>
  <r>
    <s v="L0744"/>
    <s v="Tanya Rao"/>
    <n v="52"/>
    <s v="M"/>
    <x v="1"/>
    <n v="1627263"/>
    <n v="1894130"/>
    <n v="12.53"/>
    <n v="60"/>
    <n v="631"/>
    <x v="0"/>
    <x v="0"/>
    <d v="2019-03-23T00:00:00"/>
    <x v="2"/>
    <n v="42642.927527541331"/>
    <n v="2558575.65165248"/>
    <n v="664445.65165248001"/>
    <n v="6"/>
  </r>
  <r>
    <s v="L0745"/>
    <s v="Sneha Pillai"/>
    <n v="55"/>
    <s v="M"/>
    <x v="0"/>
    <n v="643642"/>
    <n v="1487826"/>
    <n v="10.16"/>
    <n v="84"/>
    <n v="655"/>
    <x v="3"/>
    <x v="1"/>
    <d v="2018-02-25T00:00:00"/>
    <x v="1"/>
    <n v="24822.847829460901"/>
    <n v="2085119.2176747157"/>
    <n v="597293.21767471568"/>
    <n v="7"/>
  </r>
  <r>
    <s v="L0746"/>
    <s v="Meena George"/>
    <n v="52"/>
    <s v="M"/>
    <x v="1"/>
    <n v="1815206"/>
    <n v="1001042"/>
    <n v="14.48"/>
    <n v="96"/>
    <n v="734"/>
    <x v="3"/>
    <x v="1"/>
    <d v="2022-02-11T00:00:00"/>
    <x v="3"/>
    <n v="17664.167661761381"/>
    <n v="1695760.0955290925"/>
    <n v="694718.09552909248"/>
    <n v="3"/>
  </r>
  <r>
    <s v="L0747"/>
    <s v="Rohit Khanna"/>
    <n v="55"/>
    <s v="M"/>
    <x v="0"/>
    <n v="1968148"/>
    <n v="1060317"/>
    <n v="14.82"/>
    <n v="84"/>
    <n v="654"/>
    <x v="2"/>
    <x v="1"/>
    <d v="2023-05-01T00:00:00"/>
    <x v="1"/>
    <n v="20353.744381667435"/>
    <n v="1709714.5280600647"/>
    <n v="649397.52806006465"/>
    <n v="2"/>
  </r>
  <r>
    <s v="L0748"/>
    <s v="Tanya Rao"/>
    <n v="36"/>
    <s v="M"/>
    <x v="1"/>
    <n v="1913051"/>
    <n v="1515834"/>
    <n v="14.11"/>
    <n v="72"/>
    <n v="622"/>
    <x v="0"/>
    <x v="0"/>
    <d v="2024-08-07T00:00:00"/>
    <x v="3"/>
    <n v="31324.23541849518"/>
    <n v="2255344.9501316529"/>
    <n v="739510.95013165288"/>
    <n v="1"/>
  </r>
  <r>
    <s v="L0749"/>
    <s v="Deepika Joshi"/>
    <n v="54"/>
    <s v="M"/>
    <x v="0"/>
    <n v="1398160"/>
    <n v="863980"/>
    <n v="9.86"/>
    <n v="48"/>
    <n v="715"/>
    <x v="0"/>
    <x v="1"/>
    <d v="2021-07-08T00:00:00"/>
    <x v="1"/>
    <n v="21854.72157443102"/>
    <n v="1049026.6355726889"/>
    <n v="185046.63557268889"/>
    <n v="4"/>
  </r>
  <r>
    <s v="L0750"/>
    <s v="Kiran Menon"/>
    <n v="47"/>
    <s v="M"/>
    <x v="0"/>
    <n v="1035584"/>
    <n v="1759223"/>
    <n v="14.09"/>
    <n v="48"/>
    <n v="715"/>
    <x v="3"/>
    <x v="1"/>
    <d v="2020-10-30T00:00:00"/>
    <x v="2"/>
    <n v="48152.826945104636"/>
    <n v="2311335.6933650225"/>
    <n v="552112.69336502254"/>
    <n v="5"/>
  </r>
  <r>
    <s v="L0751"/>
    <s v="Arjun Mehta"/>
    <n v="39"/>
    <s v="M"/>
    <x v="1"/>
    <n v="1574003"/>
    <n v="1855180"/>
    <n v="14.9"/>
    <n v="36"/>
    <n v="820"/>
    <x v="3"/>
    <x v="1"/>
    <d v="2024-07-28T00:00:00"/>
    <x v="3"/>
    <n v="64219.612348429146"/>
    <n v="2311906.0445434493"/>
    <n v="456726.0445434493"/>
    <n v="1"/>
  </r>
  <r>
    <s v="L0752"/>
    <s v="Aditya Sharma"/>
    <n v="36"/>
    <s v="M"/>
    <x v="0"/>
    <n v="1875000"/>
    <n v="708950"/>
    <n v="13.92"/>
    <n v="120"/>
    <n v="721"/>
    <x v="1"/>
    <x v="1"/>
    <d v="2022-12-15T00:00:00"/>
    <x v="3"/>
    <n v="10973.538292193942"/>
    <n v="1316824.5950632731"/>
    <n v="607874.5950632731"/>
    <n v="3"/>
  </r>
  <r>
    <s v="L0753"/>
    <s v="Rohan Nair"/>
    <n v="27"/>
    <s v="M"/>
    <x v="0"/>
    <n v="1844001"/>
    <n v="968902"/>
    <n v="12.04"/>
    <n v="48"/>
    <n v="683"/>
    <x v="1"/>
    <x v="0"/>
    <d v="2023-01-01T00:00:00"/>
    <x v="0"/>
    <n v="25533.938852943877"/>
    <n v="1225629.0649413061"/>
    <n v="256727.06494130613"/>
    <n v="2"/>
  </r>
  <r>
    <s v="L0754"/>
    <s v="Priya Singh"/>
    <n v="58"/>
    <s v="F"/>
    <x v="2"/>
    <n v="1831517"/>
    <n v="998548"/>
    <n v="8.9700000000000006"/>
    <n v="60"/>
    <n v="846"/>
    <x v="0"/>
    <x v="1"/>
    <d v="2020-04-24T00:00:00"/>
    <x v="0"/>
    <n v="20713.678312146512"/>
    <n v="1242820.6987287907"/>
    <n v="244272.69872879074"/>
    <n v="5"/>
  </r>
  <r>
    <s v="L0755"/>
    <s v="Rohan Nair"/>
    <n v="26"/>
    <s v="F"/>
    <x v="2"/>
    <n v="381421"/>
    <n v="249392"/>
    <n v="9.6199999999999992"/>
    <n v="48"/>
    <n v="669"/>
    <x v="3"/>
    <x v="1"/>
    <d v="2020-03-15T00:00:00"/>
    <x v="0"/>
    <n v="6279.8104321298079"/>
    <n v="301430.90074223076"/>
    <n v="52038.900742230762"/>
    <n v="5"/>
  </r>
  <r>
    <s v="L0756"/>
    <s v="Tanya Rao"/>
    <n v="48"/>
    <s v="M"/>
    <x v="1"/>
    <n v="443044"/>
    <n v="857866"/>
    <n v="12.28"/>
    <n v="84"/>
    <n v="798"/>
    <x v="1"/>
    <x v="0"/>
    <d v="2022-08-28T00:00:00"/>
    <x v="1"/>
    <n v="15272.435418038194"/>
    <n v="1282884.5751152083"/>
    <n v="425018.57511520828"/>
    <n v="3"/>
  </r>
  <r>
    <s v="L0757"/>
    <s v="Pooja Reddy"/>
    <n v="33"/>
    <s v="M"/>
    <x v="2"/>
    <n v="1626882"/>
    <n v="1196776"/>
    <n v="14.16"/>
    <n v="60"/>
    <n v="624"/>
    <x v="2"/>
    <x v="1"/>
    <d v="2024-10-30T00:00:00"/>
    <x v="2"/>
    <n v="27946.256253115665"/>
    <n v="1676775.37518694"/>
    <n v="479999.37518693996"/>
    <n v="1"/>
  </r>
  <r>
    <s v="L0758"/>
    <s v="Isha Verma"/>
    <n v="30"/>
    <s v="M"/>
    <x v="1"/>
    <n v="1354982"/>
    <n v="1581591"/>
    <n v="13.28"/>
    <n v="96"/>
    <n v="830"/>
    <x v="0"/>
    <x v="0"/>
    <d v="2023-11-01T00:00:00"/>
    <x v="3"/>
    <n v="26830.521209789473"/>
    <n v="2575730.0361397895"/>
    <n v="994139.0361397895"/>
    <n v="2"/>
  </r>
  <r>
    <s v="L0759"/>
    <s v="Kiran Menon"/>
    <n v="44"/>
    <s v="F"/>
    <x v="0"/>
    <n v="635641"/>
    <n v="1307791"/>
    <n v="7.77"/>
    <n v="84"/>
    <n v="724"/>
    <x v="2"/>
    <x v="1"/>
    <d v="2023-06-11T00:00:00"/>
    <x v="1"/>
    <n v="20233.975408947288"/>
    <n v="1699653.9343515723"/>
    <n v="391862.9343515723"/>
    <n v="2"/>
  </r>
  <r>
    <s v="L0760"/>
    <s v="Mohit Jain"/>
    <n v="59"/>
    <s v="M"/>
    <x v="2"/>
    <n v="1035914"/>
    <n v="1047114"/>
    <n v="9.76"/>
    <n v="96"/>
    <n v="677"/>
    <x v="2"/>
    <x v="1"/>
    <d v="2018-04-04T00:00:00"/>
    <x v="2"/>
    <n v="15756.415209528393"/>
    <n v="1512615.8601147258"/>
    <n v="465501.86011472577"/>
    <n v="7"/>
  </r>
  <r>
    <s v="L0761"/>
    <s v="Sneha Pillai"/>
    <n v="44"/>
    <s v="F"/>
    <x v="0"/>
    <n v="1143404"/>
    <n v="1369532"/>
    <n v="9.7799999999999994"/>
    <n v="48"/>
    <n v="658"/>
    <x v="2"/>
    <x v="1"/>
    <d v="2024-05-04T00:00:00"/>
    <x v="2"/>
    <n v="34590.352469957841"/>
    <n v="1660336.9185579764"/>
    <n v="290804.91855797637"/>
    <n v="1"/>
  </r>
  <r>
    <s v="L0762"/>
    <s v="Raj Kumar"/>
    <n v="46"/>
    <s v="M"/>
    <x v="2"/>
    <n v="1953291"/>
    <n v="306489"/>
    <n v="12.87"/>
    <n v="60"/>
    <n v="708"/>
    <x v="0"/>
    <x v="1"/>
    <d v="2024-03-15T00:00:00"/>
    <x v="1"/>
    <n v="6953.1872637402575"/>
    <n v="417191.23582441546"/>
    <n v="110702.23582441546"/>
    <n v="1"/>
  </r>
  <r>
    <s v="L0763"/>
    <s v="Rina Kapoor"/>
    <n v="53"/>
    <s v="M"/>
    <x v="1"/>
    <n v="665773"/>
    <n v="384332"/>
    <n v="12.1"/>
    <n v="120"/>
    <n v="737"/>
    <x v="3"/>
    <x v="0"/>
    <d v="2021-01-23T00:00:00"/>
    <x v="0"/>
    <n v="5536.2881143406321"/>
    <n v="664354.57372087589"/>
    <n v="280022.57372087589"/>
    <n v="4"/>
  </r>
  <r>
    <s v="L0764"/>
    <s v="Neha Sharma"/>
    <n v="51"/>
    <s v="M"/>
    <x v="0"/>
    <n v="1468589"/>
    <n v="536353"/>
    <n v="10.67"/>
    <n v="120"/>
    <n v="673"/>
    <x v="1"/>
    <x v="1"/>
    <d v="2022-04-28T00:00:00"/>
    <x v="0"/>
    <n v="7288.4294581904778"/>
    <n v="874611.53498285729"/>
    <n v="338258.53498285729"/>
    <n v="3"/>
  </r>
  <r>
    <s v="L0765"/>
    <s v="Amit Yadav"/>
    <n v="58"/>
    <s v="F"/>
    <x v="1"/>
    <n v="1197178"/>
    <n v="681356"/>
    <n v="10.93"/>
    <n v="84"/>
    <n v="640"/>
    <x v="0"/>
    <x v="1"/>
    <d v="2023-09-29T00:00:00"/>
    <x v="0"/>
    <n v="11641.412289734693"/>
    <n v="977878.6323377142"/>
    <n v="296522.6323377142"/>
    <n v="2"/>
  </r>
  <r>
    <s v="L0766"/>
    <s v="Sahil Gupta"/>
    <n v="44"/>
    <s v="M"/>
    <x v="2"/>
    <n v="985628"/>
    <n v="1065144"/>
    <n v="12.72"/>
    <n v="84"/>
    <n v="619"/>
    <x v="2"/>
    <x v="1"/>
    <d v="2018-11-19T00:00:00"/>
    <x v="1"/>
    <n v="19215.288126058105"/>
    <n v="1614084.2025888809"/>
    <n v="548940.2025888809"/>
    <n v="7"/>
  </r>
  <r>
    <s v="L0767"/>
    <s v="Aditya Sharma"/>
    <n v="30"/>
    <s v="M"/>
    <x v="0"/>
    <n v="599044"/>
    <n v="1733384"/>
    <n v="14.96"/>
    <n v="72"/>
    <n v="683"/>
    <x v="2"/>
    <x v="1"/>
    <d v="2024-03-18T00:00:00"/>
    <x v="2"/>
    <n v="36614.784646747052"/>
    <n v="2636264.4945657877"/>
    <n v="902880.49456578773"/>
    <n v="1"/>
  </r>
  <r>
    <s v="L0768"/>
    <s v="Rina Kapoor"/>
    <n v="50"/>
    <s v="F"/>
    <x v="0"/>
    <n v="1903958"/>
    <n v="288090"/>
    <n v="12.85"/>
    <n v="36"/>
    <n v="814"/>
    <x v="2"/>
    <x v="1"/>
    <d v="2021-01-01T00:00:00"/>
    <x v="3"/>
    <n v="9686.0893985392104"/>
    <n v="348699.2183474116"/>
    <n v="60609.218347411603"/>
    <n v="4"/>
  </r>
  <r>
    <s v="L0769"/>
    <s v="Neha Sharma"/>
    <n v="38"/>
    <s v="M"/>
    <x v="2"/>
    <n v="854449"/>
    <n v="1085052"/>
    <n v="13.39"/>
    <n v="84"/>
    <n v="742"/>
    <x v="1"/>
    <x v="1"/>
    <d v="2023-08-15T00:00:00"/>
    <x v="0"/>
    <n v="19970.013072673355"/>
    <n v="1677481.0981045619"/>
    <n v="592429.09810456191"/>
    <n v="2"/>
  </r>
  <r>
    <s v="L0770"/>
    <s v="Pooja Reddy"/>
    <n v="54"/>
    <s v="M"/>
    <x v="1"/>
    <n v="763463"/>
    <n v="1100142"/>
    <n v="11.66"/>
    <n v="96"/>
    <n v="658"/>
    <x v="1"/>
    <x v="1"/>
    <d v="2023-09-09T00:00:00"/>
    <x v="0"/>
    <n v="17675.552755602748"/>
    <n v="1696853.0645378637"/>
    <n v="596711.06453786371"/>
    <n v="2"/>
  </r>
  <r>
    <s v="L0771"/>
    <s v="Sneha Pillai"/>
    <n v="39"/>
    <s v="M"/>
    <x v="1"/>
    <n v="457818"/>
    <n v="1311393"/>
    <n v="9.66"/>
    <n v="96"/>
    <n v="678"/>
    <x v="2"/>
    <x v="0"/>
    <d v="2018-08-02T00:00:00"/>
    <x v="2"/>
    <n v="19664.147401588882"/>
    <n v="1887758.1505525326"/>
    <n v="576365.15055253264"/>
    <n v="7"/>
  </r>
  <r>
    <s v="L0772"/>
    <s v="Sahil Gupta"/>
    <n v="37"/>
    <s v="M"/>
    <x v="2"/>
    <n v="1412087"/>
    <n v="364200"/>
    <n v="12.34"/>
    <n v="120"/>
    <n v="611"/>
    <x v="1"/>
    <x v="1"/>
    <d v="2018-09-05T00:00:00"/>
    <x v="2"/>
    <n v="5297.0445182223275"/>
    <n v="635645.34218667925"/>
    <n v="271445.34218667925"/>
    <n v="7"/>
  </r>
  <r>
    <s v="L0773"/>
    <s v="Sneha Pillai"/>
    <n v="42"/>
    <s v="F"/>
    <x v="0"/>
    <n v="869294"/>
    <n v="1325163"/>
    <n v="7.77"/>
    <n v="84"/>
    <n v="693"/>
    <x v="1"/>
    <x v="1"/>
    <d v="2020-08-05T00:00:00"/>
    <x v="0"/>
    <n v="20502.752775364577"/>
    <n v="1722231.2331306245"/>
    <n v="397068.23313062452"/>
    <n v="5"/>
  </r>
  <r>
    <s v="L0774"/>
    <s v="Raj Kumar"/>
    <n v="45"/>
    <s v="M"/>
    <x v="2"/>
    <n v="1330923"/>
    <n v="1141499"/>
    <n v="9.5"/>
    <n v="48"/>
    <n v="751"/>
    <x v="2"/>
    <x v="1"/>
    <d v="2023-07-09T00:00:00"/>
    <x v="1"/>
    <n v="28678.035386736436"/>
    <n v="1376545.698563349"/>
    <n v="235046.69856334897"/>
    <n v="2"/>
  </r>
  <r>
    <s v="L0775"/>
    <s v="Isha Verma"/>
    <n v="57"/>
    <s v="M"/>
    <x v="1"/>
    <n v="884619"/>
    <n v="1924293"/>
    <n v="10.07"/>
    <n v="36"/>
    <n v="652"/>
    <x v="2"/>
    <x v="0"/>
    <d v="2018-02-01T00:00:00"/>
    <x v="2"/>
    <n v="62154.782777578344"/>
    <n v="2237572.1799928206"/>
    <n v="313279.1799928206"/>
    <n v="7"/>
  </r>
  <r>
    <s v="L0776"/>
    <s v="Pooja Reddy"/>
    <n v="32"/>
    <s v="F"/>
    <x v="1"/>
    <n v="634192"/>
    <n v="1528918"/>
    <n v="9.1199999999999992"/>
    <n v="72"/>
    <n v="845"/>
    <x v="1"/>
    <x v="0"/>
    <d v="2023-04-16T00:00:00"/>
    <x v="0"/>
    <n v="27650.714167658985"/>
    <n v="1990851.420071447"/>
    <n v="461933.42007144704"/>
    <n v="2"/>
  </r>
  <r>
    <s v="L0777"/>
    <s v="Pooja Reddy"/>
    <n v="60"/>
    <s v="F"/>
    <x v="0"/>
    <n v="1619466"/>
    <n v="818665"/>
    <n v="11.75"/>
    <n v="36"/>
    <n v="730"/>
    <x v="0"/>
    <x v="1"/>
    <d v="2024-07-30T00:00:00"/>
    <x v="2"/>
    <n v="27093.743937467858"/>
    <n v="975374.78174884291"/>
    <n v="156709.78174884291"/>
    <n v="1"/>
  </r>
  <r>
    <s v="L0778"/>
    <s v="Amit Yadav"/>
    <n v="42"/>
    <s v="M"/>
    <x v="0"/>
    <n v="1040124"/>
    <n v="1664272"/>
    <n v="9.7799999999999994"/>
    <n v="120"/>
    <n v="778"/>
    <x v="1"/>
    <x v="1"/>
    <d v="2023-09-02T00:00:00"/>
    <x v="1"/>
    <n v="21791.226976357684"/>
    <n v="2614947.237162922"/>
    <n v="950675.23716292204"/>
    <n v="2"/>
  </r>
  <r>
    <s v="L0779"/>
    <s v="Rina Kapoor"/>
    <n v="57"/>
    <s v="F"/>
    <x v="0"/>
    <n v="448269"/>
    <n v="1229395"/>
    <n v="12.56"/>
    <n v="60"/>
    <n v="677"/>
    <x v="1"/>
    <x v="1"/>
    <d v="2018-12-10T00:00:00"/>
    <x v="1"/>
    <n v="27696.385554088152"/>
    <n v="1661783.1332452891"/>
    <n v="432388.13324528909"/>
    <n v="7"/>
  </r>
  <r>
    <s v="L0780"/>
    <s v="Mohit Jain"/>
    <n v="32"/>
    <s v="M"/>
    <x v="0"/>
    <n v="882639"/>
    <n v="1166674"/>
    <n v="14.99"/>
    <n v="60"/>
    <n v="607"/>
    <x v="1"/>
    <x v="0"/>
    <d v="2018-11-23T00:00:00"/>
    <x v="0"/>
    <n v="27748.969254538064"/>
    <n v="1664938.1552722838"/>
    <n v="498264.15527228382"/>
    <n v="7"/>
  </r>
  <r>
    <s v="L0781"/>
    <s v="Raj Kumar"/>
    <n v="39"/>
    <s v="M"/>
    <x v="2"/>
    <n v="1205382"/>
    <n v="1197547"/>
    <n v="9.31"/>
    <n v="60"/>
    <n v="606"/>
    <x v="3"/>
    <x v="1"/>
    <d v="2018-12-22T00:00:00"/>
    <x v="2"/>
    <n v="25039.667271894778"/>
    <n v="1502380.0363136868"/>
    <n v="304833.03631368675"/>
    <n v="7"/>
  </r>
  <r>
    <s v="L0782"/>
    <s v="Meena George"/>
    <n v="59"/>
    <s v="F"/>
    <x v="0"/>
    <n v="1597731"/>
    <n v="1943880"/>
    <n v="13.88"/>
    <n v="60"/>
    <n v="667"/>
    <x v="1"/>
    <x v="0"/>
    <d v="2020-05-22T00:00:00"/>
    <x v="2"/>
    <n v="45109.844912009103"/>
    <n v="2706590.6947205462"/>
    <n v="762710.69472054625"/>
    <n v="5"/>
  </r>
  <r>
    <s v="L0783"/>
    <s v="Aditya Sharma"/>
    <n v="35"/>
    <s v="M"/>
    <x v="0"/>
    <n v="1203483"/>
    <n v="223665"/>
    <n v="11.68"/>
    <n v="36"/>
    <n v="810"/>
    <x v="2"/>
    <x v="1"/>
    <d v="2020-11-25T00:00:00"/>
    <x v="2"/>
    <n v="7394.7404148181322"/>
    <n v="266210.65493345278"/>
    <n v="42545.654933452781"/>
    <n v="5"/>
  </r>
  <r>
    <s v="L0784"/>
    <s v="Neha Sharma"/>
    <n v="48"/>
    <s v="M"/>
    <x v="2"/>
    <n v="1167875"/>
    <n v="246312"/>
    <n v="9.2899999999999991"/>
    <n v="48"/>
    <n v="619"/>
    <x v="3"/>
    <x v="1"/>
    <d v="2020-08-04T00:00:00"/>
    <x v="1"/>
    <n v="6163.4583214306731"/>
    <n v="295845.99942867231"/>
    <n v="49533.999428672309"/>
    <n v="5"/>
  </r>
  <r>
    <s v="L0785"/>
    <s v="Sneha Pillai"/>
    <n v="35"/>
    <s v="M"/>
    <x v="1"/>
    <n v="394689"/>
    <n v="1934101"/>
    <n v="11.21"/>
    <n v="72"/>
    <n v="714"/>
    <x v="2"/>
    <x v="0"/>
    <d v="2019-02-11T00:00:00"/>
    <x v="0"/>
    <n v="37022.198129176155"/>
    <n v="2665598.2653006832"/>
    <n v="731497.26530068321"/>
    <n v="6"/>
  </r>
  <r>
    <s v="L0786"/>
    <s v="Vikram Das"/>
    <n v="28"/>
    <s v="M"/>
    <x v="0"/>
    <n v="990801"/>
    <n v="741015"/>
    <n v="11.32"/>
    <n v="60"/>
    <n v="755"/>
    <x v="0"/>
    <x v="1"/>
    <d v="2020-02-29T00:00:00"/>
    <x v="2"/>
    <n v="16229.969853902163"/>
    <n v="973798.19123412971"/>
    <n v="232783.19123412971"/>
    <n v="5"/>
  </r>
  <r>
    <s v="L0787"/>
    <s v="Tanya Rao"/>
    <n v="31"/>
    <s v="M"/>
    <x v="0"/>
    <n v="525188"/>
    <n v="582023"/>
    <n v="10.53"/>
    <n v="48"/>
    <n v="613"/>
    <x v="2"/>
    <x v="1"/>
    <d v="2022-05-07T00:00:00"/>
    <x v="3"/>
    <n v="14910.189773040182"/>
    <n v="715689.10910592868"/>
    <n v="133666.10910592868"/>
    <n v="3"/>
  </r>
  <r>
    <s v="L0788"/>
    <s v="Deepika Joshi"/>
    <n v="37"/>
    <s v="F"/>
    <x v="0"/>
    <n v="620101"/>
    <n v="1940304"/>
    <n v="12.39"/>
    <n v="120"/>
    <n v="696"/>
    <x v="1"/>
    <x v="1"/>
    <d v="2022-02-28T00:00:00"/>
    <x v="2"/>
    <n v="28276.921200641584"/>
    <n v="3393230.5440769899"/>
    <n v="1452926.5440769899"/>
    <n v="3"/>
  </r>
  <r>
    <s v="L0789"/>
    <s v="Rohit Khanna"/>
    <n v="35"/>
    <s v="F"/>
    <x v="1"/>
    <n v="693035"/>
    <n v="1262170"/>
    <n v="10.74"/>
    <n v="72"/>
    <n v="617"/>
    <x v="3"/>
    <x v="1"/>
    <d v="2024-05-12T00:00:00"/>
    <x v="3"/>
    <n v="23856.497467579862"/>
    <n v="1717667.8176657502"/>
    <n v="455497.81766575016"/>
    <n v="1"/>
  </r>
  <r>
    <s v="L0790"/>
    <s v="Neha Sharma"/>
    <n v="36"/>
    <s v="F"/>
    <x v="0"/>
    <n v="577051"/>
    <n v="1729658"/>
    <n v="12.63"/>
    <n v="72"/>
    <n v="832"/>
    <x v="0"/>
    <x v="1"/>
    <d v="2019-11-11T00:00:00"/>
    <x v="3"/>
    <n v="34384.482519237623"/>
    <n v="2475682.7413851088"/>
    <n v="746024.74138510879"/>
    <n v="6"/>
  </r>
  <r>
    <s v="L0791"/>
    <s v="Deepika Joshi"/>
    <n v="55"/>
    <s v="M"/>
    <x v="1"/>
    <n v="555754"/>
    <n v="1462530"/>
    <n v="10.3"/>
    <n v="48"/>
    <n v="779"/>
    <x v="0"/>
    <x v="1"/>
    <d v="2024-05-14T00:00:00"/>
    <x v="2"/>
    <n v="37304.605680641645"/>
    <n v="1790621.072670799"/>
    <n v="328091.07267079898"/>
    <n v="1"/>
  </r>
  <r>
    <s v="L0792"/>
    <s v="Aarav Patel"/>
    <n v="49"/>
    <s v="M"/>
    <x v="1"/>
    <n v="1170573"/>
    <n v="1587582"/>
    <n v="9.7100000000000009"/>
    <n v="120"/>
    <n v="625"/>
    <x v="0"/>
    <x v="1"/>
    <d v="2021-05-21T00:00:00"/>
    <x v="2"/>
    <n v="20725.896790605977"/>
    <n v="2487107.6148727173"/>
    <n v="899525.6148727173"/>
    <n v="4"/>
  </r>
  <r>
    <s v="L0793"/>
    <s v="Rohan Nair"/>
    <n v="52"/>
    <s v="M"/>
    <x v="2"/>
    <n v="1848427"/>
    <n v="937655"/>
    <n v="12"/>
    <n v="120"/>
    <n v="600"/>
    <x v="0"/>
    <x v="1"/>
    <d v="2022-05-10T00:00:00"/>
    <x v="1"/>
    <n v="13452.625212442805"/>
    <n v="1614315.0254931366"/>
    <n v="676660.02549313661"/>
    <n v="3"/>
  </r>
  <r>
    <s v="L0794"/>
    <s v="Amit Yadav"/>
    <n v="37"/>
    <s v="F"/>
    <x v="2"/>
    <n v="1411566"/>
    <n v="270812"/>
    <n v="13.95"/>
    <n v="36"/>
    <n v="821"/>
    <x v="3"/>
    <x v="1"/>
    <d v="2024-05-02T00:00:00"/>
    <x v="0"/>
    <n v="9249.1370873681917"/>
    <n v="332968.93514525489"/>
    <n v="62156.935145254887"/>
    <n v="1"/>
  </r>
  <r>
    <s v="L0795"/>
    <s v="Kiran Menon"/>
    <n v="30"/>
    <s v="M"/>
    <x v="0"/>
    <n v="654706"/>
    <n v="1040626"/>
    <n v="12.85"/>
    <n v="84"/>
    <n v="701"/>
    <x v="2"/>
    <x v="1"/>
    <d v="2021-05-14T00:00:00"/>
    <x v="2"/>
    <n v="18846.271447425101"/>
    <n v="1583086.8015837085"/>
    <n v="542460.8015837085"/>
    <n v="4"/>
  </r>
  <r>
    <s v="L0796"/>
    <s v="Vikram Das"/>
    <n v="60"/>
    <s v="M"/>
    <x v="2"/>
    <n v="1790100"/>
    <n v="1796130"/>
    <n v="10.119999999999999"/>
    <n v="36"/>
    <n v="699"/>
    <x v="3"/>
    <x v="1"/>
    <d v="2024-07-05T00:00:00"/>
    <x v="2"/>
    <n v="58057.3083627265"/>
    <n v="2090063.1010581539"/>
    <n v="293933.1010581539"/>
    <n v="1"/>
  </r>
  <r>
    <s v="L0797"/>
    <s v="Pooja Reddy"/>
    <n v="27"/>
    <s v="F"/>
    <x v="0"/>
    <n v="456657"/>
    <n v="790823"/>
    <n v="13.1"/>
    <n v="84"/>
    <n v="785"/>
    <x v="0"/>
    <x v="1"/>
    <d v="2023-03-18T00:00:00"/>
    <x v="3"/>
    <n v="14429.651716473141"/>
    <n v="1212090.7441837438"/>
    <n v="421267.74418374384"/>
    <n v="2"/>
  </r>
  <r>
    <s v="L0798"/>
    <s v="Raj Kumar"/>
    <n v="47"/>
    <s v="F"/>
    <x v="0"/>
    <n v="468176"/>
    <n v="1607370"/>
    <n v="9.34"/>
    <n v="120"/>
    <n v="610"/>
    <x v="2"/>
    <x v="1"/>
    <d v="2020-09-17T00:00:00"/>
    <x v="0"/>
    <n v="20658.426549799027"/>
    <n v="2479011.1859758832"/>
    <n v="871641.18597588316"/>
    <n v="5"/>
  </r>
  <r>
    <s v="L0799"/>
    <s v="Raj Kumar"/>
    <n v="51"/>
    <s v="F"/>
    <x v="2"/>
    <n v="1126591"/>
    <n v="1403950"/>
    <n v="10.85"/>
    <n v="96"/>
    <n v="786"/>
    <x v="0"/>
    <x v="1"/>
    <d v="2024-09-06T00:00:00"/>
    <x v="3"/>
    <n v="21940.418713133276"/>
    <n v="2106280.1964607947"/>
    <n v="702330.19646079466"/>
    <n v="1"/>
  </r>
  <r>
    <s v="L0800"/>
    <s v="Rohan Nair"/>
    <n v="30"/>
    <s v="M"/>
    <x v="1"/>
    <n v="1810565"/>
    <n v="938358"/>
    <n v="12.89"/>
    <n v="60"/>
    <n v="816"/>
    <x v="0"/>
    <x v="1"/>
    <d v="2019-04-08T00:00:00"/>
    <x v="3"/>
    <n v="21297.726307399094"/>
    <n v="1277863.5784439456"/>
    <n v="339505.57844394562"/>
    <n v="6"/>
  </r>
  <r>
    <s v="L0801"/>
    <s v="Mohit Jain"/>
    <n v="29"/>
    <s v="F"/>
    <x v="1"/>
    <n v="861043"/>
    <n v="1747564"/>
    <n v="14.51"/>
    <n v="60"/>
    <n v="642"/>
    <x v="0"/>
    <x v="1"/>
    <d v="2020-07-27T00:00:00"/>
    <x v="3"/>
    <n v="41126.294282165385"/>
    <n v="2467577.6569299232"/>
    <n v="720013.65692992322"/>
    <n v="5"/>
  </r>
  <r>
    <s v="L0802"/>
    <s v="Pooja Reddy"/>
    <n v="40"/>
    <s v="F"/>
    <x v="0"/>
    <n v="1481693"/>
    <n v="904788"/>
    <n v="11.19"/>
    <n v="36"/>
    <n v="675"/>
    <x v="0"/>
    <x v="0"/>
    <d v="2018-08-06T00:00:00"/>
    <x v="1"/>
    <n v="29703.07488432739"/>
    <n v="1069310.6958357859"/>
    <n v="164522.69583578594"/>
    <n v="7"/>
  </r>
  <r>
    <s v="L0803"/>
    <s v="Tanya Rao"/>
    <n v="42"/>
    <s v="F"/>
    <x v="2"/>
    <n v="530297"/>
    <n v="1163521"/>
    <n v="11.91"/>
    <n v="48"/>
    <n v="815"/>
    <x v="3"/>
    <x v="0"/>
    <d v="2022-11-16T00:00:00"/>
    <x v="2"/>
    <n v="30588.58067833215"/>
    <n v="1468251.8725599432"/>
    <n v="304730.87255994324"/>
    <n v="3"/>
  </r>
  <r>
    <s v="L0804"/>
    <s v="Rohit Khanna"/>
    <n v="30"/>
    <s v="M"/>
    <x v="1"/>
    <n v="711043"/>
    <n v="482816"/>
    <n v="11.09"/>
    <n v="72"/>
    <n v="606"/>
    <x v="3"/>
    <x v="1"/>
    <d v="2023-04-27T00:00:00"/>
    <x v="3"/>
    <n v="9212.2296575794298"/>
    <n v="663280.53534571896"/>
    <n v="180464.53534571896"/>
    <n v="2"/>
  </r>
  <r>
    <s v="L0805"/>
    <s v="Aditya Sharma"/>
    <n v="48"/>
    <s v="F"/>
    <x v="2"/>
    <n v="1313351"/>
    <n v="1861906"/>
    <n v="13.52"/>
    <n v="36"/>
    <n v="829"/>
    <x v="1"/>
    <x v="1"/>
    <d v="2021-04-08T00:00:00"/>
    <x v="3"/>
    <n v="63202.327866230633"/>
    <n v="2275283.803184303"/>
    <n v="413377.80318430299"/>
    <n v="4"/>
  </r>
  <r>
    <s v="L0806"/>
    <s v="Aarav Patel"/>
    <n v="56"/>
    <s v="M"/>
    <x v="2"/>
    <n v="1587686"/>
    <n v="1543506"/>
    <n v="10.85"/>
    <n v="36"/>
    <n v="671"/>
    <x v="1"/>
    <x v="1"/>
    <d v="2020-06-23T00:00:00"/>
    <x v="3"/>
    <n v="50422.834654290331"/>
    <n v="1815222.047554452"/>
    <n v="271716.04755445197"/>
    <n v="5"/>
  </r>
  <r>
    <s v="L0807"/>
    <s v="Deepika Joshi"/>
    <n v="56"/>
    <s v="F"/>
    <x v="1"/>
    <n v="1284675"/>
    <n v="938812"/>
    <n v="9.49"/>
    <n v="84"/>
    <n v="754"/>
    <x v="2"/>
    <x v="1"/>
    <d v="2021-01-29T00:00:00"/>
    <x v="3"/>
    <n v="15339.118814184698"/>
    <n v="1288485.9803915147"/>
    <n v="349673.98039151472"/>
    <n v="4"/>
  </r>
  <r>
    <s v="L0808"/>
    <s v="Amit Yadav"/>
    <n v="48"/>
    <s v="F"/>
    <x v="2"/>
    <n v="1250592"/>
    <n v="211672"/>
    <n v="14.14"/>
    <n v="72"/>
    <n v="612"/>
    <x v="2"/>
    <x v="0"/>
    <d v="2021-04-30T00:00:00"/>
    <x v="0"/>
    <n v="4377.5420317556964"/>
    <n v="315183.02628641017"/>
    <n v="103511.02628641017"/>
    <n v="4"/>
  </r>
  <r>
    <s v="L0809"/>
    <s v="Vikram Das"/>
    <n v="60"/>
    <s v="F"/>
    <x v="2"/>
    <n v="1231015"/>
    <n v="739999"/>
    <n v="9.7100000000000009"/>
    <n v="120"/>
    <n v="770"/>
    <x v="2"/>
    <x v="1"/>
    <d v="2019-12-09T00:00:00"/>
    <x v="2"/>
    <n v="9660.6933683750703"/>
    <n v="1159283.2042050085"/>
    <n v="419284.20420500846"/>
    <n v="6"/>
  </r>
  <r>
    <s v="L0810"/>
    <s v="Raj Kumar"/>
    <n v="35"/>
    <s v="M"/>
    <x v="2"/>
    <n v="1687449"/>
    <n v="1435814"/>
    <n v="13.62"/>
    <n v="72"/>
    <n v="730"/>
    <x v="2"/>
    <x v="1"/>
    <d v="2021-08-29T00:00:00"/>
    <x v="1"/>
    <n v="29294.645949874961"/>
    <n v="2109214.5083909971"/>
    <n v="673400.50839099707"/>
    <n v="4"/>
  </r>
  <r>
    <s v="L0811"/>
    <s v="Rina Kapoor"/>
    <n v="48"/>
    <s v="M"/>
    <x v="1"/>
    <n v="1784970"/>
    <n v="1467703"/>
    <n v="14.7"/>
    <n v="72"/>
    <n v="759"/>
    <x v="0"/>
    <x v="1"/>
    <d v="2019-07-30T00:00:00"/>
    <x v="1"/>
    <n v="30795.981435018843"/>
    <n v="2217310.6633213568"/>
    <n v="749607.66332135675"/>
    <n v="6"/>
  </r>
  <r>
    <s v="L0812"/>
    <s v="Arjun Mehta"/>
    <n v="34"/>
    <s v="F"/>
    <x v="2"/>
    <n v="610047"/>
    <n v="250423"/>
    <n v="9.16"/>
    <n v="48"/>
    <n v="616"/>
    <x v="2"/>
    <x v="1"/>
    <d v="2022-04-24T00:00:00"/>
    <x v="3"/>
    <n v="6250.8298458211875"/>
    <n v="300039.83259941702"/>
    <n v="49616.832599417015"/>
    <n v="3"/>
  </r>
  <r>
    <s v="L0813"/>
    <s v="Aditya Sharma"/>
    <n v="43"/>
    <s v="F"/>
    <x v="2"/>
    <n v="1619522"/>
    <n v="1357406"/>
    <n v="11.17"/>
    <n v="120"/>
    <n v="829"/>
    <x v="1"/>
    <x v="1"/>
    <d v="2024-02-13T00:00:00"/>
    <x v="3"/>
    <n v="18829.130092026113"/>
    <n v="2259495.6110431338"/>
    <n v="902089.61104313377"/>
    <n v="1"/>
  </r>
  <r>
    <s v="L0814"/>
    <s v="Arjun Mehta"/>
    <n v="35"/>
    <s v="F"/>
    <x v="2"/>
    <n v="1422163"/>
    <n v="926381"/>
    <n v="7.51"/>
    <n v="96"/>
    <n v="801"/>
    <x v="2"/>
    <x v="1"/>
    <d v="2019-05-15T00:00:00"/>
    <x v="2"/>
    <n v="12866.413782532196"/>
    <n v="1235175.7231230908"/>
    <n v="308794.72312309081"/>
    <n v="6"/>
  </r>
  <r>
    <s v="L0815"/>
    <s v="Aditya Sharma"/>
    <n v="42"/>
    <s v="M"/>
    <x v="2"/>
    <n v="1544957"/>
    <n v="1703245"/>
    <n v="7.77"/>
    <n v="72"/>
    <n v="661"/>
    <x v="1"/>
    <x v="0"/>
    <d v="2024-04-01T00:00:00"/>
    <x v="2"/>
    <n v="29672.488025729916"/>
    <n v="2136419.1378525537"/>
    <n v="433174.13785255374"/>
    <n v="1"/>
  </r>
  <r>
    <s v="L0816"/>
    <s v="Priya Singh"/>
    <n v="34"/>
    <s v="M"/>
    <x v="2"/>
    <n v="440045"/>
    <n v="1257102"/>
    <n v="10.61"/>
    <n v="60"/>
    <n v="780"/>
    <x v="3"/>
    <x v="1"/>
    <d v="2021-02-21T00:00:00"/>
    <x v="2"/>
    <n v="27088.577625598115"/>
    <n v="1625314.6575358869"/>
    <n v="368212.65753588686"/>
    <n v="4"/>
  </r>
  <r>
    <s v="L0817"/>
    <s v="Amit Yadav"/>
    <n v="60"/>
    <s v="M"/>
    <x v="1"/>
    <n v="804013"/>
    <n v="1120804"/>
    <n v="14.56"/>
    <n v="72"/>
    <n v="724"/>
    <x v="1"/>
    <x v="0"/>
    <d v="2023-01-25T00:00:00"/>
    <x v="2"/>
    <n v="23432.421783721715"/>
    <n v="1687134.3684279635"/>
    <n v="566330.36842796346"/>
    <n v="2"/>
  </r>
  <r>
    <s v="L0818"/>
    <s v="Mohit Jain"/>
    <n v="30"/>
    <s v="M"/>
    <x v="1"/>
    <n v="580358"/>
    <n v="1803907"/>
    <n v="12.18"/>
    <n v="60"/>
    <n v="728"/>
    <x v="3"/>
    <x v="1"/>
    <d v="2020-11-18T00:00:00"/>
    <x v="0"/>
    <n v="40291.190919189336"/>
    <n v="2417471.45515136"/>
    <n v="613564.45515136002"/>
    <n v="5"/>
  </r>
  <r>
    <s v="L0819"/>
    <s v="Vikram Das"/>
    <n v="36"/>
    <s v="F"/>
    <x v="0"/>
    <n v="977897"/>
    <n v="1927163"/>
    <n v="13.4"/>
    <n v="96"/>
    <n v="685"/>
    <x v="3"/>
    <x v="0"/>
    <d v="2018-03-25T00:00:00"/>
    <x v="0"/>
    <n v="32823.022287386055"/>
    <n v="3151010.139589061"/>
    <n v="1223847.139589061"/>
    <n v="7"/>
  </r>
  <r>
    <s v="L0820"/>
    <s v="Sahil Gupta"/>
    <n v="44"/>
    <s v="M"/>
    <x v="1"/>
    <n v="818162"/>
    <n v="282089"/>
    <n v="12.75"/>
    <n v="72"/>
    <n v="738"/>
    <x v="1"/>
    <x v="1"/>
    <d v="2021-01-21T00:00:00"/>
    <x v="2"/>
    <n v="5625.5316805469492"/>
    <n v="405038.28099938034"/>
    <n v="122949.28099938034"/>
    <n v="4"/>
  </r>
  <r>
    <s v="L0821"/>
    <s v="Raj Kumar"/>
    <n v="33"/>
    <s v="M"/>
    <x v="2"/>
    <n v="1735949"/>
    <n v="1067518"/>
    <n v="9.4499999999999993"/>
    <n v="48"/>
    <n v="816"/>
    <x v="1"/>
    <x v="0"/>
    <d v="2022-11-02T00:00:00"/>
    <x v="3"/>
    <n v="26793.918597278123"/>
    <n v="1286108.0926693499"/>
    <n v="218590.09266934986"/>
    <n v="3"/>
  </r>
  <r>
    <s v="L0822"/>
    <s v="Aditya Sharma"/>
    <n v="53"/>
    <s v="M"/>
    <x v="1"/>
    <n v="452774"/>
    <n v="900291"/>
    <n v="10.8"/>
    <n v="84"/>
    <n v="664"/>
    <x v="0"/>
    <x v="1"/>
    <d v="2018-01-23T00:00:00"/>
    <x v="1"/>
    <n v="15320.665222745727"/>
    <n v="1286935.8787106411"/>
    <n v="386644.87871064106"/>
    <n v="7"/>
  </r>
  <r>
    <s v="L0823"/>
    <s v="Priya Singh"/>
    <n v="49"/>
    <s v="M"/>
    <x v="0"/>
    <n v="970938"/>
    <n v="725775"/>
    <n v="11.66"/>
    <n v="48"/>
    <n v="819"/>
    <x v="3"/>
    <x v="0"/>
    <d v="2020-02-16T00:00:00"/>
    <x v="3"/>
    <n v="18991.505192400848"/>
    <n v="911592.24923524074"/>
    <n v="185817.24923524074"/>
    <n v="5"/>
  </r>
  <r>
    <s v="L0824"/>
    <s v="Rohit Khanna"/>
    <n v="60"/>
    <s v="M"/>
    <x v="1"/>
    <n v="1242886"/>
    <n v="511216"/>
    <n v="8.3699999999999992"/>
    <n v="48"/>
    <n v="670"/>
    <x v="0"/>
    <x v="1"/>
    <d v="2021-05-24T00:00:00"/>
    <x v="0"/>
    <n v="12569.254269053725"/>
    <n v="603324.20491457882"/>
    <n v="92108.204914578819"/>
    <n v="4"/>
  </r>
  <r>
    <s v="L0825"/>
    <s v="Aditya Sharma"/>
    <n v="33"/>
    <s v="F"/>
    <x v="1"/>
    <n v="1035028"/>
    <n v="1183559"/>
    <n v="12.47"/>
    <n v="96"/>
    <n v="841"/>
    <x v="2"/>
    <x v="1"/>
    <d v="2023-07-28T00:00:00"/>
    <x v="1"/>
    <n v="19543.139836865754"/>
    <n v="1876141.4243391124"/>
    <n v="692582.42433911236"/>
    <n v="2"/>
  </r>
  <r>
    <s v="L0826"/>
    <s v="Rohit Khanna"/>
    <n v="39"/>
    <s v="M"/>
    <x v="2"/>
    <n v="730182"/>
    <n v="715709"/>
    <n v="13.07"/>
    <n v="72"/>
    <n v="768"/>
    <x v="2"/>
    <x v="1"/>
    <d v="2024-03-24T00:00:00"/>
    <x v="2"/>
    <n v="14393.673223557649"/>
    <n v="1036344.4720961507"/>
    <n v="320635.47209615074"/>
    <n v="1"/>
  </r>
  <r>
    <s v="L0827"/>
    <s v="Sahil Gupta"/>
    <n v="52"/>
    <s v="F"/>
    <x v="2"/>
    <n v="1609334"/>
    <n v="841977"/>
    <n v="14.94"/>
    <n v="72"/>
    <n v="785"/>
    <x v="3"/>
    <x v="1"/>
    <d v="2019-06-06T00:00:00"/>
    <x v="1"/>
    <n v="17776.191436556768"/>
    <n v="1279885.7834320874"/>
    <n v="437908.7834320874"/>
    <n v="6"/>
  </r>
  <r>
    <s v="L0828"/>
    <s v="Sneha Pillai"/>
    <n v="36"/>
    <s v="F"/>
    <x v="0"/>
    <n v="1758197"/>
    <n v="1308727"/>
    <n v="13.98"/>
    <n v="60"/>
    <n v="666"/>
    <x v="1"/>
    <x v="1"/>
    <d v="2019-05-08T00:00:00"/>
    <x v="2"/>
    <n v="30438.21997482502"/>
    <n v="1826293.1984895011"/>
    <n v="517566.19848950114"/>
    <n v="6"/>
  </r>
  <r>
    <s v="L0829"/>
    <s v="Vikram Das"/>
    <n v="50"/>
    <s v="F"/>
    <x v="1"/>
    <n v="1942054"/>
    <n v="857525"/>
    <n v="12.32"/>
    <n v="96"/>
    <n v="849"/>
    <x v="1"/>
    <x v="1"/>
    <d v="2019-03-15T00:00:00"/>
    <x v="2"/>
    <n v="14088.427235331124"/>
    <n v="1352489.0145917879"/>
    <n v="494964.01459178794"/>
    <n v="6"/>
  </r>
  <r>
    <s v="L0830"/>
    <s v="Raj Kumar"/>
    <n v="47"/>
    <s v="F"/>
    <x v="2"/>
    <n v="1119385"/>
    <n v="649521"/>
    <n v="14.59"/>
    <n v="36"/>
    <n v="626"/>
    <x v="0"/>
    <x v="1"/>
    <d v="2021-08-28T00:00:00"/>
    <x v="2"/>
    <n v="22385.667635233236"/>
    <n v="805884.03486839647"/>
    <n v="156363.03486839647"/>
    <n v="4"/>
  </r>
  <r>
    <s v="L0831"/>
    <s v="Sahil Gupta"/>
    <n v="40"/>
    <s v="M"/>
    <x v="2"/>
    <n v="1998235"/>
    <n v="386590"/>
    <n v="8.23"/>
    <n v="96"/>
    <n v="677"/>
    <x v="1"/>
    <x v="1"/>
    <d v="2020-03-23T00:00:00"/>
    <x v="1"/>
    <n v="5510.3993063355674"/>
    <n v="528998.3334082145"/>
    <n v="142408.3334082145"/>
    <n v="5"/>
  </r>
  <r>
    <s v="L0832"/>
    <s v="Aditya Sharma"/>
    <n v="39"/>
    <s v="M"/>
    <x v="2"/>
    <n v="1546900"/>
    <n v="601780"/>
    <n v="13.5"/>
    <n v="96"/>
    <n v="656"/>
    <x v="3"/>
    <x v="1"/>
    <d v="2020-06-01T00:00:00"/>
    <x v="3"/>
    <n v="10283.312742468703"/>
    <n v="987198.0232769954"/>
    <n v="385418.0232769954"/>
    <n v="5"/>
  </r>
  <r>
    <s v="L0833"/>
    <s v="Amit Yadav"/>
    <n v="39"/>
    <s v="F"/>
    <x v="0"/>
    <n v="1205216"/>
    <n v="462031"/>
    <n v="12.01"/>
    <n v="96"/>
    <n v="689"/>
    <x v="1"/>
    <x v="1"/>
    <d v="2022-11-19T00:00:00"/>
    <x v="0"/>
    <n v="7511.8553980346096"/>
    <n v="721138.11821132246"/>
    <n v="259107.11821132246"/>
    <n v="3"/>
  </r>
  <r>
    <s v="L0834"/>
    <s v="Amit Yadav"/>
    <n v="46"/>
    <s v="F"/>
    <x v="2"/>
    <n v="1721658"/>
    <n v="1644568"/>
    <n v="12.5"/>
    <n v="72"/>
    <n v="655"/>
    <x v="0"/>
    <x v="1"/>
    <d v="2020-07-01T00:00:00"/>
    <x v="3"/>
    <n v="32580.830534990571"/>
    <n v="2345819.7985193213"/>
    <n v="701251.79851932125"/>
    <n v="5"/>
  </r>
  <r>
    <s v="L0835"/>
    <s v="Priya Singh"/>
    <n v="54"/>
    <s v="M"/>
    <x v="2"/>
    <n v="362256"/>
    <n v="1369306"/>
    <n v="12.72"/>
    <n v="48"/>
    <n v="649"/>
    <x v="2"/>
    <x v="0"/>
    <d v="2019-08-13T00:00:00"/>
    <x v="2"/>
    <n v="36545.04289228734"/>
    <n v="1754162.0588297923"/>
    <n v="384856.05882979231"/>
    <n v="6"/>
  </r>
  <r>
    <s v="L0836"/>
    <s v="Isha Verma"/>
    <n v="51"/>
    <s v="M"/>
    <x v="2"/>
    <n v="1515386"/>
    <n v="928695"/>
    <n v="9.8000000000000007"/>
    <n v="84"/>
    <n v="763"/>
    <x v="1"/>
    <x v="1"/>
    <d v="2019-09-07T00:00:00"/>
    <x v="3"/>
    <n v="15321.636099258376"/>
    <n v="1287017.4323377036"/>
    <n v="358322.43233770365"/>
    <n v="6"/>
  </r>
  <r>
    <s v="L0837"/>
    <s v="Aditya Sharma"/>
    <n v="30"/>
    <s v="F"/>
    <x v="1"/>
    <n v="1763950"/>
    <n v="1312959"/>
    <n v="11.84"/>
    <n v="84"/>
    <n v="805"/>
    <x v="0"/>
    <x v="1"/>
    <d v="2018-04-28T00:00:00"/>
    <x v="3"/>
    <n v="23065.121095747629"/>
    <n v="1937470.1720428008"/>
    <n v="624511.17204280081"/>
    <n v="7"/>
  </r>
  <r>
    <s v="L0838"/>
    <s v="Rohan Nair"/>
    <n v="30"/>
    <s v="F"/>
    <x v="1"/>
    <n v="1003229"/>
    <n v="1046181"/>
    <n v="9.6"/>
    <n v="84"/>
    <n v="773"/>
    <x v="2"/>
    <x v="1"/>
    <d v="2018-03-24T00:00:00"/>
    <x v="2"/>
    <n v="17152.387133084445"/>
    <n v="1440800.5191790934"/>
    <n v="394619.51917909342"/>
    <n v="7"/>
  </r>
  <r>
    <s v="L0839"/>
    <s v="Aarav Patel"/>
    <n v="34"/>
    <s v="F"/>
    <x v="0"/>
    <n v="1816198"/>
    <n v="627216"/>
    <n v="10.66"/>
    <n v="48"/>
    <n v="850"/>
    <x v="1"/>
    <x v="1"/>
    <d v="2019-06-12T00:00:00"/>
    <x v="0"/>
    <n v="16107.357917283978"/>
    <n v="773153.18002963089"/>
    <n v="145937.18002963089"/>
    <n v="6"/>
  </r>
  <r>
    <s v="L0840"/>
    <s v="Aarav Patel"/>
    <n v="41"/>
    <s v="F"/>
    <x v="0"/>
    <n v="596240"/>
    <n v="1529360"/>
    <n v="8.6999999999999993"/>
    <n v="84"/>
    <n v="792"/>
    <x v="2"/>
    <x v="1"/>
    <d v="2018-01-30T00:00:00"/>
    <x v="2"/>
    <n v="24373.784351565231"/>
    <n v="2047397.8855314795"/>
    <n v="518037.88553147949"/>
    <n v="7"/>
  </r>
  <r>
    <s v="L0841"/>
    <s v="Kiran Menon"/>
    <n v="34"/>
    <s v="F"/>
    <x v="0"/>
    <n v="871336"/>
    <n v="340605"/>
    <n v="12.2"/>
    <n v="84"/>
    <n v="638"/>
    <x v="0"/>
    <x v="0"/>
    <d v="2023-02-09T00:00:00"/>
    <x v="0"/>
    <n v="6049.0997738271763"/>
    <n v="508124.38100148283"/>
    <n v="167519.38100148283"/>
    <n v="2"/>
  </r>
  <r>
    <s v="L0842"/>
    <s v="Pooja Reddy"/>
    <n v="42"/>
    <s v="M"/>
    <x v="1"/>
    <n v="1870381"/>
    <n v="1045517"/>
    <n v="13.77"/>
    <n v="120"/>
    <n v="614"/>
    <x v="1"/>
    <x v="1"/>
    <d v="2022-09-05T00:00:00"/>
    <x v="3"/>
    <n v="16089.097355732507"/>
    <n v="1930691.6826879007"/>
    <n v="885174.68268790073"/>
    <n v="3"/>
  </r>
  <r>
    <s v="L0843"/>
    <s v="Priya Singh"/>
    <n v="57"/>
    <s v="F"/>
    <x v="1"/>
    <n v="1952828"/>
    <n v="909771"/>
    <n v="11.02"/>
    <n v="60"/>
    <n v="816"/>
    <x v="2"/>
    <x v="1"/>
    <d v="2024-04-15T00:00:00"/>
    <x v="1"/>
    <n v="19789.701407209581"/>
    <n v="1187382.0844325749"/>
    <n v="277611.08443257492"/>
    <n v="1"/>
  </r>
  <r>
    <s v="L0844"/>
    <s v="Arjun Mehta"/>
    <n v="31"/>
    <s v="M"/>
    <x v="2"/>
    <n v="539966"/>
    <n v="763152"/>
    <n v="10.23"/>
    <n v="96"/>
    <n v="800"/>
    <x v="0"/>
    <x v="0"/>
    <d v="2019-12-21T00:00:00"/>
    <x v="3"/>
    <n v="11673.277758973858"/>
    <n v="1120634.6648614905"/>
    <n v="357482.66486149048"/>
    <n v="6"/>
  </r>
  <r>
    <s v="L0845"/>
    <s v="Rohan Nair"/>
    <n v="29"/>
    <s v="F"/>
    <x v="1"/>
    <n v="1970799"/>
    <n v="711141"/>
    <n v="12.59"/>
    <n v="96"/>
    <n v="805"/>
    <x v="1"/>
    <x v="1"/>
    <d v="2019-01-31T00:00:00"/>
    <x v="1"/>
    <n v="11789.826465614193"/>
    <n v="1131823.3406989626"/>
    <n v="420682.34069896257"/>
    <n v="6"/>
  </r>
  <r>
    <s v="L0846"/>
    <s v="Sahil Gupta"/>
    <n v="31"/>
    <s v="M"/>
    <x v="1"/>
    <n v="1411868"/>
    <n v="398759"/>
    <n v="13.46"/>
    <n v="60"/>
    <n v="754"/>
    <x v="3"/>
    <x v="1"/>
    <d v="2020-05-11T00:00:00"/>
    <x v="0"/>
    <n v="9167.1679650158676"/>
    <n v="550030.07790095208"/>
    <n v="151271.07790095208"/>
    <n v="5"/>
  </r>
  <r>
    <s v="L0847"/>
    <s v="Pooja Reddy"/>
    <n v="34"/>
    <s v="M"/>
    <x v="1"/>
    <n v="1144430"/>
    <n v="705317"/>
    <n v="14.73"/>
    <n v="84"/>
    <n v="672"/>
    <x v="2"/>
    <x v="1"/>
    <d v="2019-11-26T00:00:00"/>
    <x v="0"/>
    <n v="13503.706170812768"/>
    <n v="1134311.3183482725"/>
    <n v="428994.31834827247"/>
    <n v="6"/>
  </r>
  <r>
    <s v="L0848"/>
    <s v="Meena George"/>
    <n v="38"/>
    <s v="F"/>
    <x v="0"/>
    <n v="1081841"/>
    <n v="1742023"/>
    <n v="13.2"/>
    <n v="36"/>
    <n v="689"/>
    <x v="0"/>
    <x v="1"/>
    <d v="2023-02-19T00:00:00"/>
    <x v="1"/>
    <n v="58863.593297981795"/>
    <n v="2119089.3587273448"/>
    <n v="377066.35872734478"/>
    <n v="2"/>
  </r>
  <r>
    <s v="L0849"/>
    <s v="Priya Singh"/>
    <n v="59"/>
    <s v="F"/>
    <x v="1"/>
    <n v="974963"/>
    <n v="1578873"/>
    <n v="9.41"/>
    <n v="60"/>
    <n v="814"/>
    <x v="1"/>
    <x v="1"/>
    <d v="2019-12-28T00:00:00"/>
    <x v="2"/>
    <n v="33089.872369756173"/>
    <n v="1985392.3421853704"/>
    <n v="406519.34218537039"/>
    <n v="6"/>
  </r>
  <r>
    <s v="L0850"/>
    <s v="Deepika Joshi"/>
    <n v="56"/>
    <s v="M"/>
    <x v="0"/>
    <n v="1115729"/>
    <n v="1864579"/>
    <n v="14.72"/>
    <n v="84"/>
    <n v="847"/>
    <x v="0"/>
    <x v="1"/>
    <d v="2021-09-01T00:00:00"/>
    <x v="1"/>
    <n v="35688.037496973084"/>
    <n v="2997795.1497457391"/>
    <n v="1133216.1497457391"/>
    <n v="4"/>
  </r>
  <r>
    <s v="L0851"/>
    <s v="Rina Kapoor"/>
    <n v="45"/>
    <s v="F"/>
    <x v="2"/>
    <n v="1452516"/>
    <n v="629406"/>
    <n v="8.9"/>
    <n v="60"/>
    <n v="845"/>
    <x v="3"/>
    <x v="1"/>
    <d v="2024-04-29T00:00:00"/>
    <x v="3"/>
    <n v="13034.907448910881"/>
    <n v="782094.44693465286"/>
    <n v="152688.44693465286"/>
    <n v="1"/>
  </r>
  <r>
    <s v="L0852"/>
    <s v="Neha Sharma"/>
    <n v="37"/>
    <s v="F"/>
    <x v="0"/>
    <n v="1422598"/>
    <n v="1657198"/>
    <n v="9.89"/>
    <n v="60"/>
    <n v="683"/>
    <x v="0"/>
    <x v="1"/>
    <d v="2019-04-15T00:00:00"/>
    <x v="3"/>
    <n v="35120.932091710521"/>
    <n v="2107255.9255026313"/>
    <n v="450057.92550263135"/>
    <n v="6"/>
  </r>
  <r>
    <s v="L0853"/>
    <s v="Kiran Menon"/>
    <n v="43"/>
    <s v="M"/>
    <x v="0"/>
    <n v="793896"/>
    <n v="1194101"/>
    <n v="12.36"/>
    <n v="120"/>
    <n v="762"/>
    <x v="0"/>
    <x v="1"/>
    <d v="2022-05-17T00:00:00"/>
    <x v="3"/>
    <n v="17381.302221388931"/>
    <n v="2085756.2665666717"/>
    <n v="891655.26656667166"/>
    <n v="3"/>
  </r>
  <r>
    <s v="L0854"/>
    <s v="Pooja Reddy"/>
    <n v="34"/>
    <s v="F"/>
    <x v="0"/>
    <n v="421405"/>
    <n v="802188"/>
    <n v="14.97"/>
    <n v="96"/>
    <n v="721"/>
    <x v="1"/>
    <x v="1"/>
    <d v="2024-01-11T00:00:00"/>
    <x v="3"/>
    <n v="14381.666070700549"/>
    <n v="1380639.9427872526"/>
    <n v="578451.9427872526"/>
    <n v="1"/>
  </r>
  <r>
    <s v="L0855"/>
    <s v="Rina Kapoor"/>
    <n v="43"/>
    <s v="M"/>
    <x v="2"/>
    <n v="1354811"/>
    <n v="649509"/>
    <n v="10.039999999999999"/>
    <n v="96"/>
    <n v="712"/>
    <x v="2"/>
    <x v="1"/>
    <d v="2018-09-16T00:00:00"/>
    <x v="3"/>
    <n v="9869.5086123550282"/>
    <n v="947472.8267860827"/>
    <n v="297963.8267860827"/>
    <n v="7"/>
  </r>
  <r>
    <s v="L0856"/>
    <s v="Deepika Joshi"/>
    <n v="56"/>
    <s v="M"/>
    <x v="1"/>
    <n v="738111"/>
    <n v="1917726"/>
    <n v="7.92"/>
    <n v="36"/>
    <n v="754"/>
    <x v="0"/>
    <x v="0"/>
    <d v="2022-08-11T00:00:00"/>
    <x v="1"/>
    <n v="60023.813159593243"/>
    <n v="2160857.2737453566"/>
    <n v="243131.27374535659"/>
    <n v="3"/>
  </r>
  <r>
    <s v="L0857"/>
    <s v="Amit Yadav"/>
    <n v="54"/>
    <s v="M"/>
    <x v="1"/>
    <n v="1110484"/>
    <n v="1739554"/>
    <n v="7.71"/>
    <n v="48"/>
    <n v="671"/>
    <x v="3"/>
    <x v="1"/>
    <d v="2023-09-19T00:00:00"/>
    <x v="1"/>
    <n v="42231.195287471397"/>
    <n v="2027097.3737986269"/>
    <n v="287543.37379862694"/>
    <n v="2"/>
  </r>
  <r>
    <s v="L0858"/>
    <s v="Vikram Das"/>
    <n v="39"/>
    <s v="F"/>
    <x v="0"/>
    <n v="1405253"/>
    <n v="925519"/>
    <n v="10.83"/>
    <n v="72"/>
    <n v="739"/>
    <x v="0"/>
    <x v="1"/>
    <d v="2018-05-27T00:00:00"/>
    <x v="1"/>
    <n v="17535.920168347679"/>
    <n v="1262586.2521210329"/>
    <n v="337067.25212103291"/>
    <n v="7"/>
  </r>
  <r>
    <s v="L0859"/>
    <s v="Neha Sharma"/>
    <n v="25"/>
    <s v="F"/>
    <x v="0"/>
    <n v="1401551"/>
    <n v="385006"/>
    <n v="11.02"/>
    <n v="72"/>
    <n v="835"/>
    <x v="1"/>
    <x v="1"/>
    <d v="2021-05-12T00:00:00"/>
    <x v="0"/>
    <n v="7332.1791438629461"/>
    <n v="527916.89835813211"/>
    <n v="142910.89835813211"/>
    <n v="4"/>
  </r>
  <r>
    <s v="L0860"/>
    <s v="Mohit Jain"/>
    <n v="41"/>
    <s v="F"/>
    <x v="0"/>
    <n v="399243"/>
    <n v="1696415"/>
    <n v="14.21"/>
    <n v="60"/>
    <n v="746"/>
    <x v="2"/>
    <x v="1"/>
    <d v="2021-02-17T00:00:00"/>
    <x v="0"/>
    <n v="39657.544618683627"/>
    <n v="2379452.6771210176"/>
    <n v="683037.67712101759"/>
    <n v="4"/>
  </r>
  <r>
    <s v="L0861"/>
    <s v="Kiran Menon"/>
    <n v="38"/>
    <s v="M"/>
    <x v="2"/>
    <n v="393407"/>
    <n v="728169"/>
    <n v="13.48"/>
    <n v="96"/>
    <n v="719"/>
    <x v="2"/>
    <x v="1"/>
    <d v="2023-07-28T00:00:00"/>
    <x v="1"/>
    <n v="12434.852143846081"/>
    <n v="1193745.8058092238"/>
    <n v="465576.80580922379"/>
    <n v="2"/>
  </r>
  <r>
    <s v="L0862"/>
    <s v="Meena George"/>
    <n v="57"/>
    <s v="F"/>
    <x v="0"/>
    <n v="596502"/>
    <n v="1376803"/>
    <n v="8.42"/>
    <n v="48"/>
    <n v="671"/>
    <x v="1"/>
    <x v="0"/>
    <d v="2024-03-10T00:00:00"/>
    <x v="1"/>
    <n v="33883.880544062893"/>
    <n v="1626426.2661150189"/>
    <n v="249623.26611501887"/>
    <n v="1"/>
  </r>
  <r>
    <s v="L0863"/>
    <s v="Kiran Menon"/>
    <n v="41"/>
    <s v="F"/>
    <x v="1"/>
    <n v="1213565"/>
    <n v="488284"/>
    <n v="14.98"/>
    <n v="84"/>
    <n v="732"/>
    <x v="1"/>
    <x v="1"/>
    <d v="2020-06-19T00:00:00"/>
    <x v="0"/>
    <n v="9416.8184095501365"/>
    <n v="791012.74640221149"/>
    <n v="302728.74640221149"/>
    <n v="5"/>
  </r>
  <r>
    <s v="L0864"/>
    <s v="Vikram Das"/>
    <n v="47"/>
    <s v="F"/>
    <x v="2"/>
    <n v="1013214"/>
    <n v="1154026"/>
    <n v="10.08"/>
    <n v="36"/>
    <n v="838"/>
    <x v="0"/>
    <x v="1"/>
    <d v="2021-11-17T00:00:00"/>
    <x v="2"/>
    <n v="37280.532705569545"/>
    <n v="1342099.1774005035"/>
    <n v="188073.17740050354"/>
    <n v="4"/>
  </r>
  <r>
    <s v="L0865"/>
    <s v="Rohit Khanna"/>
    <n v="32"/>
    <s v="M"/>
    <x v="0"/>
    <n v="1873484"/>
    <n v="417095"/>
    <n v="9.1"/>
    <n v="72"/>
    <n v="618"/>
    <x v="3"/>
    <x v="0"/>
    <d v="2024-01-27T00:00:00"/>
    <x v="2"/>
    <n v="7539.0789033528699"/>
    <n v="542813.68104140658"/>
    <n v="125718.68104140658"/>
    <n v="1"/>
  </r>
  <r>
    <s v="L0866"/>
    <s v="Arjun Mehta"/>
    <n v="42"/>
    <s v="F"/>
    <x v="2"/>
    <n v="761501"/>
    <n v="940378"/>
    <n v="10.14"/>
    <n v="72"/>
    <n v="720"/>
    <x v="1"/>
    <x v="1"/>
    <d v="2023-08-24T00:00:00"/>
    <x v="0"/>
    <n v="17487.753614656045"/>
    <n v="1259118.2602552352"/>
    <n v="318740.26025523525"/>
    <n v="2"/>
  </r>
  <r>
    <s v="L0867"/>
    <s v="Aarav Patel"/>
    <n v="44"/>
    <s v="F"/>
    <x v="1"/>
    <n v="918931"/>
    <n v="283244"/>
    <n v="11.11"/>
    <n v="84"/>
    <n v="745"/>
    <x v="2"/>
    <x v="1"/>
    <d v="2018-02-10T00:00:00"/>
    <x v="2"/>
    <n v="4866.2248982080782"/>
    <n v="408762.89144947857"/>
    <n v="125518.89144947857"/>
    <n v="7"/>
  </r>
  <r>
    <s v="L0868"/>
    <s v="Sneha Pillai"/>
    <n v="41"/>
    <s v="M"/>
    <x v="2"/>
    <n v="596068"/>
    <n v="857772"/>
    <n v="10.82"/>
    <n v="96"/>
    <n v="847"/>
    <x v="2"/>
    <x v="0"/>
    <d v="2024-04-03T00:00:00"/>
    <x v="2"/>
    <n v="13391.111701126345"/>
    <n v="1285546.7233081292"/>
    <n v="427774.72330812924"/>
    <n v="1"/>
  </r>
  <r>
    <s v="L0869"/>
    <s v="Rohan Nair"/>
    <n v="59"/>
    <s v="M"/>
    <x v="1"/>
    <n v="314997"/>
    <n v="320785"/>
    <n v="12.94"/>
    <n v="96"/>
    <n v="609"/>
    <x v="2"/>
    <x v="0"/>
    <d v="2020-04-06T00:00:00"/>
    <x v="2"/>
    <n v="5380.7549737638656"/>
    <n v="516552.47748133109"/>
    <n v="195767.47748133109"/>
    <n v="5"/>
  </r>
  <r>
    <s v="L0870"/>
    <s v="Mohit Jain"/>
    <n v="31"/>
    <s v="M"/>
    <x v="0"/>
    <n v="435580"/>
    <n v="551825"/>
    <n v="7.88"/>
    <n v="120"/>
    <n v="774"/>
    <x v="0"/>
    <x v="0"/>
    <d v="2018-08-12T00:00:00"/>
    <x v="3"/>
    <n v="6660.2211062173456"/>
    <n v="799226.53274608147"/>
    <n v="247401.53274608147"/>
    <n v="7"/>
  </r>
  <r>
    <s v="L0871"/>
    <s v="Neha Sharma"/>
    <n v="51"/>
    <s v="M"/>
    <x v="2"/>
    <n v="605888"/>
    <n v="1284548"/>
    <n v="9.8000000000000007"/>
    <n v="48"/>
    <n v="613"/>
    <x v="1"/>
    <x v="1"/>
    <d v="2020-05-26T00:00:00"/>
    <x v="3"/>
    <n v="32456.215240990718"/>
    <n v="1557898.3315675545"/>
    <n v="273350.3315675545"/>
    <n v="5"/>
  </r>
  <r>
    <s v="L0872"/>
    <s v="Meena George"/>
    <n v="48"/>
    <s v="F"/>
    <x v="2"/>
    <n v="1518485"/>
    <n v="1831293"/>
    <n v="11.39"/>
    <n v="60"/>
    <n v="639"/>
    <x v="1"/>
    <x v="1"/>
    <d v="2020-09-14T00:00:00"/>
    <x v="2"/>
    <n v="40173.852006823297"/>
    <n v="2410431.1204093979"/>
    <n v="579138.12040939787"/>
    <n v="5"/>
  </r>
  <r>
    <s v="L0873"/>
    <s v="Sneha Pillai"/>
    <n v="57"/>
    <s v="F"/>
    <x v="0"/>
    <n v="1389748"/>
    <n v="340764"/>
    <n v="13.22"/>
    <n v="84"/>
    <n v="850"/>
    <x v="2"/>
    <x v="1"/>
    <d v="2020-09-21T00:00:00"/>
    <x v="1"/>
    <n v="6239.9959438064907"/>
    <n v="524159.65927974519"/>
    <n v="183395.65927974519"/>
    <n v="5"/>
  </r>
  <r>
    <s v="L0874"/>
    <s v="Vikram Das"/>
    <n v="45"/>
    <s v="F"/>
    <x v="0"/>
    <n v="577883"/>
    <n v="1803810"/>
    <n v="10.220000000000001"/>
    <n v="60"/>
    <n v="768"/>
    <x v="1"/>
    <x v="1"/>
    <d v="2022-04-07T00:00:00"/>
    <x v="1"/>
    <n v="38521.1841621774"/>
    <n v="2311271.0497306441"/>
    <n v="507461.0497306441"/>
    <n v="3"/>
  </r>
  <r>
    <s v="L0875"/>
    <s v="Kiran Menon"/>
    <n v="28"/>
    <s v="F"/>
    <x v="1"/>
    <n v="793795"/>
    <n v="1476828"/>
    <n v="11.76"/>
    <n v="96"/>
    <n v="654"/>
    <x v="1"/>
    <x v="0"/>
    <d v="2021-01-07T00:00:00"/>
    <x v="3"/>
    <n v="23808.333752034538"/>
    <n v="2285600.0401953156"/>
    <n v="808772.04019531561"/>
    <n v="4"/>
  </r>
  <r>
    <s v="L0876"/>
    <s v="Rohan Nair"/>
    <n v="25"/>
    <s v="F"/>
    <x v="2"/>
    <n v="382595"/>
    <n v="691499"/>
    <n v="13.19"/>
    <n v="120"/>
    <n v="607"/>
    <x v="2"/>
    <x v="1"/>
    <d v="2019-10-31T00:00:00"/>
    <x v="0"/>
    <n v="10402.461173416126"/>
    <n v="1248295.3408099352"/>
    <n v="556796.34080993524"/>
    <n v="6"/>
  </r>
  <r>
    <s v="L0877"/>
    <s v="Arjun Mehta"/>
    <n v="54"/>
    <s v="M"/>
    <x v="1"/>
    <n v="848585"/>
    <n v="1237338"/>
    <n v="9.3000000000000007"/>
    <n v="96"/>
    <n v="710"/>
    <x v="3"/>
    <x v="1"/>
    <d v="2023-01-27T00:00:00"/>
    <x v="1"/>
    <n v="18320.399657935206"/>
    <n v="1758758.3671617797"/>
    <n v="521420.36716177966"/>
    <n v="2"/>
  </r>
  <r>
    <s v="L0878"/>
    <s v="Neha Sharma"/>
    <n v="52"/>
    <s v="M"/>
    <x v="1"/>
    <n v="1411812"/>
    <n v="1335406"/>
    <n v="11.59"/>
    <n v="48"/>
    <n v="669"/>
    <x v="2"/>
    <x v="1"/>
    <d v="2018-05-22T00:00:00"/>
    <x v="2"/>
    <n v="34898.136775448249"/>
    <n v="1675110.5652215159"/>
    <n v="339704.56522151595"/>
    <n v="7"/>
  </r>
  <r>
    <s v="L0879"/>
    <s v="Aditya Sharma"/>
    <n v="40"/>
    <s v="F"/>
    <x v="0"/>
    <n v="1399644"/>
    <n v="1098992"/>
    <n v="7.73"/>
    <n v="84"/>
    <n v="796"/>
    <x v="1"/>
    <x v="1"/>
    <d v="2022-03-01T00:00:00"/>
    <x v="3"/>
    <n v="16981.665299000964"/>
    <n v="1426459.885116081"/>
    <n v="327467.88511608099"/>
    <n v="3"/>
  </r>
  <r>
    <s v="L0880"/>
    <s v="Vikram Das"/>
    <n v="45"/>
    <s v="F"/>
    <x v="1"/>
    <n v="996353"/>
    <n v="753779"/>
    <n v="12.02"/>
    <n v="96"/>
    <n v="788"/>
    <x v="0"/>
    <x v="1"/>
    <d v="2022-05-09T00:00:00"/>
    <x v="0"/>
    <n v="12259.335214283377"/>
    <n v="1176896.1805712043"/>
    <n v="423117.18057120428"/>
    <n v="3"/>
  </r>
  <r>
    <s v="L0881"/>
    <s v="Deepika Joshi"/>
    <n v="59"/>
    <s v="F"/>
    <x v="0"/>
    <n v="593729"/>
    <n v="1371658"/>
    <n v="10.64"/>
    <n v="36"/>
    <n v="710"/>
    <x v="3"/>
    <x v="1"/>
    <d v="2020-09-18T00:00:00"/>
    <x v="3"/>
    <n v="44672.840336030968"/>
    <n v="1608222.2520971149"/>
    <n v="236564.25209711492"/>
    <n v="5"/>
  </r>
  <r>
    <s v="L0882"/>
    <s v="Rohan Nair"/>
    <n v="53"/>
    <s v="F"/>
    <x v="2"/>
    <n v="1419671"/>
    <n v="1154063"/>
    <n v="14.71"/>
    <n v="60"/>
    <n v="827"/>
    <x v="3"/>
    <x v="1"/>
    <d v="2020-08-10T00:00:00"/>
    <x v="0"/>
    <n v="27279.714516781249"/>
    <n v="1636782.8710068748"/>
    <n v="482719.87100687483"/>
    <n v="5"/>
  </r>
  <r>
    <s v="L0883"/>
    <s v="Amit Yadav"/>
    <n v="31"/>
    <s v="M"/>
    <x v="2"/>
    <n v="885205"/>
    <n v="1194995"/>
    <n v="14.63"/>
    <n v="120"/>
    <n v="644"/>
    <x v="1"/>
    <x v="1"/>
    <d v="2021-08-21T00:00:00"/>
    <x v="0"/>
    <n v="19009.580550768576"/>
    <n v="2281149.6660922291"/>
    <n v="1086154.6660922291"/>
    <n v="4"/>
  </r>
  <r>
    <s v="L0884"/>
    <s v="Sneha Pillai"/>
    <n v="25"/>
    <s v="F"/>
    <x v="0"/>
    <n v="331416"/>
    <n v="902660"/>
    <n v="8.09"/>
    <n v="120"/>
    <n v="840"/>
    <x v="0"/>
    <x v="1"/>
    <d v="2018-02-18T00:00:00"/>
    <x v="1"/>
    <n v="10994.730782402805"/>
    <n v="1319367.6938883367"/>
    <n v="416707.69388833665"/>
    <n v="7"/>
  </r>
  <r>
    <s v="L0885"/>
    <s v="Rohan Nair"/>
    <n v="60"/>
    <s v="F"/>
    <x v="0"/>
    <n v="1892805"/>
    <n v="632163"/>
    <n v="11.5"/>
    <n v="120"/>
    <n v="661"/>
    <x v="0"/>
    <x v="0"/>
    <d v="2020-04-22T00:00:00"/>
    <x v="1"/>
    <n v="8887.9237652084121"/>
    <n v="1066550.8518250096"/>
    <n v="434387.85182500957"/>
    <n v="5"/>
  </r>
  <r>
    <s v="L0886"/>
    <s v="Vikram Das"/>
    <n v="57"/>
    <s v="M"/>
    <x v="0"/>
    <n v="1888152"/>
    <n v="1372811"/>
    <n v="12.08"/>
    <n v="48"/>
    <n v="805"/>
    <x v="2"/>
    <x v="1"/>
    <d v="2024-05-14T00:00:00"/>
    <x v="3"/>
    <n v="36205.325481450942"/>
    <n v="1737855.6231096452"/>
    <n v="365044.62310964521"/>
    <n v="1"/>
  </r>
  <r>
    <s v="L0887"/>
    <s v="Rina Kapoor"/>
    <n v="41"/>
    <s v="M"/>
    <x v="1"/>
    <n v="899484"/>
    <n v="1219303"/>
    <n v="13.13"/>
    <n v="36"/>
    <n v="623"/>
    <x v="0"/>
    <x v="0"/>
    <d v="2023-09-13T00:00:00"/>
    <x v="2"/>
    <n v="41159.526337507894"/>
    <n v="1481742.9481502841"/>
    <n v="262439.94815028412"/>
    <n v="2"/>
  </r>
  <r>
    <s v="L0888"/>
    <s v="Amit Yadav"/>
    <n v="46"/>
    <s v="M"/>
    <x v="2"/>
    <n v="472525"/>
    <n v="672132"/>
    <n v="10.87"/>
    <n v="96"/>
    <n v="809"/>
    <x v="3"/>
    <x v="1"/>
    <d v="2024-10-01T00:00:00"/>
    <x v="1"/>
    <n v="10511.065177115439"/>
    <n v="1009062.2570030822"/>
    <n v="336930.2570030822"/>
    <n v="1"/>
  </r>
  <r>
    <s v="L0889"/>
    <s v="Tanya Rao"/>
    <n v="46"/>
    <s v="M"/>
    <x v="0"/>
    <n v="1614518"/>
    <n v="477135"/>
    <n v="11.51"/>
    <n v="60"/>
    <n v="799"/>
    <x v="0"/>
    <x v="1"/>
    <d v="2022-10-16T00:00:00"/>
    <x v="1"/>
    <n v="10495.838222016386"/>
    <n v="629750.29332098318"/>
    <n v="152615.29332098318"/>
    <n v="3"/>
  </r>
  <r>
    <s v="L0890"/>
    <s v="Arjun Mehta"/>
    <n v="43"/>
    <s v="M"/>
    <x v="2"/>
    <n v="1238465"/>
    <n v="714712"/>
    <n v="13.11"/>
    <n v="48"/>
    <n v="725"/>
    <x v="2"/>
    <x v="1"/>
    <d v="2018-06-17T00:00:00"/>
    <x v="2"/>
    <n v="19212.976502023648"/>
    <n v="922222.87209713506"/>
    <n v="207510.87209713506"/>
    <n v="7"/>
  </r>
  <r>
    <s v="L0891"/>
    <s v="Rina Kapoor"/>
    <n v="55"/>
    <s v="F"/>
    <x v="1"/>
    <n v="412454"/>
    <n v="657908"/>
    <n v="13.58"/>
    <n v="48"/>
    <n v="663"/>
    <x v="1"/>
    <x v="1"/>
    <d v="2024-06-30T00:00:00"/>
    <x v="3"/>
    <n v="17840.003380650127"/>
    <n v="856320.16227120603"/>
    <n v="198412.16227120603"/>
    <n v="1"/>
  </r>
  <r>
    <s v="L0892"/>
    <s v="Amit Yadav"/>
    <n v="29"/>
    <s v="M"/>
    <x v="0"/>
    <n v="1643599"/>
    <n v="566327"/>
    <n v="8.68"/>
    <n v="48"/>
    <n v="717"/>
    <x v="0"/>
    <x v="1"/>
    <d v="2021-11-17T00:00:00"/>
    <x v="2"/>
    <n v="14007.176989091746"/>
    <n v="672344.49547640374"/>
    <n v="106017.49547640374"/>
    <n v="4"/>
  </r>
  <r>
    <s v="L0893"/>
    <s v="Meena George"/>
    <n v="57"/>
    <s v="M"/>
    <x v="1"/>
    <n v="997851"/>
    <n v="469062"/>
    <n v="14.07"/>
    <n v="72"/>
    <n v="766"/>
    <x v="3"/>
    <x v="1"/>
    <d v="2020-08-09T00:00:00"/>
    <x v="2"/>
    <n v="9682.9598917819621"/>
    <n v="697173.11220830132"/>
    <n v="228111.11220830132"/>
    <n v="5"/>
  </r>
  <r>
    <s v="L0894"/>
    <s v="Vikram Das"/>
    <n v="49"/>
    <s v="F"/>
    <x v="2"/>
    <n v="864480"/>
    <n v="412011"/>
    <n v="8.16"/>
    <n v="120"/>
    <n v="754"/>
    <x v="2"/>
    <x v="1"/>
    <d v="2024-05-30T00:00:00"/>
    <x v="2"/>
    <n v="5033.7314882869296"/>
    <n v="604047.77859443158"/>
    <n v="192036.77859443158"/>
    <n v="1"/>
  </r>
  <r>
    <s v="L0895"/>
    <s v="Amit Yadav"/>
    <n v="60"/>
    <s v="F"/>
    <x v="0"/>
    <n v="302076"/>
    <n v="225949"/>
    <n v="11.6"/>
    <n v="36"/>
    <n v="827"/>
    <x v="0"/>
    <x v="1"/>
    <d v="2019-04-30T00:00:00"/>
    <x v="3"/>
    <n v="7461.6462414461603"/>
    <n v="268619.26469206176"/>
    <n v="42670.264692061755"/>
    <n v="6"/>
  </r>
  <r>
    <s v="L0896"/>
    <s v="Isha Verma"/>
    <n v="59"/>
    <s v="F"/>
    <x v="1"/>
    <n v="332236"/>
    <n v="1219120"/>
    <n v="8.81"/>
    <n v="96"/>
    <n v="707"/>
    <x v="2"/>
    <x v="1"/>
    <d v="2018-03-07T00:00:00"/>
    <x v="2"/>
    <n v="17740.42287560894"/>
    <n v="1703080.5960584581"/>
    <n v="483960.59605845809"/>
    <n v="7"/>
  </r>
  <r>
    <s v="L0897"/>
    <s v="Sahil Gupta"/>
    <n v="34"/>
    <s v="M"/>
    <x v="1"/>
    <n v="403924"/>
    <n v="1617160"/>
    <n v="8.32"/>
    <n v="84"/>
    <n v="823"/>
    <x v="3"/>
    <x v="0"/>
    <d v="2018-02-15T00:00:00"/>
    <x v="1"/>
    <n v="25463.995136887708"/>
    <n v="2138975.5914985677"/>
    <n v="521815.59149856772"/>
    <n v="7"/>
  </r>
  <r>
    <s v="L0898"/>
    <s v="Isha Verma"/>
    <n v="41"/>
    <s v="F"/>
    <x v="2"/>
    <n v="1487703"/>
    <n v="1879283"/>
    <n v="14.04"/>
    <n v="48"/>
    <n v="612"/>
    <x v="1"/>
    <x v="0"/>
    <d v="2018-08-05T00:00:00"/>
    <x v="2"/>
    <n v="51391.898956096607"/>
    <n v="2466811.149892637"/>
    <n v="587528.14989263704"/>
    <n v="7"/>
  </r>
  <r>
    <s v="L0899"/>
    <s v="Amit Yadav"/>
    <n v="36"/>
    <s v="M"/>
    <x v="1"/>
    <n v="1957521"/>
    <n v="1415965"/>
    <n v="9.65"/>
    <n v="120"/>
    <n v="694"/>
    <x v="3"/>
    <x v="1"/>
    <d v="2022-01-14T00:00:00"/>
    <x v="1"/>
    <n v="18438.728647089956"/>
    <n v="2212647.4376507946"/>
    <n v="796682.43765079463"/>
    <n v="3"/>
  </r>
  <r>
    <s v="L0900"/>
    <s v="Arjun Mehta"/>
    <n v="33"/>
    <s v="M"/>
    <x v="2"/>
    <n v="1825584"/>
    <n v="979503"/>
    <n v="10.8"/>
    <n v="48"/>
    <n v="615"/>
    <x v="3"/>
    <x v="1"/>
    <d v="2018-12-05T00:00:00"/>
    <x v="1"/>
    <n v="25220.736991162925"/>
    <n v="1210595.3755758204"/>
    <n v="231092.37557582045"/>
    <n v="7"/>
  </r>
  <r>
    <s v="L0901"/>
    <s v="Sahil Gupta"/>
    <n v="43"/>
    <s v="F"/>
    <x v="0"/>
    <n v="1915133"/>
    <n v="1542733"/>
    <n v="14.35"/>
    <n v="72"/>
    <n v="626"/>
    <x v="0"/>
    <x v="1"/>
    <d v="2021-03-11T00:00:00"/>
    <x v="1"/>
    <n v="32079.004771688975"/>
    <n v="2309688.343561606"/>
    <n v="766955.34356160602"/>
    <n v="4"/>
  </r>
  <r>
    <s v="L0902"/>
    <s v="Amit Yadav"/>
    <n v="33"/>
    <s v="F"/>
    <x v="0"/>
    <n v="1814943"/>
    <n v="478001"/>
    <n v="8.59"/>
    <n v="48"/>
    <n v="675"/>
    <x v="1"/>
    <x v="0"/>
    <d v="2022-06-23T00:00:00"/>
    <x v="0"/>
    <n v="11802.234852980569"/>
    <n v="566507.27294306736"/>
    <n v="88506.272943067364"/>
    <n v="3"/>
  </r>
  <r>
    <s v="L0903"/>
    <s v="Sneha Pillai"/>
    <n v="52"/>
    <s v="M"/>
    <x v="2"/>
    <n v="1552812"/>
    <n v="746442"/>
    <n v="8.0299999999999994"/>
    <n v="120"/>
    <n v="685"/>
    <x v="2"/>
    <x v="0"/>
    <d v="2022-06-13T00:00:00"/>
    <x v="0"/>
    <n v="9068.2381759865875"/>
    <n v="1088188.5811183904"/>
    <n v="341746.58111839043"/>
    <n v="3"/>
  </r>
  <r>
    <s v="L0904"/>
    <s v="Neha Sharma"/>
    <n v="27"/>
    <s v="M"/>
    <x v="0"/>
    <n v="757115"/>
    <n v="407467"/>
    <n v="9.6300000000000008"/>
    <n v="96"/>
    <n v="631"/>
    <x v="3"/>
    <x v="1"/>
    <d v="2022-08-22T00:00:00"/>
    <x v="1"/>
    <n v="6103.485096212622"/>
    <n v="585934.56923641171"/>
    <n v="178467.56923641171"/>
    <n v="3"/>
  </r>
  <r>
    <s v="L0905"/>
    <s v="Meena George"/>
    <n v="42"/>
    <s v="M"/>
    <x v="1"/>
    <n v="1775300"/>
    <n v="1579273"/>
    <n v="12.07"/>
    <n v="96"/>
    <n v="713"/>
    <x v="0"/>
    <x v="1"/>
    <d v="2018-08-10T00:00:00"/>
    <x v="2"/>
    <n v="25728.45258363519"/>
    <n v="2469931.448028978"/>
    <n v="890658.44802897796"/>
    <n v="7"/>
  </r>
  <r>
    <s v="L0906"/>
    <s v="Kiran Menon"/>
    <n v="59"/>
    <s v="F"/>
    <x v="2"/>
    <n v="993279"/>
    <n v="1276588"/>
    <n v="14.78"/>
    <n v="120"/>
    <n v="730"/>
    <x v="3"/>
    <x v="1"/>
    <d v="2021-08-28T00:00:00"/>
    <x v="0"/>
    <n v="20424.177659173198"/>
    <n v="2450901.3191007837"/>
    <n v="1174313.3191007837"/>
    <n v="4"/>
  </r>
  <r>
    <s v="L0907"/>
    <s v="Rina Kapoor"/>
    <n v="51"/>
    <s v="M"/>
    <x v="1"/>
    <n v="1752103"/>
    <n v="1183279"/>
    <n v="9.8800000000000008"/>
    <n v="36"/>
    <n v="741"/>
    <x v="3"/>
    <x v="0"/>
    <d v="2021-09-18T00:00:00"/>
    <x v="3"/>
    <n v="38114.454594865463"/>
    <n v="1372120.3654151566"/>
    <n v="188841.36541515659"/>
    <n v="4"/>
  </r>
  <r>
    <s v="L0908"/>
    <s v="Arjun Mehta"/>
    <n v="29"/>
    <s v="F"/>
    <x v="1"/>
    <n v="338913"/>
    <n v="279404"/>
    <n v="13.39"/>
    <n v="96"/>
    <n v="732"/>
    <x v="2"/>
    <x v="1"/>
    <d v="2018-12-27T00:00:00"/>
    <x v="1"/>
    <n v="4757.1746519652061"/>
    <n v="456688.76658865978"/>
    <n v="177284.76658865978"/>
    <n v="7"/>
  </r>
  <r>
    <s v="L0909"/>
    <s v="Amit Yadav"/>
    <n v="49"/>
    <s v="M"/>
    <x v="1"/>
    <n v="805883"/>
    <n v="1793507"/>
    <n v="12.06"/>
    <n v="120"/>
    <n v="690"/>
    <x v="0"/>
    <x v="1"/>
    <d v="2021-01-13T00:00:00"/>
    <x v="3"/>
    <n v="25793.861295003298"/>
    <n v="3095263.3554003956"/>
    <n v="1301756.3554003956"/>
    <n v="4"/>
  </r>
  <r>
    <s v="L0910"/>
    <s v="Deepika Joshi"/>
    <n v="27"/>
    <s v="M"/>
    <x v="1"/>
    <n v="354878"/>
    <n v="422988"/>
    <n v="11.25"/>
    <n v="96"/>
    <n v="776"/>
    <x v="2"/>
    <x v="1"/>
    <d v="2023-01-14T00:00:00"/>
    <x v="1"/>
    <n v="6701.6457330273424"/>
    <n v="643357.99037062493"/>
    <n v="220369.99037062493"/>
    <n v="2"/>
  </r>
  <r>
    <s v="L0911"/>
    <s v="Rina Kapoor"/>
    <n v="43"/>
    <s v="F"/>
    <x v="1"/>
    <n v="1961366"/>
    <n v="1293672"/>
    <n v="14.82"/>
    <n v="48"/>
    <n v="784"/>
    <x v="1"/>
    <x v="1"/>
    <d v="2022-07-13T00:00:00"/>
    <x v="0"/>
    <n v="35885.931135533021"/>
    <n v="1722524.6945055849"/>
    <n v="428852.69450558489"/>
    <n v="3"/>
  </r>
  <r>
    <s v="L0912"/>
    <s v="Priya Singh"/>
    <n v="45"/>
    <s v="F"/>
    <x v="1"/>
    <n v="1332677"/>
    <n v="1727960"/>
    <n v="8.66"/>
    <n v="120"/>
    <n v="721"/>
    <x v="2"/>
    <x v="0"/>
    <d v="2018-04-12T00:00:00"/>
    <x v="2"/>
    <n v="21572.379527555306"/>
    <n v="2588685.5433066366"/>
    <n v="860725.54330663662"/>
    <n v="7"/>
  </r>
  <r>
    <s v="L0913"/>
    <s v="Rohan Nair"/>
    <n v="45"/>
    <s v="M"/>
    <x v="0"/>
    <n v="1934001"/>
    <n v="880552"/>
    <n v="13.87"/>
    <n v="60"/>
    <n v="712"/>
    <x v="1"/>
    <x v="0"/>
    <d v="2019-07-22T00:00:00"/>
    <x v="2"/>
    <n v="20429.606791482107"/>
    <n v="1225776.4074889263"/>
    <n v="345224.40748892631"/>
    <n v="6"/>
  </r>
  <r>
    <s v="L0914"/>
    <s v="Tanya Rao"/>
    <n v="31"/>
    <s v="M"/>
    <x v="0"/>
    <n v="1867430"/>
    <n v="1955598"/>
    <n v="10.25"/>
    <n v="96"/>
    <n v="693"/>
    <x v="3"/>
    <x v="1"/>
    <d v="2024-03-17T00:00:00"/>
    <x v="0"/>
    <n v="29933.88751326923"/>
    <n v="2873653.201273846"/>
    <n v="918055.20127384597"/>
    <n v="1"/>
  </r>
  <r>
    <s v="L0915"/>
    <s v="Vikram Das"/>
    <n v="59"/>
    <s v="M"/>
    <x v="0"/>
    <n v="763354"/>
    <n v="1759789"/>
    <n v="13.2"/>
    <n v="84"/>
    <n v="747"/>
    <x v="1"/>
    <x v="1"/>
    <d v="2022-04-11T00:00:00"/>
    <x v="3"/>
    <n v="32205.672224736678"/>
    <n v="2705276.466877881"/>
    <n v="945487.46687788097"/>
    <n v="3"/>
  </r>
  <r>
    <s v="L0916"/>
    <s v="Meena George"/>
    <n v="32"/>
    <s v="M"/>
    <x v="2"/>
    <n v="407275"/>
    <n v="302391"/>
    <n v="8.25"/>
    <n v="72"/>
    <n v="754"/>
    <x v="0"/>
    <x v="1"/>
    <d v="2018-05-07T00:00:00"/>
    <x v="3"/>
    <n v="5338.8827739613625"/>
    <n v="384399.5597252181"/>
    <n v="82008.559725218103"/>
    <n v="7"/>
  </r>
  <r>
    <s v="L0917"/>
    <s v="Rohan Nair"/>
    <n v="30"/>
    <s v="M"/>
    <x v="2"/>
    <n v="1903036"/>
    <n v="310411"/>
    <n v="11.09"/>
    <n v="48"/>
    <n v="794"/>
    <x v="0"/>
    <x v="1"/>
    <d v="2018-09-26T00:00:00"/>
    <x v="3"/>
    <n v="8036.3083203082979"/>
    <n v="385742.79937479831"/>
    <n v="75331.799374798313"/>
    <n v="7"/>
  </r>
  <r>
    <s v="L0918"/>
    <s v="Neha Sharma"/>
    <n v="38"/>
    <s v="F"/>
    <x v="0"/>
    <n v="935931"/>
    <n v="1888826"/>
    <n v="8.31"/>
    <n v="60"/>
    <n v="651"/>
    <x v="2"/>
    <x v="1"/>
    <d v="2021-01-10T00:00:00"/>
    <x v="2"/>
    <n v="38579.422709348022"/>
    <n v="2314765.3625608813"/>
    <n v="425939.3625608813"/>
    <n v="4"/>
  </r>
  <r>
    <s v="L0919"/>
    <s v="Aarav Patel"/>
    <n v="31"/>
    <s v="F"/>
    <x v="2"/>
    <n v="385176"/>
    <n v="694387"/>
    <n v="10.91"/>
    <n v="72"/>
    <n v="762"/>
    <x v="1"/>
    <x v="1"/>
    <d v="2022-05-21T00:00:00"/>
    <x v="3"/>
    <n v="13185.029986974943"/>
    <n v="949322.15906219592"/>
    <n v="254935.15906219592"/>
    <n v="3"/>
  </r>
  <r>
    <s v="L0920"/>
    <s v="Isha Verma"/>
    <n v="36"/>
    <s v="M"/>
    <x v="2"/>
    <n v="1243800"/>
    <n v="592700"/>
    <n v="9.6999999999999993"/>
    <n v="72"/>
    <n v="767"/>
    <x v="1"/>
    <x v="0"/>
    <d v="2020-08-01T00:00:00"/>
    <x v="2"/>
    <n v="10890.809658478442"/>
    <n v="784138.29541044775"/>
    <n v="191438.29541044775"/>
    <n v="5"/>
  </r>
  <r>
    <s v="L0921"/>
    <s v="Rohit Khanna"/>
    <n v="41"/>
    <s v="F"/>
    <x v="2"/>
    <n v="534434"/>
    <n v="642159"/>
    <n v="9.67"/>
    <n v="60"/>
    <n v="786"/>
    <x v="0"/>
    <x v="0"/>
    <d v="2020-07-06T00:00:00"/>
    <x v="2"/>
    <n v="13539.945453244132"/>
    <n v="812396.72719464789"/>
    <n v="170237.72719464789"/>
    <n v="5"/>
  </r>
  <r>
    <s v="L0922"/>
    <s v="Isha Verma"/>
    <n v="51"/>
    <s v="M"/>
    <x v="2"/>
    <n v="1448892"/>
    <n v="1406875"/>
    <n v="13.81"/>
    <n v="60"/>
    <n v="783"/>
    <x v="3"/>
    <x v="0"/>
    <d v="2023-05-21T00:00:00"/>
    <x v="0"/>
    <n v="32597.104085392955"/>
    <n v="1955826.2451235773"/>
    <n v="548951.2451235773"/>
    <n v="2"/>
  </r>
  <r>
    <s v="L0923"/>
    <s v="Priya Singh"/>
    <n v="33"/>
    <s v="M"/>
    <x v="0"/>
    <n v="305359"/>
    <n v="1264230"/>
    <n v="10.25"/>
    <n v="48"/>
    <n v="647"/>
    <x v="1"/>
    <x v="0"/>
    <d v="2024-03-05T00:00:00"/>
    <x v="2"/>
    <n v="32216.136786535069"/>
    <n v="1546374.5657536834"/>
    <n v="282144.56575368345"/>
    <n v="1"/>
  </r>
  <r>
    <s v="L0924"/>
    <s v="Rohan Nair"/>
    <n v="59"/>
    <s v="F"/>
    <x v="0"/>
    <n v="1944488"/>
    <n v="274532"/>
    <n v="9.91"/>
    <n v="120"/>
    <n v="717"/>
    <x v="3"/>
    <x v="1"/>
    <d v="2018-10-04T00:00:00"/>
    <x v="0"/>
    <n v="3614.2923391804343"/>
    <n v="433715.0807016521"/>
    <n v="159183.0807016521"/>
    <n v="7"/>
  </r>
  <r>
    <s v="L0925"/>
    <s v="Rohan Nair"/>
    <n v="27"/>
    <s v="M"/>
    <x v="2"/>
    <n v="1294704"/>
    <n v="1649794"/>
    <n v="14.78"/>
    <n v="36"/>
    <n v="674"/>
    <x v="3"/>
    <x v="0"/>
    <d v="2022-05-07T00:00:00"/>
    <x v="3"/>
    <n v="57013.070512220329"/>
    <n v="2052470.5384399318"/>
    <n v="402676.53843993181"/>
    <n v="3"/>
  </r>
  <r>
    <s v="L0926"/>
    <s v="Isha Verma"/>
    <n v="30"/>
    <s v="M"/>
    <x v="1"/>
    <n v="721133"/>
    <n v="779079"/>
    <n v="14.85"/>
    <n v="96"/>
    <n v="750"/>
    <x v="2"/>
    <x v="0"/>
    <d v="2019-01-08T00:00:00"/>
    <x v="3"/>
    <n v="13913.346722498367"/>
    <n v="1335681.2853598432"/>
    <n v="556602.28535984317"/>
    <n v="6"/>
  </r>
  <r>
    <s v="L0927"/>
    <s v="Rohan Nair"/>
    <n v="46"/>
    <s v="F"/>
    <x v="2"/>
    <n v="1291181"/>
    <n v="1602121"/>
    <n v="9.92"/>
    <n v="36"/>
    <n v="628"/>
    <x v="1"/>
    <x v="0"/>
    <d v="2023-03-27T00:00:00"/>
    <x v="0"/>
    <n v="51635.784178715374"/>
    <n v="1858888.2304337535"/>
    <n v="256767.23043375346"/>
    <n v="2"/>
  </r>
  <r>
    <s v="L0928"/>
    <s v="Kiran Menon"/>
    <n v="29"/>
    <s v="F"/>
    <x v="1"/>
    <n v="1734344"/>
    <n v="1166271"/>
    <n v="12.2"/>
    <n v="60"/>
    <n v="683"/>
    <x v="0"/>
    <x v="1"/>
    <d v="2022-05-31T00:00:00"/>
    <x v="0"/>
    <n v="26061.079142682422"/>
    <n v="1563664.7485609453"/>
    <n v="397393.74856094527"/>
    <n v="3"/>
  </r>
  <r>
    <s v="L0929"/>
    <s v="Rohit Khanna"/>
    <n v="34"/>
    <s v="F"/>
    <x v="1"/>
    <n v="488931"/>
    <n v="295937"/>
    <n v="9.82"/>
    <n v="36"/>
    <n v="720"/>
    <x v="3"/>
    <x v="1"/>
    <d v="2020-06-15T00:00:00"/>
    <x v="2"/>
    <n v="9524.0647875775139"/>
    <n v="342866.33235279052"/>
    <n v="46929.332352790516"/>
    <n v="5"/>
  </r>
  <r>
    <s v="L0930"/>
    <s v="Vikram Das"/>
    <n v="27"/>
    <s v="F"/>
    <x v="2"/>
    <n v="1426599"/>
    <n v="219684"/>
    <n v="9.7799999999999994"/>
    <n v="60"/>
    <n v="769"/>
    <x v="1"/>
    <x v="1"/>
    <d v="2022-09-07T00:00:00"/>
    <x v="2"/>
    <n v="4643.8907808197819"/>
    <n v="278633.4468491869"/>
    <n v="58949.446849186905"/>
    <n v="3"/>
  </r>
  <r>
    <s v="L0931"/>
    <s v="Tanya Rao"/>
    <n v="25"/>
    <s v="F"/>
    <x v="2"/>
    <n v="1636538"/>
    <n v="1490878"/>
    <n v="13.8"/>
    <n v="72"/>
    <n v="722"/>
    <x v="0"/>
    <x v="1"/>
    <d v="2023-04-24T00:00:00"/>
    <x v="0"/>
    <n v="30561.208121375072"/>
    <n v="2200406.9847390051"/>
    <n v="709528.9847390051"/>
    <n v="2"/>
  </r>
  <r>
    <s v="L0932"/>
    <s v="Isha Verma"/>
    <n v="39"/>
    <s v="F"/>
    <x v="2"/>
    <n v="494117"/>
    <n v="1179096"/>
    <n v="12.55"/>
    <n v="48"/>
    <n v="727"/>
    <x v="0"/>
    <x v="1"/>
    <d v="2022-07-18T00:00:00"/>
    <x v="0"/>
    <n v="31369.48195589384"/>
    <n v="1505735.1338829044"/>
    <n v="326639.13388290443"/>
    <n v="3"/>
  </r>
  <r>
    <s v="L0933"/>
    <s v="Rina Kapoor"/>
    <n v="57"/>
    <s v="F"/>
    <x v="1"/>
    <n v="1529742"/>
    <n v="875212"/>
    <n v="7.96"/>
    <n v="60"/>
    <n v="682"/>
    <x v="1"/>
    <x v="1"/>
    <d v="2019-09-28T00:00:00"/>
    <x v="3"/>
    <n v="17729.393830042547"/>
    <n v="1063763.6298025528"/>
    <n v="188551.62980255275"/>
    <n v="6"/>
  </r>
  <r>
    <s v="L0934"/>
    <s v="Aditya Sharma"/>
    <n v="29"/>
    <s v="F"/>
    <x v="2"/>
    <n v="915547"/>
    <n v="928405"/>
    <n v="8.65"/>
    <n v="96"/>
    <n v="762"/>
    <x v="3"/>
    <x v="1"/>
    <d v="2023-11-22T00:00:00"/>
    <x v="0"/>
    <n v="13433.348223187959"/>
    <n v="1289601.429426044"/>
    <n v="361196.42942604399"/>
    <n v="2"/>
  </r>
  <r>
    <s v="L0935"/>
    <s v="Aditya Sharma"/>
    <n v="55"/>
    <s v="F"/>
    <x v="2"/>
    <n v="844204"/>
    <n v="640031"/>
    <n v="14.63"/>
    <n v="48"/>
    <n v="764"/>
    <x v="0"/>
    <x v="0"/>
    <d v="2024-09-14T00:00:00"/>
    <x v="0"/>
    <n v="17692.730818785003"/>
    <n v="849251.07930168021"/>
    <n v="209220.07930168021"/>
    <n v="1"/>
  </r>
  <r>
    <s v="L0936"/>
    <s v="Meena George"/>
    <n v="51"/>
    <s v="F"/>
    <x v="1"/>
    <n v="447542"/>
    <n v="1096589"/>
    <n v="9.0399999999999991"/>
    <n v="96"/>
    <n v="806"/>
    <x v="1"/>
    <x v="1"/>
    <d v="2023-01-02T00:00:00"/>
    <x v="2"/>
    <n v="16088.015757491514"/>
    <n v="1544449.5127191853"/>
    <n v="447860.51271918532"/>
    <n v="2"/>
  </r>
  <r>
    <s v="L0937"/>
    <s v="Isha Verma"/>
    <n v="29"/>
    <s v="M"/>
    <x v="0"/>
    <n v="1088878"/>
    <n v="242046"/>
    <n v="14.11"/>
    <n v="36"/>
    <n v="658"/>
    <x v="2"/>
    <x v="1"/>
    <d v="2018-05-04T00:00:00"/>
    <x v="1"/>
    <n v="8285.4960048296598"/>
    <n v="298277.85617386777"/>
    <n v="56231.856173867767"/>
    <n v="7"/>
  </r>
  <r>
    <s v="L0938"/>
    <s v="Tanya Rao"/>
    <n v="46"/>
    <s v="F"/>
    <x v="1"/>
    <n v="1311631"/>
    <n v="598883"/>
    <n v="11.59"/>
    <n v="96"/>
    <n v="691"/>
    <x v="0"/>
    <x v="1"/>
    <d v="2021-09-03T00:00:00"/>
    <x v="0"/>
    <n v="9599.1438321484147"/>
    <n v="921517.80788624776"/>
    <n v="322634.80788624776"/>
    <n v="4"/>
  </r>
  <r>
    <s v="L0939"/>
    <s v="Rina Kapoor"/>
    <n v="59"/>
    <s v="M"/>
    <x v="0"/>
    <n v="1570933"/>
    <n v="1802905"/>
    <n v="11.61"/>
    <n v="36"/>
    <n v="635"/>
    <x v="1"/>
    <x v="1"/>
    <d v="2019-09-01T00:00:00"/>
    <x v="0"/>
    <n v="59546.970555683823"/>
    <n v="2143690.9400046174"/>
    <n v="340785.94000461744"/>
    <n v="6"/>
  </r>
  <r>
    <s v="L0940"/>
    <s v="Sneha Pillai"/>
    <n v="25"/>
    <s v="M"/>
    <x v="0"/>
    <n v="341361"/>
    <n v="1066092"/>
    <n v="11.2"/>
    <n v="72"/>
    <n v="623"/>
    <x v="3"/>
    <x v="1"/>
    <d v="2024-03-27T00:00:00"/>
    <x v="2"/>
    <n v="20401.455260870338"/>
    <n v="1468904.7787826643"/>
    <n v="402812.77878266433"/>
    <n v="1"/>
  </r>
  <r>
    <s v="L0941"/>
    <s v="Arjun Mehta"/>
    <n v="59"/>
    <s v="M"/>
    <x v="1"/>
    <n v="1619394"/>
    <n v="1110036"/>
    <n v="9.18"/>
    <n v="96"/>
    <n v="722"/>
    <x v="1"/>
    <x v="0"/>
    <d v="2020-05-28T00:00:00"/>
    <x v="0"/>
    <n v="16366.093045560561"/>
    <n v="1571144.9323738138"/>
    <n v="461108.93237381382"/>
    <n v="5"/>
  </r>
  <r>
    <s v="L0942"/>
    <s v="Sneha Pillai"/>
    <n v="41"/>
    <s v="F"/>
    <x v="1"/>
    <n v="868692"/>
    <n v="1252787"/>
    <n v="7.89"/>
    <n v="48"/>
    <n v="672"/>
    <x v="3"/>
    <x v="0"/>
    <d v="2023-07-17T00:00:00"/>
    <x v="1"/>
    <n v="30519.54628007377"/>
    <n v="1464938.2214435409"/>
    <n v="212151.22144354088"/>
    <n v="2"/>
  </r>
  <r>
    <s v="L0943"/>
    <s v="Meena George"/>
    <n v="36"/>
    <s v="F"/>
    <x v="2"/>
    <n v="1515697"/>
    <n v="1221299"/>
    <n v="11.63"/>
    <n v="72"/>
    <n v="640"/>
    <x v="2"/>
    <x v="1"/>
    <d v="2018-01-23T00:00:00"/>
    <x v="1"/>
    <n v="23642.293828770056"/>
    <n v="1702245.155671444"/>
    <n v="480946.15567144402"/>
    <n v="7"/>
  </r>
  <r>
    <s v="L0944"/>
    <s v="Kiran Menon"/>
    <n v="50"/>
    <s v="M"/>
    <x v="2"/>
    <n v="1656879"/>
    <n v="1957308"/>
    <n v="9.94"/>
    <n v="48"/>
    <n v="745"/>
    <x v="2"/>
    <x v="0"/>
    <d v="2021-03-10T00:00:00"/>
    <x v="0"/>
    <n v="49586.007344594611"/>
    <n v="2380128.3525405414"/>
    <n v="422820.35254054144"/>
    <n v="4"/>
  </r>
  <r>
    <s v="L0945"/>
    <s v="Meena George"/>
    <n v="35"/>
    <s v="M"/>
    <x v="1"/>
    <n v="470323"/>
    <n v="1296913"/>
    <n v="13.24"/>
    <n v="36"/>
    <n v="823"/>
    <x v="3"/>
    <x v="0"/>
    <d v="2022-09-20T00:00:00"/>
    <x v="3"/>
    <n v="43848.196865111546"/>
    <n v="1578535.0871440156"/>
    <n v="281622.08714401559"/>
    <n v="3"/>
  </r>
  <r>
    <s v="L0946"/>
    <s v="Rohan Nair"/>
    <n v="42"/>
    <s v="F"/>
    <x v="0"/>
    <n v="1609941"/>
    <n v="1203929"/>
    <n v="8.06"/>
    <n v="72"/>
    <n v="829"/>
    <x v="0"/>
    <x v="1"/>
    <d v="2020-06-22T00:00:00"/>
    <x v="2"/>
    <n v="21144.06518741139"/>
    <n v="1522372.69349362"/>
    <n v="318443.69349362003"/>
    <n v="5"/>
  </r>
  <r>
    <s v="L0947"/>
    <s v="Isha Verma"/>
    <n v="36"/>
    <s v="M"/>
    <x v="0"/>
    <n v="1640152"/>
    <n v="736698"/>
    <n v="11.85"/>
    <n v="48"/>
    <n v="695"/>
    <x v="3"/>
    <x v="1"/>
    <d v="2022-03-15T00:00:00"/>
    <x v="3"/>
    <n v="19345.871403287296"/>
    <n v="928601.8273577902"/>
    <n v="191903.8273577902"/>
    <n v="3"/>
  </r>
  <r>
    <s v="L0948"/>
    <s v="Priya Singh"/>
    <n v="40"/>
    <s v="M"/>
    <x v="2"/>
    <n v="959714"/>
    <n v="1095984"/>
    <n v="10.83"/>
    <n v="48"/>
    <n v="712"/>
    <x v="0"/>
    <x v="1"/>
    <d v="2021-10-24T00:00:00"/>
    <x v="3"/>
    <n v="28235.883081604836"/>
    <n v="1355322.387917032"/>
    <n v="259338.387917032"/>
    <n v="4"/>
  </r>
  <r>
    <s v="L0949"/>
    <s v="Isha Verma"/>
    <n v="25"/>
    <s v="M"/>
    <x v="0"/>
    <n v="1081138"/>
    <n v="1625360"/>
    <n v="10.44"/>
    <n v="120"/>
    <n v="703"/>
    <x v="3"/>
    <x v="1"/>
    <d v="2021-05-04T00:00:00"/>
    <x v="1"/>
    <n v="21877.224546400663"/>
    <n v="2625266.9455680796"/>
    <n v="999906.94556807959"/>
    <n v="4"/>
  </r>
  <r>
    <s v="L0950"/>
    <s v="Rohit Khanna"/>
    <n v="49"/>
    <s v="M"/>
    <x v="1"/>
    <n v="1811768"/>
    <n v="1562984"/>
    <n v="9.9499999999999993"/>
    <n v="48"/>
    <n v="777"/>
    <x v="0"/>
    <x v="0"/>
    <d v="2021-03-17T00:00:00"/>
    <x v="1"/>
    <n v="39603.791964908269"/>
    <n v="1900982.0143155968"/>
    <n v="337998.01431559678"/>
    <n v="4"/>
  </r>
  <r>
    <s v="L0951"/>
    <s v="Raj Kumar"/>
    <n v="52"/>
    <s v="F"/>
    <x v="2"/>
    <n v="835711"/>
    <n v="1203742"/>
    <n v="8.65"/>
    <n v="84"/>
    <n v="744"/>
    <x v="1"/>
    <x v="1"/>
    <d v="2022-03-03T00:00:00"/>
    <x v="3"/>
    <n v="19153.966773920172"/>
    <n v="1608933.2090092944"/>
    <n v="405191.2090092944"/>
    <n v="3"/>
  </r>
  <r>
    <s v="L0952"/>
    <s v="Tanya Rao"/>
    <n v="39"/>
    <s v="F"/>
    <x v="2"/>
    <n v="1240393"/>
    <n v="640254"/>
    <n v="9.4499999999999993"/>
    <n v="120"/>
    <n v="733"/>
    <x v="3"/>
    <x v="0"/>
    <d v="2018-11-12T00:00:00"/>
    <x v="0"/>
    <n v="8267.2132707533492"/>
    <n v="992065.59249040193"/>
    <n v="351811.59249040193"/>
    <n v="7"/>
  </r>
  <r>
    <s v="L0953"/>
    <s v="Arjun Mehta"/>
    <n v="41"/>
    <s v="M"/>
    <x v="1"/>
    <n v="1962512"/>
    <n v="325569"/>
    <n v="14.6"/>
    <n v="60"/>
    <n v="730"/>
    <x v="0"/>
    <x v="1"/>
    <d v="2021-05-06T00:00:00"/>
    <x v="2"/>
    <n v="7677.0738123666761"/>
    <n v="460624.42874200054"/>
    <n v="135055.42874200054"/>
    <n v="4"/>
  </r>
  <r>
    <s v="L0954"/>
    <s v="Vikram Das"/>
    <n v="48"/>
    <s v="M"/>
    <x v="1"/>
    <n v="504543"/>
    <n v="1167133"/>
    <n v="7.95"/>
    <n v="96"/>
    <n v="644"/>
    <x v="1"/>
    <x v="1"/>
    <d v="2021-08-12T00:00:00"/>
    <x v="0"/>
    <n v="16469.739756184368"/>
    <n v="1581095.0165936993"/>
    <n v="413962.01659369934"/>
    <n v="4"/>
  </r>
  <r>
    <s v="L0955"/>
    <s v="Mohit Jain"/>
    <n v="51"/>
    <s v="F"/>
    <x v="0"/>
    <n v="355320"/>
    <n v="1828408"/>
    <n v="12.71"/>
    <n v="120"/>
    <n v="699"/>
    <x v="3"/>
    <x v="1"/>
    <d v="2019-01-09T00:00:00"/>
    <x v="0"/>
    <n v="26988.240966689209"/>
    <n v="3238588.9160027052"/>
    <n v="1410180.9160027052"/>
    <n v="6"/>
  </r>
  <r>
    <s v="L0956"/>
    <s v="Mohit Jain"/>
    <n v="32"/>
    <s v="F"/>
    <x v="1"/>
    <n v="694017"/>
    <n v="751065"/>
    <n v="10.79"/>
    <n v="120"/>
    <n v="673"/>
    <x v="0"/>
    <x v="1"/>
    <d v="2022-03-06T00:00:00"/>
    <x v="3"/>
    <n v="10256.84261131078"/>
    <n v="1230821.1133572937"/>
    <n v="479756.11335729365"/>
    <n v="3"/>
  </r>
  <r>
    <s v="L0957"/>
    <s v="Rohit Khanna"/>
    <n v="55"/>
    <s v="M"/>
    <x v="0"/>
    <n v="1087940"/>
    <n v="522751"/>
    <n v="14.39"/>
    <n v="120"/>
    <n v="828"/>
    <x v="1"/>
    <x v="1"/>
    <d v="2023-07-05T00:00:00"/>
    <x v="1"/>
    <n v="8239.596618494912"/>
    <n v="988751.59421938949"/>
    <n v="466000.59421938949"/>
    <n v="2"/>
  </r>
  <r>
    <s v="L0958"/>
    <s v="Neha Sharma"/>
    <n v="47"/>
    <s v="F"/>
    <x v="1"/>
    <n v="327749"/>
    <n v="563994"/>
    <n v="11.92"/>
    <n v="60"/>
    <n v="718"/>
    <x v="0"/>
    <x v="1"/>
    <d v="2018-03-07T00:00:00"/>
    <x v="0"/>
    <n v="12522.946569545897"/>
    <n v="751376.79417275381"/>
    <n v="187382.79417275381"/>
    <n v="7"/>
  </r>
  <r>
    <s v="L0959"/>
    <s v="Rohan Nair"/>
    <n v="45"/>
    <s v="F"/>
    <x v="0"/>
    <n v="1418691"/>
    <n v="471527"/>
    <n v="11.45"/>
    <n v="48"/>
    <n v="823"/>
    <x v="2"/>
    <x v="1"/>
    <d v="2021-06-10T00:00:00"/>
    <x v="2"/>
    <n v="12290.162602891372"/>
    <n v="589927.80493878585"/>
    <n v="118400.80493878585"/>
    <n v="4"/>
  </r>
  <r>
    <s v="L0960"/>
    <s v="Aditya Sharma"/>
    <n v="43"/>
    <s v="F"/>
    <x v="0"/>
    <n v="440661"/>
    <n v="269826"/>
    <n v="9.81"/>
    <n v="36"/>
    <n v="709"/>
    <x v="2"/>
    <x v="1"/>
    <d v="2024-02-16T00:00:00"/>
    <x v="0"/>
    <n v="8682.4763695622314"/>
    <n v="312569.14930424036"/>
    <n v="42743.14930424036"/>
    <n v="1"/>
  </r>
  <r>
    <s v="L0961"/>
    <s v="Meena George"/>
    <n v="55"/>
    <s v="F"/>
    <x v="2"/>
    <n v="1647930"/>
    <n v="870376"/>
    <n v="9.6999999999999993"/>
    <n v="120"/>
    <n v="739"/>
    <x v="0"/>
    <x v="1"/>
    <d v="2020-04-12T00:00:00"/>
    <x v="2"/>
    <n v="11357.978506410194"/>
    <n v="1362957.4207692232"/>
    <n v="492581.42076922324"/>
    <n v="5"/>
  </r>
  <r>
    <s v="L0962"/>
    <s v="Isha Verma"/>
    <n v="47"/>
    <s v="M"/>
    <x v="1"/>
    <n v="1193117"/>
    <n v="300402"/>
    <n v="11.97"/>
    <n v="72"/>
    <n v="705"/>
    <x v="2"/>
    <x v="0"/>
    <d v="2021-10-10T00:00:00"/>
    <x v="2"/>
    <n v="5868.2314801326002"/>
    <n v="422512.6665695472"/>
    <n v="122110.6665695472"/>
    <n v="4"/>
  </r>
  <r>
    <s v="L0963"/>
    <s v="Arjun Mehta"/>
    <n v="29"/>
    <s v="F"/>
    <x v="0"/>
    <n v="1919624"/>
    <n v="1182732"/>
    <n v="11.61"/>
    <n v="120"/>
    <n v="689"/>
    <x v="2"/>
    <x v="1"/>
    <d v="2021-12-10T00:00:00"/>
    <x v="0"/>
    <n v="16703.190277530921"/>
    <n v="2004382.8333037104"/>
    <n v="821650.83330371045"/>
    <n v="4"/>
  </r>
  <r>
    <s v="L0964"/>
    <s v="Neha Sharma"/>
    <n v="34"/>
    <s v="M"/>
    <x v="0"/>
    <n v="691881"/>
    <n v="1150557"/>
    <n v="8.6199999999999992"/>
    <n v="84"/>
    <n v="819"/>
    <x v="2"/>
    <x v="1"/>
    <d v="2018-06-11T00:00:00"/>
    <x v="3"/>
    <n v="18290.285409705877"/>
    <n v="1536383.9744152937"/>
    <n v="385826.97441529366"/>
    <n v="7"/>
  </r>
  <r>
    <s v="L0965"/>
    <s v="Mohit Jain"/>
    <n v="50"/>
    <s v="M"/>
    <x v="2"/>
    <n v="759902"/>
    <n v="442175"/>
    <n v="12.74"/>
    <n v="60"/>
    <n v="847"/>
    <x v="1"/>
    <x v="1"/>
    <d v="2020-09-10T00:00:00"/>
    <x v="0"/>
    <n v="10002.086097336134"/>
    <n v="600125.16584016802"/>
    <n v="157950.16584016802"/>
    <n v="5"/>
  </r>
  <r>
    <s v="L0966"/>
    <s v="Deepika Joshi"/>
    <n v="54"/>
    <s v="M"/>
    <x v="1"/>
    <n v="602336"/>
    <n v="1387822"/>
    <n v="14.65"/>
    <n v="96"/>
    <n v="793"/>
    <x v="0"/>
    <x v="0"/>
    <d v="2022-11-24T00:00:00"/>
    <x v="1"/>
    <n v="24624.752217818419"/>
    <n v="2363976.2129105683"/>
    <n v="976154.21291056834"/>
    <n v="3"/>
  </r>
  <r>
    <s v="L0967"/>
    <s v="Tanya Rao"/>
    <n v="28"/>
    <s v="M"/>
    <x v="2"/>
    <n v="1130660"/>
    <n v="393571"/>
    <n v="10.45"/>
    <n v="60"/>
    <n v="672"/>
    <x v="1"/>
    <x v="1"/>
    <d v="2020-01-15T00:00:00"/>
    <x v="0"/>
    <n v="8449.6307837532786"/>
    <n v="506977.84702519671"/>
    <n v="113406.84702519671"/>
    <n v="5"/>
  </r>
  <r>
    <s v="L0968"/>
    <s v="Raj Kumar"/>
    <n v="52"/>
    <s v="F"/>
    <x v="1"/>
    <n v="1320831"/>
    <n v="1898888"/>
    <n v="13.5"/>
    <n v="36"/>
    <n v="616"/>
    <x v="1"/>
    <x v="1"/>
    <d v="2018-09-15T00:00:00"/>
    <x v="0"/>
    <n v="64439.309889351804"/>
    <n v="2319815.156016665"/>
    <n v="420927.15601666505"/>
    <n v="7"/>
  </r>
  <r>
    <s v="L0969"/>
    <s v="Aditya Sharma"/>
    <n v="27"/>
    <s v="F"/>
    <x v="0"/>
    <n v="387050"/>
    <n v="1765381"/>
    <n v="13.66"/>
    <n v="72"/>
    <n v="671"/>
    <x v="2"/>
    <x v="1"/>
    <d v="2020-05-01T00:00:00"/>
    <x v="3"/>
    <n v="36056.357750360396"/>
    <n v="2596057.7580259484"/>
    <n v="830676.75802594842"/>
    <n v="5"/>
  </r>
  <r>
    <s v="L0970"/>
    <s v="Sahil Gupta"/>
    <n v="28"/>
    <s v="M"/>
    <x v="0"/>
    <n v="1865585"/>
    <n v="1035197"/>
    <n v="7.88"/>
    <n v="120"/>
    <n v="766"/>
    <x v="3"/>
    <x v="1"/>
    <d v="2022-04-24T00:00:00"/>
    <x v="0"/>
    <n v="12494.25254110067"/>
    <n v="1499310.3049320804"/>
    <n v="464113.30493208044"/>
    <n v="3"/>
  </r>
  <r>
    <s v="L0971"/>
    <s v="Arjun Mehta"/>
    <n v="48"/>
    <s v="F"/>
    <x v="2"/>
    <n v="565161"/>
    <n v="858233"/>
    <n v="14.97"/>
    <n v="72"/>
    <n v="681"/>
    <x v="0"/>
    <x v="1"/>
    <d v="2023-09-30T00:00:00"/>
    <x v="0"/>
    <n v="18133.368851784275"/>
    <n v="1305602.5573284677"/>
    <n v="447369.55732846772"/>
    <n v="2"/>
  </r>
  <r>
    <s v="L0972"/>
    <s v="Aditya Sharma"/>
    <n v="45"/>
    <s v="M"/>
    <x v="1"/>
    <n v="1361072"/>
    <n v="1891612"/>
    <n v="8.1"/>
    <n v="120"/>
    <n v="837"/>
    <x v="0"/>
    <x v="0"/>
    <d v="2021-03-01T00:00:00"/>
    <x v="1"/>
    <n v="23050.548336990913"/>
    <n v="2766065.8004389093"/>
    <n v="874453.80043890933"/>
    <n v="4"/>
  </r>
  <r>
    <s v="L0973"/>
    <s v="Isha Verma"/>
    <n v="59"/>
    <s v="M"/>
    <x v="2"/>
    <n v="1435851"/>
    <n v="1853625"/>
    <n v="14.15"/>
    <n v="84"/>
    <n v="741"/>
    <x v="3"/>
    <x v="1"/>
    <d v="2018-03-25T00:00:00"/>
    <x v="2"/>
    <n v="34890.731211716942"/>
    <n v="2930821.4217842231"/>
    <n v="1077196.4217842231"/>
    <n v="7"/>
  </r>
  <r>
    <s v="L0974"/>
    <s v="Isha Verma"/>
    <n v="34"/>
    <s v="M"/>
    <x v="2"/>
    <n v="429231"/>
    <n v="1886012"/>
    <n v="10.28"/>
    <n v="60"/>
    <n v="797"/>
    <x v="1"/>
    <x v="1"/>
    <d v="2019-07-15T00:00:00"/>
    <x v="2"/>
    <n v="40332.51409280338"/>
    <n v="2419950.8455682029"/>
    <n v="533938.8455682029"/>
    <n v="6"/>
  </r>
  <r>
    <s v="L0975"/>
    <s v="Aarav Patel"/>
    <n v="26"/>
    <s v="F"/>
    <x v="0"/>
    <n v="1911488"/>
    <n v="1704190"/>
    <n v="12.29"/>
    <n v="72"/>
    <n v="703"/>
    <x v="2"/>
    <x v="1"/>
    <d v="2018-03-06T00:00:00"/>
    <x v="1"/>
    <n v="33574.805501265793"/>
    <n v="2417385.9960911372"/>
    <n v="713195.99609113717"/>
    <n v="7"/>
  </r>
  <r>
    <s v="L0976"/>
    <s v="Deepika Joshi"/>
    <n v="30"/>
    <s v="F"/>
    <x v="1"/>
    <n v="1292027"/>
    <n v="987220"/>
    <n v="10.65"/>
    <n v="36"/>
    <n v="709"/>
    <x v="3"/>
    <x v="1"/>
    <d v="2019-12-10T00:00:00"/>
    <x v="0"/>
    <n v="32156.933106810506"/>
    <n v="1157649.5918451783"/>
    <n v="170429.59184517828"/>
    <n v="6"/>
  </r>
  <r>
    <s v="L0977"/>
    <s v="Arjun Mehta"/>
    <n v="45"/>
    <s v="F"/>
    <x v="2"/>
    <n v="771046"/>
    <n v="1509437"/>
    <n v="8.19"/>
    <n v="60"/>
    <n v="668"/>
    <x v="0"/>
    <x v="0"/>
    <d v="2019-06-08T00:00:00"/>
    <x v="3"/>
    <n v="30743.37864280845"/>
    <n v="1844602.7185685069"/>
    <n v="335165.71856850688"/>
    <n v="6"/>
  </r>
  <r>
    <s v="L0978"/>
    <s v="Amit Yadav"/>
    <n v="33"/>
    <s v="F"/>
    <x v="2"/>
    <n v="850434"/>
    <n v="343409"/>
    <n v="13.87"/>
    <n v="96"/>
    <n v="789"/>
    <x v="3"/>
    <x v="0"/>
    <d v="2021-12-28T00:00:00"/>
    <x v="3"/>
    <n v="5940.1512092789035"/>
    <n v="570254.51609077468"/>
    <n v="226845.51609077468"/>
    <n v="4"/>
  </r>
  <r>
    <s v="L0979"/>
    <s v="Arjun Mehta"/>
    <n v="28"/>
    <s v="F"/>
    <x v="1"/>
    <n v="998265"/>
    <n v="433490"/>
    <n v="13.11"/>
    <n v="36"/>
    <n v="843"/>
    <x v="0"/>
    <x v="0"/>
    <d v="2024-01-12T00:00:00"/>
    <x v="2"/>
    <n v="14628.96937564867"/>
    <n v="526642.89752335218"/>
    <n v="93152.897523352178"/>
    <n v="1"/>
  </r>
  <r>
    <s v="L0980"/>
    <s v="Sneha Pillai"/>
    <n v="53"/>
    <s v="M"/>
    <x v="0"/>
    <n v="1140060"/>
    <n v="765652"/>
    <n v="10.06"/>
    <n v="36"/>
    <n v="781"/>
    <x v="1"/>
    <x v="1"/>
    <d v="2024-04-29T00:00:00"/>
    <x v="1"/>
    <n v="24727.010179539495"/>
    <n v="890172.36646342184"/>
    <n v="124520.36646342184"/>
    <n v="1"/>
  </r>
  <r>
    <s v="L0981"/>
    <s v="Meena George"/>
    <n v="42"/>
    <s v="F"/>
    <x v="0"/>
    <n v="1325880"/>
    <n v="1571808"/>
    <n v="8.86"/>
    <n v="72"/>
    <n v="800"/>
    <x v="1"/>
    <x v="0"/>
    <d v="2018-02-23T00:00:00"/>
    <x v="3"/>
    <n v="28223.592581652902"/>
    <n v="2032098.6658790088"/>
    <n v="460290.66587900883"/>
    <n v="7"/>
  </r>
  <r>
    <s v="L0982"/>
    <s v="Amit Yadav"/>
    <n v="33"/>
    <s v="F"/>
    <x v="2"/>
    <n v="1968688"/>
    <n v="1628793"/>
    <n v="8.0399999999999991"/>
    <n v="72"/>
    <n v="784"/>
    <x v="3"/>
    <x v="1"/>
    <d v="2019-09-13T00:00:00"/>
    <x v="0"/>
    <n v="28589.842014256428"/>
    <n v="2058468.6250264628"/>
    <n v="429675.62502646283"/>
    <n v="6"/>
  </r>
  <r>
    <s v="L0983"/>
    <s v="Neha Sharma"/>
    <n v="38"/>
    <s v="F"/>
    <x v="0"/>
    <n v="1733872"/>
    <n v="1662366"/>
    <n v="7.98"/>
    <n v="96"/>
    <n v="810"/>
    <x v="0"/>
    <x v="1"/>
    <d v="2024-05-24T00:00:00"/>
    <x v="0"/>
    <n v="23483.440075532188"/>
    <n v="2254410.2472510901"/>
    <n v="592044.24725109013"/>
    <n v="1"/>
  </r>
  <r>
    <s v="L0984"/>
    <s v="Mohit Jain"/>
    <n v="36"/>
    <s v="M"/>
    <x v="1"/>
    <n v="318093"/>
    <n v="964224"/>
    <n v="13.45"/>
    <n v="60"/>
    <n v="699"/>
    <x v="0"/>
    <x v="1"/>
    <d v="2020-06-11T00:00:00"/>
    <x v="3"/>
    <n v="22161.816191573129"/>
    <n v="1329708.9714943878"/>
    <n v="365484.97149438784"/>
    <n v="5"/>
  </r>
  <r>
    <s v="L0985"/>
    <s v="Kiran Menon"/>
    <n v="54"/>
    <s v="F"/>
    <x v="0"/>
    <n v="1803925"/>
    <n v="1942685"/>
    <n v="9.9499999999999993"/>
    <n v="84"/>
    <n v="841"/>
    <x v="1"/>
    <x v="1"/>
    <d v="2019-04-10T00:00:00"/>
    <x v="2"/>
    <n v="32200.704569004502"/>
    <n v="2704859.1837963783"/>
    <n v="762174.18379637832"/>
    <n v="6"/>
  </r>
  <r>
    <s v="L0986"/>
    <s v="Tanya Rao"/>
    <n v="42"/>
    <s v="F"/>
    <x v="2"/>
    <n v="1609020"/>
    <n v="384667"/>
    <n v="13.27"/>
    <n v="96"/>
    <n v="797"/>
    <x v="1"/>
    <x v="1"/>
    <d v="2019-08-06T00:00:00"/>
    <x v="2"/>
    <n v="6523.4290245759203"/>
    <n v="626249.1863592884"/>
    <n v="241582.1863592884"/>
    <n v="6"/>
  </r>
  <r>
    <s v="L0987"/>
    <s v="Deepika Joshi"/>
    <n v="48"/>
    <s v="M"/>
    <x v="2"/>
    <n v="676449"/>
    <n v="762838"/>
    <n v="8.43"/>
    <n v="36"/>
    <n v="686"/>
    <x v="3"/>
    <x v="1"/>
    <d v="2024-03-21T00:00:00"/>
    <x v="0"/>
    <n v="24056.181550876492"/>
    <n v="866022.53583155375"/>
    <n v="103184.53583155375"/>
    <n v="1"/>
  </r>
  <r>
    <s v="L0988"/>
    <s v="Kiran Menon"/>
    <n v="55"/>
    <s v="F"/>
    <x v="1"/>
    <n v="1517214"/>
    <n v="1130381"/>
    <n v="8.65"/>
    <n v="48"/>
    <n v="674"/>
    <x v="3"/>
    <x v="1"/>
    <d v="2024-07-26T00:00:00"/>
    <x v="1"/>
    <n v="27942.094341194446"/>
    <n v="1341220.5283773334"/>
    <n v="210839.52837733342"/>
    <n v="1"/>
  </r>
  <r>
    <s v="L0989"/>
    <s v="Sneha Pillai"/>
    <n v="53"/>
    <s v="M"/>
    <x v="1"/>
    <n v="1557026"/>
    <n v="795984"/>
    <n v="13.48"/>
    <n v="120"/>
    <n v="609"/>
    <x v="2"/>
    <x v="0"/>
    <d v="2024-06-12T00:00:00"/>
    <x v="2"/>
    <n v="12111.310115945051"/>
    <n v="1453357.213913406"/>
    <n v="657373.21391340601"/>
    <n v="1"/>
  </r>
  <r>
    <s v="L0990"/>
    <s v="Isha Verma"/>
    <n v="39"/>
    <s v="F"/>
    <x v="2"/>
    <n v="895386"/>
    <n v="1004170"/>
    <n v="13.29"/>
    <n v="84"/>
    <n v="788"/>
    <x v="3"/>
    <x v="1"/>
    <d v="2018-08-10T00:00:00"/>
    <x v="3"/>
    <n v="18426.514359905919"/>
    <n v="1547827.2062320972"/>
    <n v="543657.20623209723"/>
    <n v="7"/>
  </r>
  <r>
    <s v="L0991"/>
    <s v="Isha Verma"/>
    <n v="32"/>
    <s v="F"/>
    <x v="2"/>
    <n v="596198"/>
    <n v="231009"/>
    <n v="7.56"/>
    <n v="60"/>
    <n v="631"/>
    <x v="1"/>
    <x v="1"/>
    <d v="2024-07-18T00:00:00"/>
    <x v="0"/>
    <n v="4635.5357762205876"/>
    <n v="278132.14657323528"/>
    <n v="47123.146573235281"/>
    <n v="1"/>
  </r>
  <r>
    <s v="L0992"/>
    <s v="Vikram Das"/>
    <n v="28"/>
    <s v="F"/>
    <x v="2"/>
    <n v="746196"/>
    <n v="1664844"/>
    <n v="7.52"/>
    <n v="60"/>
    <n v="799"/>
    <x v="0"/>
    <x v="0"/>
    <d v="2019-05-11T00:00:00"/>
    <x v="2"/>
    <n v="33375.883332409547"/>
    <n v="2002552.9999445728"/>
    <n v="337708.9999445728"/>
    <n v="6"/>
  </r>
  <r>
    <s v="L0993"/>
    <s v="Neha Sharma"/>
    <n v="55"/>
    <s v="M"/>
    <x v="2"/>
    <n v="1447104"/>
    <n v="518272"/>
    <n v="11.72"/>
    <n v="72"/>
    <n v="713"/>
    <x v="3"/>
    <x v="1"/>
    <d v="2018-06-25T00:00:00"/>
    <x v="3"/>
    <n v="10057.011841455604"/>
    <n v="724104.85258480348"/>
    <n v="205832.85258480348"/>
    <n v="7"/>
  </r>
  <r>
    <s v="L0994"/>
    <s v="Amit Yadav"/>
    <n v="49"/>
    <s v="F"/>
    <x v="1"/>
    <n v="1025701"/>
    <n v="899562"/>
    <n v="12.4"/>
    <n v="84"/>
    <n v="795"/>
    <x v="1"/>
    <x v="0"/>
    <d v="2021-10-09T00:00:00"/>
    <x v="0"/>
    <n v="16072.797459032725"/>
    <n v="1350114.9865587489"/>
    <n v="450552.98655874887"/>
    <n v="4"/>
  </r>
  <r>
    <s v="L0995"/>
    <s v="Deepika Joshi"/>
    <n v="33"/>
    <s v="M"/>
    <x v="0"/>
    <n v="1995896"/>
    <n v="534569"/>
    <n v="14.15"/>
    <n v="84"/>
    <n v="771"/>
    <x v="1"/>
    <x v="1"/>
    <d v="2022-07-02T00:00:00"/>
    <x v="0"/>
    <n v="10062.17724357209"/>
    <n v="845222.88846005558"/>
    <n v="310653.88846005558"/>
    <n v="3"/>
  </r>
  <r>
    <s v="L0996"/>
    <s v="Sneha Pillai"/>
    <n v="36"/>
    <s v="F"/>
    <x v="0"/>
    <n v="1216367"/>
    <n v="1267144"/>
    <n v="10.45"/>
    <n v="72"/>
    <n v="747"/>
    <x v="3"/>
    <x v="1"/>
    <d v="2022-12-03T00:00:00"/>
    <x v="1"/>
    <n v="23763.470728033379"/>
    <n v="1710969.8924184032"/>
    <n v="443825.89241840318"/>
    <n v="3"/>
  </r>
  <r>
    <s v="L0997"/>
    <s v="Amit Yadav"/>
    <n v="36"/>
    <s v="F"/>
    <x v="2"/>
    <n v="1093502"/>
    <n v="943547"/>
    <n v="8.7100000000000009"/>
    <n v="72"/>
    <n v="718"/>
    <x v="1"/>
    <x v="1"/>
    <d v="2022-11-27T00:00:00"/>
    <x v="2"/>
    <n v="16872.455057755189"/>
    <n v="1214816.7641583737"/>
    <n v="271269.7641583737"/>
    <n v="3"/>
  </r>
  <r>
    <s v="L0998"/>
    <s v="Arjun Mehta"/>
    <n v="35"/>
    <s v="F"/>
    <x v="2"/>
    <n v="954874"/>
    <n v="414628"/>
    <n v="14.26"/>
    <n v="48"/>
    <n v="692"/>
    <x v="0"/>
    <x v="1"/>
    <d v="2023-12-10T00:00:00"/>
    <x v="0"/>
    <n v="11384.47389612296"/>
    <n v="546454.74701390206"/>
    <n v="131826.74701390206"/>
    <n v="2"/>
  </r>
  <r>
    <s v="L0999"/>
    <s v="Arjun Mehta"/>
    <n v="33"/>
    <s v="M"/>
    <x v="0"/>
    <n v="1103843"/>
    <n v="1977219"/>
    <n v="10.8"/>
    <n v="96"/>
    <n v="804"/>
    <x v="0"/>
    <x v="1"/>
    <d v="2022-05-13T00:00:00"/>
    <x v="3"/>
    <n v="30846.111517618927"/>
    <n v="2961226.7056914167"/>
    <n v="984007.70569141675"/>
    <n v="3"/>
  </r>
  <r>
    <s v="L1000"/>
    <s v="Deepika Joshi"/>
    <n v="56"/>
    <s v="M"/>
    <x v="2"/>
    <n v="992381"/>
    <n v="707116"/>
    <n v="8.69"/>
    <n v="120"/>
    <n v="768"/>
    <x v="1"/>
    <x v="1"/>
    <d v="2023-05-07T00:00:00"/>
    <x v="3"/>
    <n v="8839.2447390942289"/>
    <n v="1060709.3686913075"/>
    <n v="353593.36869130749"/>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0001"/>
    <s v="Rohan Nair"/>
    <n v="53"/>
    <s v="M"/>
    <x v="0"/>
    <n v="1559545"/>
    <n v="1896607"/>
    <n v="10.58"/>
    <n v="120"/>
    <n v="684"/>
    <x v="0"/>
    <x v="0"/>
    <x v="0"/>
    <x v="0"/>
    <n v="25676.899223733013"/>
    <n v="3081227.9068479617"/>
    <n v="1184620.9068479617"/>
    <n v="6"/>
    <x v="0"/>
  </r>
  <r>
    <s v="L0002"/>
    <s v="Deepika Joshi"/>
    <n v="33"/>
    <s v="F"/>
    <x v="0"/>
    <n v="906411"/>
    <n v="1934916"/>
    <n v="7.98"/>
    <n v="72"/>
    <n v="743"/>
    <x v="0"/>
    <x v="1"/>
    <x v="1"/>
    <x v="0"/>
    <n v="33906.455503768135"/>
    <n v="2441264.7962713055"/>
    <n v="506348.79627130553"/>
    <n v="7"/>
    <x v="1"/>
  </r>
  <r>
    <s v="L0003"/>
    <s v="Pooja Reddy"/>
    <n v="56"/>
    <s v="F"/>
    <x v="1"/>
    <n v="559073"/>
    <n v="1726509"/>
    <n v="12.09"/>
    <n v="48"/>
    <n v="686"/>
    <x v="1"/>
    <x v="1"/>
    <x v="2"/>
    <x v="0"/>
    <n v="45541.934315552739"/>
    <n v="2186012.8471465316"/>
    <n v="459503.84714653157"/>
    <n v="7"/>
    <x v="0"/>
  </r>
  <r>
    <s v="L0004"/>
    <s v="Pooja Reddy"/>
    <n v="49"/>
    <s v="F"/>
    <x v="0"/>
    <n v="1720556"/>
    <n v="1503158"/>
    <n v="11.01"/>
    <n v="84"/>
    <n v="832"/>
    <x v="2"/>
    <x v="1"/>
    <x v="3"/>
    <x v="0"/>
    <n v="25745.631472382302"/>
    <n v="2162633.0436801133"/>
    <n v="659475.04368011327"/>
    <n v="5"/>
    <x v="2"/>
  </r>
  <r>
    <s v="L0005"/>
    <s v="Raj Kumar"/>
    <n v="28"/>
    <s v="M"/>
    <x v="0"/>
    <n v="1057812"/>
    <n v="1531645"/>
    <n v="11.04"/>
    <n v="48"/>
    <n v="672"/>
    <x v="3"/>
    <x v="1"/>
    <x v="4"/>
    <x v="1"/>
    <n v="39615.924587436646"/>
    <n v="1901564.380196959"/>
    <n v="369919.38019695901"/>
    <n v="7"/>
    <x v="0"/>
  </r>
  <r>
    <s v="L0006"/>
    <s v="Rohan Nair"/>
    <n v="54"/>
    <s v="F"/>
    <x v="1"/>
    <n v="1109203"/>
    <n v="1300500"/>
    <n v="10.050000000000001"/>
    <n v="120"/>
    <n v="614"/>
    <x v="2"/>
    <x v="1"/>
    <x v="5"/>
    <x v="2"/>
    <n v="17222.231428533731"/>
    <n v="2066667.7714240476"/>
    <n v="766167.77142404765"/>
    <n v="2"/>
    <x v="3"/>
  </r>
  <r>
    <s v="L0007"/>
    <s v="Sneha Pillai"/>
    <n v="35"/>
    <s v="M"/>
    <x v="0"/>
    <n v="1418999"/>
    <n v="936676"/>
    <n v="10.76"/>
    <n v="96"/>
    <n v="773"/>
    <x v="1"/>
    <x v="0"/>
    <x v="6"/>
    <x v="2"/>
    <n v="14592.7293610003"/>
    <n v="1400902.0186560289"/>
    <n v="464226.0186560289"/>
    <n v="3"/>
    <x v="4"/>
  </r>
  <r>
    <s v="L0008"/>
    <s v="Pooja Reddy"/>
    <n v="53"/>
    <s v="F"/>
    <x v="0"/>
    <n v="1679830"/>
    <n v="656065"/>
    <n v="13.99"/>
    <n v="36"/>
    <n v="832"/>
    <x v="0"/>
    <x v="1"/>
    <x v="7"/>
    <x v="1"/>
    <n v="22419.560352201072"/>
    <n v="807104.1726792386"/>
    <n v="151039.1726792386"/>
    <n v="7"/>
    <x v="2"/>
  </r>
  <r>
    <s v="L0009"/>
    <s v="Deepika Joshi"/>
    <n v="48"/>
    <s v="F"/>
    <x v="1"/>
    <n v="348744"/>
    <n v="684365"/>
    <n v="14.73"/>
    <n v="60"/>
    <n v="703"/>
    <x v="3"/>
    <x v="0"/>
    <x v="8"/>
    <x v="2"/>
    <n v="16184.163941259883"/>
    <n v="971049.83647559304"/>
    <n v="286684.83647559304"/>
    <n v="1"/>
    <x v="1"/>
  </r>
  <r>
    <s v="L0010"/>
    <s v="Aarav Patel"/>
    <n v="38"/>
    <s v="M"/>
    <x v="1"/>
    <n v="1034744"/>
    <n v="361395"/>
    <n v="12.53"/>
    <n v="60"/>
    <n v="813"/>
    <x v="2"/>
    <x v="1"/>
    <x v="9"/>
    <x v="1"/>
    <n v="8136.1579162020553"/>
    <n v="488169.47497212334"/>
    <n v="126774.47497212334"/>
    <n v="2"/>
    <x v="2"/>
  </r>
  <r>
    <s v="L0011"/>
    <s v="Kiran Menon"/>
    <n v="48"/>
    <s v="F"/>
    <x v="1"/>
    <n v="543972"/>
    <n v="803441"/>
    <n v="7.77"/>
    <n v="36"/>
    <n v="749"/>
    <x v="0"/>
    <x v="1"/>
    <x v="10"/>
    <x v="3"/>
    <n v="25091.759990711162"/>
    <n v="903303.35966560186"/>
    <n v="99862.359665601864"/>
    <n v="4"/>
    <x v="1"/>
  </r>
  <r>
    <s v="L0012"/>
    <s v="Isha Verma"/>
    <n v="33"/>
    <s v="M"/>
    <x v="1"/>
    <n v="1472509"/>
    <n v="1597755"/>
    <n v="11.53"/>
    <n v="120"/>
    <n v="726"/>
    <x v="2"/>
    <x v="1"/>
    <x v="11"/>
    <x v="3"/>
    <n v="22491.138535036684"/>
    <n v="2698936.6242044019"/>
    <n v="1101181.6242044019"/>
    <n v="7"/>
    <x v="1"/>
  </r>
  <r>
    <s v="L0013"/>
    <s v="Vikram Das"/>
    <n v="43"/>
    <s v="F"/>
    <x v="0"/>
    <n v="405485"/>
    <n v="1188704"/>
    <n v="9.5399999999999991"/>
    <n v="96"/>
    <n v="658"/>
    <x v="3"/>
    <x v="1"/>
    <x v="12"/>
    <x v="2"/>
    <n v="17749.554925499466"/>
    <n v="1703957.2728479486"/>
    <n v="515253.2728479486"/>
    <n v="4"/>
    <x v="0"/>
  </r>
  <r>
    <s v="L0014"/>
    <s v="Arjun Mehta"/>
    <n v="44"/>
    <s v="M"/>
    <x v="1"/>
    <n v="769056"/>
    <n v="508910"/>
    <n v="9.9600000000000009"/>
    <n v="72"/>
    <n v="815"/>
    <x v="3"/>
    <x v="1"/>
    <x v="13"/>
    <x v="1"/>
    <n v="9417.7219717097596"/>
    <n v="678075.98196310271"/>
    <n v="169165.98196310271"/>
    <n v="4"/>
    <x v="2"/>
  </r>
  <r>
    <s v="L0015"/>
    <s v="Rohan Nair"/>
    <n v="43"/>
    <s v="M"/>
    <x v="1"/>
    <n v="1411713"/>
    <n v="888810"/>
    <n v="8.1999999999999993"/>
    <n v="60"/>
    <n v="727"/>
    <x v="0"/>
    <x v="0"/>
    <x v="14"/>
    <x v="3"/>
    <n v="18107.056313206729"/>
    <n v="1086423.3787924037"/>
    <n v="197613.37879240373"/>
    <n v="7"/>
    <x v="1"/>
  </r>
  <r>
    <s v="L0016"/>
    <s v="Raj Kumar"/>
    <n v="32"/>
    <s v="M"/>
    <x v="2"/>
    <n v="718149"/>
    <n v="1372912"/>
    <n v="14.02"/>
    <n v="72"/>
    <n v="620"/>
    <x v="0"/>
    <x v="1"/>
    <x v="15"/>
    <x v="3"/>
    <n v="28304.572113031965"/>
    <n v="2037929.1921383014"/>
    <n v="665017.19213830144"/>
    <n v="2"/>
    <x v="3"/>
  </r>
  <r>
    <s v="L0017"/>
    <s v="Kiran Menon"/>
    <n v="26"/>
    <s v="M"/>
    <x v="1"/>
    <n v="1776570"/>
    <n v="207067"/>
    <n v="12.37"/>
    <n v="36"/>
    <n v="839"/>
    <x v="3"/>
    <x v="0"/>
    <x v="16"/>
    <x v="1"/>
    <n v="6914.2375972098771"/>
    <n v="248912.55349955556"/>
    <n v="41845.553499555564"/>
    <n v="3"/>
    <x v="2"/>
  </r>
  <r>
    <s v="L0018"/>
    <s v="Aditya Sharma"/>
    <n v="35"/>
    <s v="M"/>
    <x v="0"/>
    <n v="1458086"/>
    <n v="1422232"/>
    <n v="11.02"/>
    <n v="120"/>
    <n v="809"/>
    <x v="3"/>
    <x v="1"/>
    <x v="17"/>
    <x v="3"/>
    <n v="19607.352128619437"/>
    <n v="2352882.2554343324"/>
    <n v="930650.25543433242"/>
    <n v="4"/>
    <x v="2"/>
  </r>
  <r>
    <s v="L0019"/>
    <s v="Rina Kapoor"/>
    <n v="49"/>
    <s v="M"/>
    <x v="1"/>
    <n v="1422519"/>
    <n v="1593381"/>
    <n v="13.17"/>
    <n v="84"/>
    <n v="708"/>
    <x v="0"/>
    <x v="1"/>
    <x v="18"/>
    <x v="0"/>
    <n v="29134.195234268795"/>
    <n v="2447272.3996785786"/>
    <n v="853891.3996785786"/>
    <n v="2"/>
    <x v="1"/>
  </r>
  <r>
    <s v="L0020"/>
    <s v="Mohit Jain"/>
    <n v="50"/>
    <s v="F"/>
    <x v="0"/>
    <n v="1293844"/>
    <n v="1602669"/>
    <n v="9.49"/>
    <n v="96"/>
    <n v="608"/>
    <x v="0"/>
    <x v="1"/>
    <x v="19"/>
    <x v="3"/>
    <n v="23888.820281242952"/>
    <n v="2293326.7469993234"/>
    <n v="690657.74699932337"/>
    <n v="1"/>
    <x v="3"/>
  </r>
  <r>
    <s v="L0021"/>
    <s v="Neha Sharma"/>
    <n v="25"/>
    <s v="M"/>
    <x v="2"/>
    <n v="1017659"/>
    <n v="1458736"/>
    <n v="13.76"/>
    <n v="84"/>
    <n v="764"/>
    <x v="3"/>
    <x v="1"/>
    <x v="20"/>
    <x v="2"/>
    <n v="27143.696075889573"/>
    <n v="2280070.4703747239"/>
    <n v="821334.4703747239"/>
    <n v="7"/>
    <x v="4"/>
  </r>
  <r>
    <s v="L0022"/>
    <s v="Meena George"/>
    <n v="32"/>
    <s v="M"/>
    <x v="0"/>
    <n v="849506"/>
    <n v="1711239"/>
    <n v="12.89"/>
    <n v="36"/>
    <n v="700"/>
    <x v="3"/>
    <x v="1"/>
    <x v="21"/>
    <x v="0"/>
    <n v="57567.780184846866"/>
    <n v="2072440.0866544871"/>
    <n v="361201.08665448707"/>
    <n v="3"/>
    <x v="1"/>
  </r>
  <r>
    <s v="L0023"/>
    <s v="Deepika Joshi"/>
    <n v="55"/>
    <s v="M"/>
    <x v="1"/>
    <n v="1756371"/>
    <n v="348472"/>
    <n v="11.3"/>
    <n v="120"/>
    <n v="678"/>
    <x v="3"/>
    <x v="1"/>
    <x v="22"/>
    <x v="2"/>
    <n v="4859.5689771274865"/>
    <n v="583148.27725529834"/>
    <n v="234676.27725529834"/>
    <n v="1"/>
    <x v="0"/>
  </r>
  <r>
    <s v="L0024"/>
    <s v="Aarav Patel"/>
    <n v="56"/>
    <s v="M"/>
    <x v="2"/>
    <n v="1690372"/>
    <n v="1684169"/>
    <n v="8.86"/>
    <n v="72"/>
    <n v="750"/>
    <x v="3"/>
    <x v="1"/>
    <x v="23"/>
    <x v="0"/>
    <n v="30241.161576127481"/>
    <n v="2177363.6334811784"/>
    <n v="493194.63348117843"/>
    <n v="1"/>
    <x v="4"/>
  </r>
  <r>
    <s v="L0025"/>
    <s v="Priya Singh"/>
    <n v="43"/>
    <s v="F"/>
    <x v="1"/>
    <n v="362436"/>
    <n v="540212"/>
    <n v="11"/>
    <n v="72"/>
    <n v="603"/>
    <x v="3"/>
    <x v="0"/>
    <x v="24"/>
    <x v="3"/>
    <n v="10282.437885129282"/>
    <n v="740335.52772930835"/>
    <n v="200123.52772930835"/>
    <n v="7"/>
    <x v="3"/>
  </r>
  <r>
    <s v="L0026"/>
    <s v="Rohit Khanna"/>
    <n v="47"/>
    <s v="F"/>
    <x v="0"/>
    <n v="1080006"/>
    <n v="846952"/>
    <n v="7.73"/>
    <n v="72"/>
    <n v="778"/>
    <x v="0"/>
    <x v="0"/>
    <x v="25"/>
    <x v="0"/>
    <n v="14738.405067673193"/>
    <n v="1061165.1648724698"/>
    <n v="214213.16487246985"/>
    <n v="3"/>
    <x v="4"/>
  </r>
  <r>
    <s v="L0027"/>
    <s v="Pooja Reddy"/>
    <n v="44"/>
    <s v="F"/>
    <x v="0"/>
    <n v="1198977"/>
    <n v="345195"/>
    <n v="11.43"/>
    <n v="84"/>
    <n v="710"/>
    <x v="3"/>
    <x v="1"/>
    <x v="26"/>
    <x v="0"/>
    <n v="5988.9129422854321"/>
    <n v="503068.68715197628"/>
    <n v="157873.68715197628"/>
    <n v="3"/>
    <x v="1"/>
  </r>
  <r>
    <s v="L0028"/>
    <s v="Pooja Reddy"/>
    <n v="49"/>
    <s v="M"/>
    <x v="2"/>
    <n v="651311"/>
    <n v="1965525"/>
    <n v="13.9"/>
    <n v="72"/>
    <n v="600"/>
    <x v="1"/>
    <x v="0"/>
    <x v="27"/>
    <x v="2"/>
    <n v="40395.923615263557"/>
    <n v="2908506.500298976"/>
    <n v="942981.50029897597"/>
    <n v="2"/>
    <x v="3"/>
  </r>
  <r>
    <s v="L0029"/>
    <s v="Raj Kumar"/>
    <n v="56"/>
    <s v="M"/>
    <x v="0"/>
    <n v="1052804"/>
    <n v="1853373"/>
    <n v="11.32"/>
    <n v="72"/>
    <n v="807"/>
    <x v="3"/>
    <x v="1"/>
    <x v="28"/>
    <x v="2"/>
    <n v="35581.763254507416"/>
    <n v="2561886.9543245342"/>
    <n v="708513.95432453416"/>
    <n v="2"/>
    <x v="2"/>
  </r>
  <r>
    <s v="L0030"/>
    <s v="Aditya Sharma"/>
    <n v="26"/>
    <s v="F"/>
    <x v="0"/>
    <n v="980550"/>
    <n v="963491"/>
    <n v="10.88"/>
    <n v="36"/>
    <n v="642"/>
    <x v="0"/>
    <x v="1"/>
    <x v="29"/>
    <x v="2"/>
    <n v="31488.734585064041"/>
    <n v="1133594.4450623055"/>
    <n v="170103.44506230555"/>
    <n v="6"/>
    <x v="3"/>
  </r>
  <r>
    <s v="L0031"/>
    <s v="Rohan Nair"/>
    <n v="44"/>
    <s v="F"/>
    <x v="0"/>
    <n v="962615"/>
    <n v="1028895"/>
    <n v="10.86"/>
    <n v="72"/>
    <n v="679"/>
    <x v="3"/>
    <x v="1"/>
    <x v="30"/>
    <x v="2"/>
    <n v="19510.369687798335"/>
    <n v="1404746.6175214802"/>
    <n v="375851.61752148019"/>
    <n v="2"/>
    <x v="0"/>
  </r>
  <r>
    <s v="L0032"/>
    <s v="Kiran Menon"/>
    <n v="25"/>
    <s v="F"/>
    <x v="0"/>
    <n v="877370"/>
    <n v="1480468"/>
    <n v="13.76"/>
    <n v="72"/>
    <n v="835"/>
    <x v="0"/>
    <x v="1"/>
    <x v="31"/>
    <x v="1"/>
    <n v="30316.20554585474"/>
    <n v="2182766.7993015414"/>
    <n v="702298.79930154141"/>
    <n v="3"/>
    <x v="2"/>
  </r>
  <r>
    <s v="L0033"/>
    <s v="Rina Kapoor"/>
    <n v="58"/>
    <s v="M"/>
    <x v="2"/>
    <n v="809412"/>
    <n v="656058"/>
    <n v="13.83"/>
    <n v="60"/>
    <n v="656"/>
    <x v="2"/>
    <x v="1"/>
    <x v="19"/>
    <x v="0"/>
    <n v="15207.562546336945"/>
    <n v="912453.75278021675"/>
    <n v="256395.75278021675"/>
    <n v="1"/>
    <x v="0"/>
  </r>
  <r>
    <s v="L0034"/>
    <s v="Priya Singh"/>
    <n v="49"/>
    <s v="M"/>
    <x v="2"/>
    <n v="1926568"/>
    <n v="1471781"/>
    <n v="14.41"/>
    <n v="84"/>
    <n v="847"/>
    <x v="1"/>
    <x v="1"/>
    <x v="32"/>
    <x v="3"/>
    <n v="27915.611437224841"/>
    <n v="2344911.3607268864"/>
    <n v="873130.36072688643"/>
    <n v="3"/>
    <x v="2"/>
  </r>
  <r>
    <s v="L0035"/>
    <s v="Amit Yadav"/>
    <n v="48"/>
    <s v="M"/>
    <x v="2"/>
    <n v="1622926"/>
    <n v="1900245"/>
    <n v="10.68"/>
    <n v="72"/>
    <n v="713"/>
    <x v="2"/>
    <x v="1"/>
    <x v="33"/>
    <x v="2"/>
    <n v="35858.728972018616"/>
    <n v="2581828.4859853406"/>
    <n v="681583.48598534055"/>
    <n v="6"/>
    <x v="1"/>
  </r>
  <r>
    <s v="L0036"/>
    <s v="Rohit Khanna"/>
    <n v="27"/>
    <s v="F"/>
    <x v="1"/>
    <n v="1192494"/>
    <n v="871151"/>
    <n v="11.32"/>
    <n v="60"/>
    <n v="810"/>
    <x v="0"/>
    <x v="0"/>
    <x v="34"/>
    <x v="1"/>
    <n v="19080.254067996899"/>
    <n v="1144815.2440798138"/>
    <n v="273664.24407981383"/>
    <n v="6"/>
    <x v="2"/>
  </r>
  <r>
    <s v="L0037"/>
    <s v="Raj Kumar"/>
    <n v="46"/>
    <s v="F"/>
    <x v="1"/>
    <n v="1211256"/>
    <n v="427008"/>
    <n v="8.9600000000000009"/>
    <n v="60"/>
    <n v="678"/>
    <x v="0"/>
    <x v="1"/>
    <x v="35"/>
    <x v="0"/>
    <n v="8855.6964286928687"/>
    <n v="531341.78572157212"/>
    <n v="104333.78572157212"/>
    <n v="1"/>
    <x v="0"/>
  </r>
  <r>
    <s v="L0038"/>
    <s v="Amit Yadav"/>
    <n v="56"/>
    <s v="M"/>
    <x v="2"/>
    <n v="1279751"/>
    <n v="1998199"/>
    <n v="12.58"/>
    <n v="84"/>
    <n v="812"/>
    <x v="0"/>
    <x v="1"/>
    <x v="36"/>
    <x v="0"/>
    <n v="35896.457418026119"/>
    <n v="3015302.4231141941"/>
    <n v="1017103.4231141941"/>
    <n v="6"/>
    <x v="2"/>
  </r>
  <r>
    <s v="L0039"/>
    <s v="Amit Yadav"/>
    <n v="41"/>
    <s v="M"/>
    <x v="1"/>
    <n v="1511815"/>
    <n v="1472408"/>
    <n v="11.87"/>
    <n v="120"/>
    <n v="611"/>
    <x v="2"/>
    <x v="1"/>
    <x v="37"/>
    <x v="0"/>
    <n v="21014.272357914604"/>
    <n v="2521712.6829497525"/>
    <n v="1049304.6829497525"/>
    <n v="2"/>
    <x v="3"/>
  </r>
  <r>
    <s v="L0040"/>
    <s v="Raj Kumar"/>
    <n v="40"/>
    <s v="M"/>
    <x v="1"/>
    <n v="1511979"/>
    <n v="1707498"/>
    <n v="11.87"/>
    <n v="72"/>
    <n v="783"/>
    <x v="0"/>
    <x v="0"/>
    <x v="38"/>
    <x v="1"/>
    <n v="33266.594617778203"/>
    <n v="2395194.8124800306"/>
    <n v="687696.81248003058"/>
    <n v="6"/>
    <x v="4"/>
  </r>
  <r>
    <s v="L0041"/>
    <s v="Rina Kapoor"/>
    <n v="42"/>
    <s v="M"/>
    <x v="0"/>
    <n v="1289666"/>
    <n v="968173"/>
    <n v="10.77"/>
    <n v="48"/>
    <n v="720"/>
    <x v="2"/>
    <x v="0"/>
    <x v="39"/>
    <x v="1"/>
    <n v="24914.934792922719"/>
    <n v="1195916.8700602904"/>
    <n v="227743.87006029044"/>
    <n v="1"/>
    <x v="1"/>
  </r>
  <r>
    <s v="L0042"/>
    <s v="Arjun Mehta"/>
    <n v="33"/>
    <s v="M"/>
    <x v="2"/>
    <n v="1741872"/>
    <n v="1666082"/>
    <n v="12.87"/>
    <n v="120"/>
    <n v="830"/>
    <x v="0"/>
    <x v="1"/>
    <x v="40"/>
    <x v="3"/>
    <n v="24748.806496927176"/>
    <n v="2969856.7796312612"/>
    <n v="1303774.7796312612"/>
    <n v="4"/>
    <x v="2"/>
  </r>
  <r>
    <s v="L0043"/>
    <s v="Sneha Pillai"/>
    <n v="60"/>
    <s v="F"/>
    <x v="0"/>
    <n v="1983045"/>
    <n v="1471213"/>
    <n v="14.24"/>
    <n v="84"/>
    <n v="716"/>
    <x v="1"/>
    <x v="1"/>
    <x v="41"/>
    <x v="1"/>
    <n v="27765.970119708469"/>
    <n v="2332341.4900555112"/>
    <n v="861128.49005551124"/>
    <n v="5"/>
    <x v="1"/>
  </r>
  <r>
    <s v="L0044"/>
    <s v="Sneha Pillai"/>
    <n v="46"/>
    <s v="F"/>
    <x v="1"/>
    <n v="826503"/>
    <n v="1294689"/>
    <n v="11.86"/>
    <n v="60"/>
    <n v="757"/>
    <x v="1"/>
    <x v="1"/>
    <x v="42"/>
    <x v="0"/>
    <n v="28708.130673893233"/>
    <n v="1722487.8404335938"/>
    <n v="427798.84043359384"/>
    <n v="7"/>
    <x v="4"/>
  </r>
  <r>
    <s v="L0045"/>
    <s v="Priya Singh"/>
    <n v="35"/>
    <s v="F"/>
    <x v="2"/>
    <n v="1750909"/>
    <n v="573380"/>
    <n v="9.4"/>
    <n v="120"/>
    <n v="646"/>
    <x v="3"/>
    <x v="1"/>
    <x v="43"/>
    <x v="0"/>
    <n v="7388.0402485181467"/>
    <n v="886564.82982217765"/>
    <n v="313184.82982217765"/>
    <n v="2"/>
    <x v="3"/>
  </r>
  <r>
    <s v="L0046"/>
    <s v="Mohit Jain"/>
    <n v="36"/>
    <s v="F"/>
    <x v="0"/>
    <n v="615911"/>
    <n v="1927867"/>
    <n v="8.82"/>
    <n v="36"/>
    <n v="843"/>
    <x v="2"/>
    <x v="1"/>
    <x v="44"/>
    <x v="2"/>
    <n v="61144.277164330124"/>
    <n v="2201193.9779158845"/>
    <n v="273326.97791588446"/>
    <n v="5"/>
    <x v="2"/>
  </r>
  <r>
    <s v="L0047"/>
    <s v="Arjun Mehta"/>
    <n v="27"/>
    <s v="M"/>
    <x v="1"/>
    <n v="1294025"/>
    <n v="1202735"/>
    <n v="10.55"/>
    <n v="48"/>
    <n v="716"/>
    <x v="2"/>
    <x v="1"/>
    <x v="45"/>
    <x v="2"/>
    <n v="30823.131496872018"/>
    <n v="1479510.3118498567"/>
    <n v="276775.31184985675"/>
    <n v="5"/>
    <x v="1"/>
  </r>
  <r>
    <s v="L0048"/>
    <s v="Aarav Patel"/>
    <n v="60"/>
    <s v="F"/>
    <x v="1"/>
    <n v="1001084"/>
    <n v="1561462"/>
    <n v="10.06"/>
    <n v="96"/>
    <n v="716"/>
    <x v="0"/>
    <x v="1"/>
    <x v="46"/>
    <x v="0"/>
    <n v="23743.482995754657"/>
    <n v="2279374.367592447"/>
    <n v="717912.36759244697"/>
    <n v="5"/>
    <x v="1"/>
  </r>
  <r>
    <s v="L0049"/>
    <s v="Meena George"/>
    <n v="43"/>
    <s v="M"/>
    <x v="1"/>
    <n v="629458"/>
    <n v="1023291"/>
    <n v="13.15"/>
    <n v="120"/>
    <n v="780"/>
    <x v="1"/>
    <x v="0"/>
    <x v="47"/>
    <x v="2"/>
    <n v="15369.501242203971"/>
    <n v="1844340.1490644766"/>
    <n v="821049.1490644766"/>
    <n v="2"/>
    <x v="4"/>
  </r>
  <r>
    <s v="L0050"/>
    <s v="Rohan Nair"/>
    <n v="37"/>
    <s v="F"/>
    <x v="0"/>
    <n v="1560769"/>
    <n v="1682271"/>
    <n v="11.61"/>
    <n v="72"/>
    <n v="676"/>
    <x v="0"/>
    <x v="1"/>
    <x v="48"/>
    <x v="1"/>
    <n v="32548.53959202821"/>
    <n v="2343494.8506260309"/>
    <n v="661223.85062603094"/>
    <n v="1"/>
    <x v="0"/>
  </r>
  <r>
    <s v="L0051"/>
    <s v="Aditya Sharma"/>
    <n v="60"/>
    <s v="M"/>
    <x v="1"/>
    <n v="532674"/>
    <n v="466686"/>
    <n v="12.33"/>
    <n v="120"/>
    <n v="771"/>
    <x v="2"/>
    <x v="0"/>
    <x v="49"/>
    <x v="1"/>
    <n v="6784.9182440059067"/>
    <n v="814190.18928070879"/>
    <n v="347504.18928070879"/>
    <n v="5"/>
    <x v="4"/>
  </r>
  <r>
    <s v="L0052"/>
    <s v="Raj Kumar"/>
    <n v="41"/>
    <s v="M"/>
    <x v="2"/>
    <n v="1549592"/>
    <n v="485689"/>
    <n v="10.52"/>
    <n v="48"/>
    <n v="739"/>
    <x v="3"/>
    <x v="1"/>
    <x v="50"/>
    <x v="2"/>
    <n v="12439.971606332556"/>
    <n v="597118.63710396271"/>
    <n v="111429.63710396271"/>
    <n v="5"/>
    <x v="1"/>
  </r>
  <r>
    <s v="L0053"/>
    <s v="Kiran Menon"/>
    <n v="39"/>
    <s v="M"/>
    <x v="0"/>
    <n v="1177113"/>
    <n v="1178718"/>
    <n v="10.01"/>
    <n v="120"/>
    <n v="710"/>
    <x v="2"/>
    <x v="1"/>
    <x v="51"/>
    <x v="3"/>
    <n v="15583.373165475961"/>
    <n v="1870004.7798571154"/>
    <n v="691286.77985711535"/>
    <n v="4"/>
    <x v="1"/>
  </r>
  <r>
    <s v="L0054"/>
    <s v="Kiran Menon"/>
    <n v="36"/>
    <s v="M"/>
    <x v="0"/>
    <n v="311595"/>
    <n v="1560011"/>
    <n v="10.92"/>
    <n v="96"/>
    <n v="654"/>
    <x v="0"/>
    <x v="1"/>
    <x v="52"/>
    <x v="1"/>
    <n v="24438.05443598123"/>
    <n v="2346053.225854198"/>
    <n v="786042.22585419798"/>
    <n v="1"/>
    <x v="0"/>
  </r>
  <r>
    <s v="L0055"/>
    <s v="Vikram Das"/>
    <n v="39"/>
    <s v="F"/>
    <x v="1"/>
    <n v="1654524"/>
    <n v="1385829"/>
    <n v="10.44"/>
    <n v="48"/>
    <n v="749"/>
    <x v="3"/>
    <x v="1"/>
    <x v="53"/>
    <x v="3"/>
    <n v="35441.76324348386"/>
    <n v="1701204.6356872253"/>
    <n v="315375.63568722527"/>
    <n v="3"/>
    <x v="1"/>
  </r>
  <r>
    <s v="L0056"/>
    <s v="Sneha Pillai"/>
    <n v="32"/>
    <s v="M"/>
    <x v="1"/>
    <n v="1792786"/>
    <n v="1554312"/>
    <n v="14.26"/>
    <n v="72"/>
    <n v="695"/>
    <x v="1"/>
    <x v="1"/>
    <x v="54"/>
    <x v="0"/>
    <n v="32244.54309318736"/>
    <n v="2321607.1027094899"/>
    <n v="767295.10270948987"/>
    <n v="6"/>
    <x v="0"/>
  </r>
  <r>
    <s v="L0057"/>
    <s v="Kiran Menon"/>
    <n v="33"/>
    <s v="M"/>
    <x v="0"/>
    <n v="730533"/>
    <n v="1207882"/>
    <n v="7.55"/>
    <n v="60"/>
    <n v="600"/>
    <x v="0"/>
    <x v="1"/>
    <x v="55"/>
    <x v="3"/>
    <n v="24232.186769447559"/>
    <n v="1453931.2061668534"/>
    <n v="246049.20616685343"/>
    <n v="4"/>
    <x v="3"/>
  </r>
  <r>
    <s v="L0058"/>
    <s v="Sneha Pillai"/>
    <n v="43"/>
    <s v="M"/>
    <x v="2"/>
    <n v="1995394"/>
    <n v="1674570"/>
    <n v="12.48"/>
    <n v="96"/>
    <n v="748"/>
    <x v="3"/>
    <x v="0"/>
    <x v="56"/>
    <x v="0"/>
    <n v="27660.082102373286"/>
    <n v="2655367.8818278355"/>
    <n v="980797.88182783546"/>
    <n v="3"/>
    <x v="1"/>
  </r>
  <r>
    <s v="L0059"/>
    <s v="Vikram Das"/>
    <n v="60"/>
    <s v="M"/>
    <x v="2"/>
    <n v="1592232"/>
    <n v="516019"/>
    <n v="14.05"/>
    <n v="120"/>
    <n v="833"/>
    <x v="3"/>
    <x v="1"/>
    <x v="57"/>
    <x v="2"/>
    <n v="8027.5634880754751"/>
    <n v="963307.61856905697"/>
    <n v="447288.61856905697"/>
    <n v="5"/>
    <x v="2"/>
  </r>
  <r>
    <s v="L0060"/>
    <s v="Meena George"/>
    <n v="39"/>
    <s v="M"/>
    <x v="0"/>
    <n v="552508"/>
    <n v="718320"/>
    <n v="10.199999999999999"/>
    <n v="72"/>
    <n v="678"/>
    <x v="3"/>
    <x v="1"/>
    <x v="58"/>
    <x v="3"/>
    <n v="13380.040966981775"/>
    <n v="963362.94962268777"/>
    <n v="245042.94962268777"/>
    <n v="7"/>
    <x v="0"/>
  </r>
  <r>
    <s v="L0061"/>
    <s v="Tanya Rao"/>
    <n v="36"/>
    <s v="M"/>
    <x v="1"/>
    <n v="571901"/>
    <n v="1126857"/>
    <n v="14.13"/>
    <n v="48"/>
    <n v="754"/>
    <x v="2"/>
    <x v="0"/>
    <x v="59"/>
    <x v="0"/>
    <n v="30866.566347154512"/>
    <n v="1481595.1846634166"/>
    <n v="354738.18466341658"/>
    <n v="2"/>
    <x v="4"/>
  </r>
  <r>
    <s v="L0062"/>
    <s v="Priya Singh"/>
    <n v="39"/>
    <s v="F"/>
    <x v="0"/>
    <n v="1237282"/>
    <n v="1559597"/>
    <n v="14.6"/>
    <n v="96"/>
    <n v="648"/>
    <x v="3"/>
    <x v="0"/>
    <x v="60"/>
    <x v="1"/>
    <n v="27627.786862913894"/>
    <n v="2652267.5388397337"/>
    <n v="1092670.5388397337"/>
    <n v="4"/>
    <x v="3"/>
  </r>
  <r>
    <s v="L0063"/>
    <s v="Isha Verma"/>
    <n v="25"/>
    <s v="M"/>
    <x v="2"/>
    <n v="595564"/>
    <n v="1818993"/>
    <n v="12.29"/>
    <n v="48"/>
    <n v="728"/>
    <x v="1"/>
    <x v="1"/>
    <x v="61"/>
    <x v="0"/>
    <n v="48160.472877545464"/>
    <n v="2311702.6981221824"/>
    <n v="492709.6981221824"/>
    <n v="4"/>
    <x v="1"/>
  </r>
  <r>
    <s v="L0064"/>
    <s v="Deepika Joshi"/>
    <n v="60"/>
    <s v="F"/>
    <x v="1"/>
    <n v="490337"/>
    <n v="630764"/>
    <n v="13.28"/>
    <n v="60"/>
    <n v="767"/>
    <x v="1"/>
    <x v="0"/>
    <x v="62"/>
    <x v="2"/>
    <n v="14442.391678920405"/>
    <n v="866543.50073522434"/>
    <n v="235779.50073522434"/>
    <n v="1"/>
    <x v="4"/>
  </r>
  <r>
    <s v="L0065"/>
    <s v="Mohit Jain"/>
    <n v="40"/>
    <s v="M"/>
    <x v="0"/>
    <n v="1064580"/>
    <n v="318382"/>
    <n v="11.79"/>
    <n v="96"/>
    <n v="781"/>
    <x v="3"/>
    <x v="0"/>
    <x v="63"/>
    <x v="2"/>
    <n v="5137.9466484709446"/>
    <n v="493242.87825321069"/>
    <n v="174860.87825321069"/>
    <n v="7"/>
    <x v="4"/>
  </r>
  <r>
    <s v="L0066"/>
    <s v="Tanya Rao"/>
    <n v="26"/>
    <s v="F"/>
    <x v="1"/>
    <n v="764905"/>
    <n v="926064"/>
    <n v="9.68"/>
    <n v="72"/>
    <n v="617"/>
    <x v="0"/>
    <x v="1"/>
    <x v="64"/>
    <x v="0"/>
    <n v="17007.049143863685"/>
    <n v="1224507.5383581854"/>
    <n v="298443.53835818544"/>
    <n v="3"/>
    <x v="3"/>
  </r>
  <r>
    <s v="L0067"/>
    <s v="Isha Verma"/>
    <n v="37"/>
    <s v="F"/>
    <x v="1"/>
    <n v="1240190"/>
    <n v="1799096"/>
    <n v="8.06"/>
    <n v="96"/>
    <n v="703"/>
    <x v="1"/>
    <x v="1"/>
    <x v="65"/>
    <x v="1"/>
    <n v="25488.142133353631"/>
    <n v="2446861.6448019487"/>
    <n v="647765.64480194869"/>
    <n v="2"/>
    <x v="1"/>
  </r>
  <r>
    <s v="L0068"/>
    <s v="Meena George"/>
    <n v="53"/>
    <s v="M"/>
    <x v="0"/>
    <n v="576170"/>
    <n v="802845"/>
    <n v="8.49"/>
    <n v="48"/>
    <n v="752"/>
    <x v="1"/>
    <x v="1"/>
    <x v="66"/>
    <x v="1"/>
    <n v="19784.97692897201"/>
    <n v="949678.89259065641"/>
    <n v="146833.89259065641"/>
    <n v="3"/>
    <x v="4"/>
  </r>
  <r>
    <s v="L0069"/>
    <s v="Kiran Menon"/>
    <n v="25"/>
    <s v="M"/>
    <x v="1"/>
    <n v="1147695"/>
    <n v="245926"/>
    <n v="13.63"/>
    <n v="120"/>
    <n v="645"/>
    <x v="3"/>
    <x v="0"/>
    <x v="67"/>
    <x v="3"/>
    <n v="3763.885419272161"/>
    <n v="451666.25031265931"/>
    <n v="205740.25031265931"/>
    <n v="4"/>
    <x v="3"/>
  </r>
  <r>
    <s v="L0070"/>
    <s v="Sneha Pillai"/>
    <n v="37"/>
    <s v="F"/>
    <x v="0"/>
    <n v="1547959"/>
    <n v="1537030"/>
    <n v="14.73"/>
    <n v="96"/>
    <n v="652"/>
    <x v="1"/>
    <x v="1"/>
    <x v="68"/>
    <x v="3"/>
    <n v="27343.009839949653"/>
    <n v="2624928.9446351668"/>
    <n v="1087898.9446351668"/>
    <n v="6"/>
    <x v="0"/>
  </r>
  <r>
    <s v="L0071"/>
    <s v="Deepika Joshi"/>
    <n v="60"/>
    <s v="F"/>
    <x v="0"/>
    <n v="1217816"/>
    <n v="330475"/>
    <n v="12.57"/>
    <n v="120"/>
    <n v="641"/>
    <x v="0"/>
    <x v="1"/>
    <x v="69"/>
    <x v="3"/>
    <n v="4850.8855551226106"/>
    <n v="582106.26661471324"/>
    <n v="251631.26661471324"/>
    <n v="7"/>
    <x v="3"/>
  </r>
  <r>
    <s v="L0072"/>
    <s v="Aarav Patel"/>
    <n v="41"/>
    <s v="M"/>
    <x v="2"/>
    <n v="1562311"/>
    <n v="273110"/>
    <n v="10.98"/>
    <n v="120"/>
    <n v="699"/>
    <x v="1"/>
    <x v="1"/>
    <x v="70"/>
    <x v="0"/>
    <n v="3758.9993114536901"/>
    <n v="451079.9173744428"/>
    <n v="177969.9173744428"/>
    <n v="2"/>
    <x v="0"/>
  </r>
  <r>
    <s v="L0073"/>
    <s v="Aditya Sharma"/>
    <n v="55"/>
    <s v="F"/>
    <x v="0"/>
    <n v="1659508"/>
    <n v="989777"/>
    <n v="9.15"/>
    <n v="36"/>
    <n v="689"/>
    <x v="2"/>
    <x v="1"/>
    <x v="71"/>
    <x v="3"/>
    <n v="31543.78773243248"/>
    <n v="1135576.3583675693"/>
    <n v="145799.35836756928"/>
    <n v="2"/>
    <x v="0"/>
  </r>
  <r>
    <s v="L0074"/>
    <s v="Rina Kapoor"/>
    <n v="51"/>
    <s v="F"/>
    <x v="1"/>
    <n v="1376172"/>
    <n v="323517"/>
    <n v="14.65"/>
    <n v="60"/>
    <n v="839"/>
    <x v="2"/>
    <x v="1"/>
    <x v="72"/>
    <x v="1"/>
    <n v="7637.1383911255807"/>
    <n v="458228.30346753483"/>
    <n v="134711.30346753483"/>
    <n v="4"/>
    <x v="2"/>
  </r>
  <r>
    <s v="L0075"/>
    <s v="Sahil Gupta"/>
    <n v="44"/>
    <s v="F"/>
    <x v="2"/>
    <n v="1892654"/>
    <n v="653425"/>
    <n v="10.6"/>
    <n v="96"/>
    <n v="833"/>
    <x v="0"/>
    <x v="1"/>
    <x v="73"/>
    <x v="3"/>
    <n v="10123.836378507245"/>
    <n v="971888.29233669559"/>
    <n v="318463.29233669559"/>
    <n v="6"/>
    <x v="2"/>
  </r>
  <r>
    <s v="L0076"/>
    <s v="Raj Kumar"/>
    <n v="48"/>
    <s v="M"/>
    <x v="0"/>
    <n v="1003091"/>
    <n v="353919"/>
    <n v="12.24"/>
    <n v="36"/>
    <n v="600"/>
    <x v="0"/>
    <x v="1"/>
    <x v="74"/>
    <x v="1"/>
    <n v="11795.785865746684"/>
    <n v="424648.29116688063"/>
    <n v="70729.291166880634"/>
    <n v="3"/>
    <x v="3"/>
  </r>
  <r>
    <s v="L0077"/>
    <s v="Arjun Mehta"/>
    <n v="57"/>
    <s v="F"/>
    <x v="0"/>
    <n v="328849"/>
    <n v="1199993"/>
    <n v="10.27"/>
    <n v="84"/>
    <n v="704"/>
    <x v="3"/>
    <x v="1"/>
    <x v="75"/>
    <x v="1"/>
    <n v="20089.112727001168"/>
    <n v="1687485.4690680981"/>
    <n v="487492.46906809811"/>
    <n v="1"/>
    <x v="1"/>
  </r>
  <r>
    <s v="L0078"/>
    <s v="Meena George"/>
    <n v="44"/>
    <s v="F"/>
    <x v="0"/>
    <n v="844540"/>
    <n v="702272"/>
    <n v="14.04"/>
    <n v="60"/>
    <n v="723"/>
    <x v="3"/>
    <x v="1"/>
    <x v="76"/>
    <x v="2"/>
    <n v="16355.208071290941"/>
    <n v="981312.48427745642"/>
    <n v="279040.48427745642"/>
    <n v="2"/>
    <x v="1"/>
  </r>
  <r>
    <s v="L0079"/>
    <s v="Neha Sharma"/>
    <n v="39"/>
    <s v="F"/>
    <x v="1"/>
    <n v="1509416"/>
    <n v="1729443"/>
    <n v="9.66"/>
    <n v="120"/>
    <n v="771"/>
    <x v="1"/>
    <x v="1"/>
    <x v="77"/>
    <x v="0"/>
    <n v="22530.348768199441"/>
    <n v="2703641.8521839329"/>
    <n v="974198.8521839329"/>
    <n v="4"/>
    <x v="4"/>
  </r>
  <r>
    <s v="L0080"/>
    <s v="Isha Verma"/>
    <n v="34"/>
    <s v="F"/>
    <x v="2"/>
    <n v="1250924"/>
    <n v="1050471"/>
    <n v="12.1"/>
    <n v="60"/>
    <n v="667"/>
    <x v="0"/>
    <x v="1"/>
    <x v="78"/>
    <x v="3"/>
    <n v="23420.265612237406"/>
    <n v="1405215.9367342445"/>
    <n v="354744.93673424446"/>
    <n v="6"/>
    <x v="0"/>
  </r>
  <r>
    <s v="L0081"/>
    <s v="Kiran Menon"/>
    <n v="56"/>
    <s v="F"/>
    <x v="1"/>
    <n v="1999759"/>
    <n v="1114437"/>
    <n v="12.56"/>
    <n v="84"/>
    <n v="624"/>
    <x v="0"/>
    <x v="1"/>
    <x v="79"/>
    <x v="3"/>
    <n v="20008.165624545472"/>
    <n v="1680685.9124618196"/>
    <n v="566248.91246181959"/>
    <n v="2"/>
    <x v="3"/>
  </r>
  <r>
    <s v="L0082"/>
    <s v="Raj Kumar"/>
    <n v="31"/>
    <s v="M"/>
    <x v="1"/>
    <n v="1706829"/>
    <n v="1176231"/>
    <n v="9.42"/>
    <n v="60"/>
    <n v="826"/>
    <x v="2"/>
    <x v="1"/>
    <x v="80"/>
    <x v="1"/>
    <n v="24657.080494400721"/>
    <n v="1479424.8296640434"/>
    <n v="303193.82966404338"/>
    <n v="1"/>
    <x v="2"/>
  </r>
  <r>
    <s v="L0083"/>
    <s v="Priya Singh"/>
    <n v="60"/>
    <s v="M"/>
    <x v="1"/>
    <n v="1616835"/>
    <n v="1380297"/>
    <n v="9.92"/>
    <n v="84"/>
    <n v="734"/>
    <x v="3"/>
    <x v="1"/>
    <x v="81"/>
    <x v="3"/>
    <n v="22857.549453050302"/>
    <n v="1920034.1540562254"/>
    <n v="539737.15405622544"/>
    <n v="5"/>
    <x v="1"/>
  </r>
  <r>
    <s v="L0084"/>
    <s v="Raj Kumar"/>
    <n v="49"/>
    <s v="M"/>
    <x v="0"/>
    <n v="917640"/>
    <n v="408992"/>
    <n v="13.72"/>
    <n v="60"/>
    <n v="746"/>
    <x v="2"/>
    <x v="1"/>
    <x v="82"/>
    <x v="1"/>
    <n v="9457.2624950622267"/>
    <n v="567435.7497037336"/>
    <n v="158443.7497037336"/>
    <n v="3"/>
    <x v="1"/>
  </r>
  <r>
    <s v="L0085"/>
    <s v="Isha Verma"/>
    <n v="47"/>
    <s v="M"/>
    <x v="1"/>
    <n v="1269284"/>
    <n v="261901"/>
    <n v="9.2100000000000009"/>
    <n v="72"/>
    <n v="770"/>
    <x v="2"/>
    <x v="1"/>
    <x v="83"/>
    <x v="2"/>
    <n v="4748.2489987911094"/>
    <n v="341873.92791295989"/>
    <n v="79972.927912959887"/>
    <n v="2"/>
    <x v="4"/>
  </r>
  <r>
    <s v="L0086"/>
    <s v="Priya Singh"/>
    <n v="57"/>
    <s v="M"/>
    <x v="2"/>
    <n v="735682"/>
    <n v="996631"/>
    <n v="12.23"/>
    <n v="84"/>
    <n v="799"/>
    <x v="0"/>
    <x v="0"/>
    <x v="84"/>
    <x v="1"/>
    <n v="17716.081586205422"/>
    <n v="1488150.8532412555"/>
    <n v="491519.85324125551"/>
    <n v="5"/>
    <x v="4"/>
  </r>
  <r>
    <s v="L0087"/>
    <s v="Priya Singh"/>
    <n v="25"/>
    <s v="F"/>
    <x v="2"/>
    <n v="475919"/>
    <n v="318917"/>
    <n v="9.5"/>
    <n v="84"/>
    <n v="842"/>
    <x v="0"/>
    <x v="1"/>
    <x v="85"/>
    <x v="1"/>
    <n v="5212.3736058546483"/>
    <n v="437839.38289179048"/>
    <n v="118922.38289179048"/>
    <n v="7"/>
    <x v="2"/>
  </r>
  <r>
    <s v="L0088"/>
    <s v="Pooja Reddy"/>
    <n v="33"/>
    <s v="M"/>
    <x v="0"/>
    <n v="1594456"/>
    <n v="1657294"/>
    <n v="14.42"/>
    <n v="84"/>
    <n v="746"/>
    <x v="0"/>
    <x v="0"/>
    <x v="86"/>
    <x v="1"/>
    <n v="31443.494308914778"/>
    <n v="2641253.5219488414"/>
    <n v="983959.5219488414"/>
    <n v="3"/>
    <x v="1"/>
  </r>
  <r>
    <s v="L0089"/>
    <s v="Amit Yadav"/>
    <n v="46"/>
    <s v="F"/>
    <x v="1"/>
    <n v="1209663"/>
    <n v="1929713"/>
    <n v="8.52"/>
    <n v="36"/>
    <n v="609"/>
    <x v="2"/>
    <x v="0"/>
    <x v="87"/>
    <x v="2"/>
    <n v="60934.17225615697"/>
    <n v="2193630.2012216509"/>
    <n v="263917.20122165093"/>
    <n v="1"/>
    <x v="3"/>
  </r>
  <r>
    <s v="L0090"/>
    <s v="Vikram Das"/>
    <n v="31"/>
    <s v="F"/>
    <x v="2"/>
    <n v="1341291"/>
    <n v="937092"/>
    <n v="11.75"/>
    <n v="96"/>
    <n v="835"/>
    <x v="2"/>
    <x v="1"/>
    <x v="88"/>
    <x v="0"/>
    <n v="15101.981550064129"/>
    <n v="1449790.2288061564"/>
    <n v="512698.22880615643"/>
    <n v="4"/>
    <x v="2"/>
  </r>
  <r>
    <s v="L0091"/>
    <s v="Arjun Mehta"/>
    <n v="32"/>
    <s v="F"/>
    <x v="0"/>
    <n v="1399394"/>
    <n v="378800"/>
    <n v="10.62"/>
    <n v="48"/>
    <n v="840"/>
    <x v="0"/>
    <x v="1"/>
    <x v="89"/>
    <x v="1"/>
    <n v="9720.5274670300496"/>
    <n v="466585.31841744238"/>
    <n v="87785.31841744238"/>
    <n v="7"/>
    <x v="2"/>
  </r>
  <r>
    <s v="L0092"/>
    <s v="Mohit Jain"/>
    <n v="37"/>
    <s v="M"/>
    <x v="0"/>
    <n v="1212426"/>
    <n v="1650074"/>
    <n v="14.08"/>
    <n v="84"/>
    <n v="625"/>
    <x v="3"/>
    <x v="1"/>
    <x v="90"/>
    <x v="0"/>
    <n v="30995.374077282384"/>
    <n v="2603611.4224917204"/>
    <n v="953537.42249172041"/>
    <n v="4"/>
    <x v="3"/>
  </r>
  <r>
    <s v="L0093"/>
    <s v="Sahil Gupta"/>
    <n v="40"/>
    <s v="M"/>
    <x v="2"/>
    <n v="603918"/>
    <n v="564802"/>
    <n v="12.84"/>
    <n v="84"/>
    <n v="657"/>
    <x v="1"/>
    <x v="1"/>
    <x v="91"/>
    <x v="1"/>
    <n v="10225.791497504624"/>
    <n v="858966.48579038843"/>
    <n v="294164.48579038843"/>
    <n v="4"/>
    <x v="0"/>
  </r>
  <r>
    <s v="L0094"/>
    <s v="Aditya Sharma"/>
    <n v="31"/>
    <s v="F"/>
    <x v="0"/>
    <n v="908618"/>
    <n v="1789127"/>
    <n v="14.68"/>
    <n v="120"/>
    <n v="668"/>
    <x v="3"/>
    <x v="1"/>
    <x v="92"/>
    <x v="2"/>
    <n v="28515.275467021096"/>
    <n v="3421833.0560425315"/>
    <n v="1632706.0560425315"/>
    <n v="7"/>
    <x v="0"/>
  </r>
  <r>
    <s v="L0095"/>
    <s v="Raj Kumar"/>
    <n v="34"/>
    <s v="F"/>
    <x v="1"/>
    <n v="874133"/>
    <n v="851832"/>
    <n v="9.91"/>
    <n v="48"/>
    <n v="737"/>
    <x v="3"/>
    <x v="1"/>
    <x v="93"/>
    <x v="3"/>
    <n v="21567.860944474065"/>
    <n v="1035257.3253347551"/>
    <n v="183425.32533475512"/>
    <n v="2"/>
    <x v="1"/>
  </r>
  <r>
    <s v="L0096"/>
    <s v="Deepika Joshi"/>
    <n v="54"/>
    <s v="F"/>
    <x v="2"/>
    <n v="494506"/>
    <n v="1589300"/>
    <n v="10.73"/>
    <n v="96"/>
    <n v="757"/>
    <x v="0"/>
    <x v="0"/>
    <x v="94"/>
    <x v="1"/>
    <n v="24734.542967988604"/>
    <n v="2374516.1249269061"/>
    <n v="785216.12492690608"/>
    <n v="2"/>
    <x v="4"/>
  </r>
  <r>
    <s v="L0097"/>
    <s v="Rohit Khanna"/>
    <n v="43"/>
    <s v="F"/>
    <x v="1"/>
    <n v="525762"/>
    <n v="1605051"/>
    <n v="12.84"/>
    <n v="120"/>
    <n v="694"/>
    <x v="0"/>
    <x v="1"/>
    <x v="95"/>
    <x v="1"/>
    <n v="23813.901947416278"/>
    <n v="2857668.2336899536"/>
    <n v="1252617.2336899536"/>
    <n v="2"/>
    <x v="0"/>
  </r>
  <r>
    <s v="L0098"/>
    <s v="Priya Singh"/>
    <n v="53"/>
    <s v="F"/>
    <x v="0"/>
    <n v="1148316"/>
    <n v="664893"/>
    <n v="11.49"/>
    <n v="36"/>
    <n v="772"/>
    <x v="2"/>
    <x v="0"/>
    <x v="96"/>
    <x v="2"/>
    <n v="21922.353793769082"/>
    <n v="789204.73657568695"/>
    <n v="124311.73657568695"/>
    <n v="4"/>
    <x v="4"/>
  </r>
  <r>
    <s v="L0099"/>
    <s v="Aditya Sharma"/>
    <n v="43"/>
    <s v="F"/>
    <x v="0"/>
    <n v="991101"/>
    <n v="1149546"/>
    <n v="12.12"/>
    <n v="72"/>
    <n v="664"/>
    <x v="1"/>
    <x v="0"/>
    <x v="97"/>
    <x v="1"/>
    <n v="22545.645331892949"/>
    <n v="1623286.4638962923"/>
    <n v="473740.46389629226"/>
    <n v="6"/>
    <x v="0"/>
  </r>
  <r>
    <s v="L0100"/>
    <s v="Raj Kumar"/>
    <n v="31"/>
    <s v="F"/>
    <x v="0"/>
    <n v="892838"/>
    <n v="875322"/>
    <n v="9.27"/>
    <n v="36"/>
    <n v="734"/>
    <x v="2"/>
    <x v="1"/>
    <x v="98"/>
    <x v="3"/>
    <n v="27945.130205335205"/>
    <n v="1006024.6873920674"/>
    <n v="130702.6873920674"/>
    <n v="4"/>
    <x v="1"/>
  </r>
  <r>
    <s v="L0101"/>
    <s v="Pooja Reddy"/>
    <n v="54"/>
    <s v="M"/>
    <x v="2"/>
    <n v="538994"/>
    <n v="205454"/>
    <n v="11.92"/>
    <n v="36"/>
    <n v="640"/>
    <x v="0"/>
    <x v="1"/>
    <x v="99"/>
    <x v="1"/>
    <n v="6816.1651605096877"/>
    <n v="245381.94577834875"/>
    <n v="39927.945778348745"/>
    <n v="1"/>
    <x v="3"/>
  </r>
  <r>
    <s v="L0102"/>
    <s v="Rina Kapoor"/>
    <n v="39"/>
    <s v="F"/>
    <x v="2"/>
    <n v="1968135"/>
    <n v="1969160"/>
    <n v="10.56"/>
    <n v="60"/>
    <n v="649"/>
    <x v="0"/>
    <x v="1"/>
    <x v="100"/>
    <x v="1"/>
    <n v="42383.481465931276"/>
    <n v="2543008.8879558765"/>
    <n v="573848.88795587653"/>
    <n v="2"/>
    <x v="3"/>
  </r>
  <r>
    <s v="L0103"/>
    <s v="Kiran Menon"/>
    <n v="53"/>
    <s v="M"/>
    <x v="1"/>
    <n v="972774"/>
    <n v="682365"/>
    <n v="13.13"/>
    <n v="36"/>
    <n v="681"/>
    <x v="1"/>
    <x v="0"/>
    <x v="101"/>
    <x v="3"/>
    <n v="23034.323863136211"/>
    <n v="829235.65907290357"/>
    <n v="146870.65907290357"/>
    <n v="3"/>
    <x v="0"/>
  </r>
  <r>
    <s v="L0104"/>
    <s v="Neha Sharma"/>
    <n v="57"/>
    <s v="F"/>
    <x v="2"/>
    <n v="1434302"/>
    <n v="1755192"/>
    <n v="10.96"/>
    <n v="48"/>
    <n v="693"/>
    <x v="2"/>
    <x v="1"/>
    <x v="78"/>
    <x v="0"/>
    <n v="45329.767099426354"/>
    <n v="2175828.8207724649"/>
    <n v="420636.82077246485"/>
    <n v="6"/>
    <x v="0"/>
  </r>
  <r>
    <s v="L0105"/>
    <s v="Amit Yadav"/>
    <n v="32"/>
    <s v="M"/>
    <x v="2"/>
    <n v="1367394"/>
    <n v="644393"/>
    <n v="11.19"/>
    <n v="84"/>
    <n v="838"/>
    <x v="1"/>
    <x v="1"/>
    <x v="102"/>
    <x v="1"/>
    <n v="11098.058485161724"/>
    <n v="932236.91275358479"/>
    <n v="287843.91275358479"/>
    <n v="7"/>
    <x v="2"/>
  </r>
  <r>
    <s v="L0106"/>
    <s v="Raj Kumar"/>
    <n v="37"/>
    <s v="F"/>
    <x v="1"/>
    <n v="1747790"/>
    <n v="1755817"/>
    <n v="7.74"/>
    <n v="84"/>
    <n v="804"/>
    <x v="2"/>
    <x v="1"/>
    <x v="103"/>
    <x v="3"/>
    <n v="27139.65389873787"/>
    <n v="2279730.9274939811"/>
    <n v="523913.92749398109"/>
    <n v="3"/>
    <x v="2"/>
  </r>
  <r>
    <s v="L0107"/>
    <s v="Arjun Mehta"/>
    <n v="31"/>
    <s v="M"/>
    <x v="1"/>
    <n v="696967"/>
    <n v="1805046"/>
    <n v="8.64"/>
    <n v="60"/>
    <n v="690"/>
    <x v="1"/>
    <x v="1"/>
    <x v="104"/>
    <x v="0"/>
    <n v="37155.197153863483"/>
    <n v="2229311.8292318089"/>
    <n v="424265.82923180889"/>
    <n v="7"/>
    <x v="0"/>
  </r>
  <r>
    <s v="L0108"/>
    <s v="Vikram Das"/>
    <n v="25"/>
    <s v="F"/>
    <x v="2"/>
    <n v="811616"/>
    <n v="1149339"/>
    <n v="8.42"/>
    <n v="84"/>
    <n v="670"/>
    <x v="3"/>
    <x v="1"/>
    <x v="105"/>
    <x v="3"/>
    <n v="18155.287283201003"/>
    <n v="1525044.1317888843"/>
    <n v="375705.13178888429"/>
    <n v="6"/>
    <x v="0"/>
  </r>
  <r>
    <s v="L0109"/>
    <s v="Rina Kapoor"/>
    <n v="53"/>
    <s v="M"/>
    <x v="0"/>
    <n v="1070139"/>
    <n v="280278"/>
    <n v="9.75"/>
    <n v="72"/>
    <n v="640"/>
    <x v="3"/>
    <x v="1"/>
    <x v="106"/>
    <x v="0"/>
    <n v="5157.1195801833928"/>
    <n v="371312.60977320431"/>
    <n v="91034.609773204313"/>
    <n v="7"/>
    <x v="3"/>
  </r>
  <r>
    <s v="L0110"/>
    <s v="Vikram Das"/>
    <n v="39"/>
    <s v="M"/>
    <x v="1"/>
    <n v="1709829"/>
    <n v="513469"/>
    <n v="12.84"/>
    <n v="84"/>
    <n v="641"/>
    <x v="0"/>
    <x v="1"/>
    <x v="107"/>
    <x v="2"/>
    <n v="9296.4028711516639"/>
    <n v="780897.84117673978"/>
    <n v="267428.84117673978"/>
    <n v="5"/>
    <x v="3"/>
  </r>
  <r>
    <s v="L0111"/>
    <s v="Rohit Khanna"/>
    <n v="48"/>
    <s v="M"/>
    <x v="0"/>
    <n v="704729"/>
    <n v="1068994"/>
    <n v="8.4600000000000009"/>
    <n v="84"/>
    <n v="819"/>
    <x v="3"/>
    <x v="1"/>
    <x v="108"/>
    <x v="0"/>
    <n v="16907.613363000306"/>
    <n v="1420239.5224920257"/>
    <n v="351245.52249202575"/>
    <n v="5"/>
    <x v="2"/>
  </r>
  <r>
    <s v="L0112"/>
    <s v="Raj Kumar"/>
    <n v="42"/>
    <s v="M"/>
    <x v="2"/>
    <n v="1324662"/>
    <n v="792667"/>
    <n v="9.76"/>
    <n v="60"/>
    <n v="727"/>
    <x v="3"/>
    <x v="0"/>
    <x v="109"/>
    <x v="0"/>
    <n v="16748.37809167197"/>
    <n v="1004902.6855003182"/>
    <n v="212235.68550031818"/>
    <n v="5"/>
    <x v="1"/>
  </r>
  <r>
    <s v="L0113"/>
    <s v="Neha Sharma"/>
    <n v="26"/>
    <s v="M"/>
    <x v="1"/>
    <n v="1008625"/>
    <n v="277981"/>
    <n v="8.73"/>
    <n v="36"/>
    <n v="653"/>
    <x v="1"/>
    <x v="1"/>
    <x v="110"/>
    <x v="1"/>
    <n v="8804.8314129391947"/>
    <n v="316973.93086581101"/>
    <n v="38992.930865811009"/>
    <n v="4"/>
    <x v="0"/>
  </r>
  <r>
    <s v="L0114"/>
    <s v="Deepika Joshi"/>
    <n v="35"/>
    <s v="M"/>
    <x v="1"/>
    <n v="1023802"/>
    <n v="652716"/>
    <n v="11.51"/>
    <n v="48"/>
    <n v="825"/>
    <x v="3"/>
    <x v="1"/>
    <x v="111"/>
    <x v="1"/>
    <n v="17031.901014933919"/>
    <n v="817531.24871682818"/>
    <n v="164815.24871682818"/>
    <n v="4"/>
    <x v="2"/>
  </r>
  <r>
    <s v="L0115"/>
    <s v="Isha Verma"/>
    <n v="47"/>
    <s v="F"/>
    <x v="2"/>
    <n v="1280084"/>
    <n v="1775001"/>
    <n v="13.03"/>
    <n v="36"/>
    <n v="613"/>
    <x v="2"/>
    <x v="1"/>
    <x v="112"/>
    <x v="3"/>
    <n v="59832.450257622877"/>
    <n v="2153968.2092744238"/>
    <n v="378967.20927442377"/>
    <n v="4"/>
    <x v="3"/>
  </r>
  <r>
    <s v="L0116"/>
    <s v="Arjun Mehta"/>
    <n v="51"/>
    <s v="F"/>
    <x v="0"/>
    <n v="949465"/>
    <n v="1385374"/>
    <n v="13.89"/>
    <n v="36"/>
    <n v="661"/>
    <x v="3"/>
    <x v="1"/>
    <x v="113"/>
    <x v="2"/>
    <n v="47274.818391013992"/>
    <n v="1701893.4620765038"/>
    <n v="316519.46207650378"/>
    <n v="3"/>
    <x v="0"/>
  </r>
  <r>
    <s v="L0117"/>
    <s v="Deepika Joshi"/>
    <n v="55"/>
    <s v="F"/>
    <x v="1"/>
    <n v="1808330"/>
    <n v="1258959"/>
    <n v="10.31"/>
    <n v="72"/>
    <n v="601"/>
    <x v="0"/>
    <x v="1"/>
    <x v="114"/>
    <x v="2"/>
    <n v="23520.559936692454"/>
    <n v="1693480.3154418566"/>
    <n v="434521.31544185663"/>
    <n v="5"/>
    <x v="3"/>
  </r>
  <r>
    <s v="L0118"/>
    <s v="Priya Singh"/>
    <n v="48"/>
    <s v="M"/>
    <x v="0"/>
    <n v="1819369"/>
    <n v="632225"/>
    <n v="14.68"/>
    <n v="72"/>
    <n v="622"/>
    <x v="0"/>
    <x v="1"/>
    <x v="115"/>
    <x v="1"/>
    <n v="13258.782255105838"/>
    <n v="954632.32236762031"/>
    <n v="322407.32236762031"/>
    <n v="4"/>
    <x v="3"/>
  </r>
  <r>
    <s v="L0119"/>
    <s v="Neha Sharma"/>
    <n v="34"/>
    <s v="F"/>
    <x v="1"/>
    <n v="1602750"/>
    <n v="1493279"/>
    <n v="12.44"/>
    <n v="60"/>
    <n v="638"/>
    <x v="3"/>
    <x v="1"/>
    <x v="116"/>
    <x v="2"/>
    <n v="33550.145022266828"/>
    <n v="2013008.7013360097"/>
    <n v="519729.70133600966"/>
    <n v="2"/>
    <x v="3"/>
  </r>
  <r>
    <s v="L0120"/>
    <s v="Tanya Rao"/>
    <n v="29"/>
    <s v="F"/>
    <x v="1"/>
    <n v="826763"/>
    <n v="1662768"/>
    <n v="9.68"/>
    <n v="60"/>
    <n v="724"/>
    <x v="1"/>
    <x v="1"/>
    <x v="117"/>
    <x v="0"/>
    <n v="35067.667987746754"/>
    <n v="2104060.0792648052"/>
    <n v="441292.07926480519"/>
    <n v="2"/>
    <x v="1"/>
  </r>
  <r>
    <s v="L0121"/>
    <s v="Rohit Khanna"/>
    <n v="58"/>
    <s v="F"/>
    <x v="1"/>
    <n v="1341482"/>
    <n v="539674"/>
    <n v="13.38"/>
    <n v="60"/>
    <n v="835"/>
    <x v="0"/>
    <x v="1"/>
    <x v="118"/>
    <x v="0"/>
    <n v="12384.477505114412"/>
    <n v="743068.65030686464"/>
    <n v="203394.65030686464"/>
    <n v="3"/>
    <x v="2"/>
  </r>
  <r>
    <s v="L0122"/>
    <s v="Deepika Joshi"/>
    <n v="44"/>
    <s v="M"/>
    <x v="2"/>
    <n v="1992406"/>
    <n v="260811"/>
    <n v="12.08"/>
    <n v="120"/>
    <n v="754"/>
    <x v="3"/>
    <x v="1"/>
    <x v="104"/>
    <x v="1"/>
    <n v="3753.9517298902747"/>
    <n v="450474.20758683298"/>
    <n v="189663.20758683298"/>
    <n v="7"/>
    <x v="4"/>
  </r>
  <r>
    <s v="L0123"/>
    <s v="Sneha Pillai"/>
    <n v="50"/>
    <s v="M"/>
    <x v="0"/>
    <n v="1084225"/>
    <n v="1332536"/>
    <n v="8.44"/>
    <n v="36"/>
    <n v="660"/>
    <x v="2"/>
    <x v="1"/>
    <x v="119"/>
    <x v="3"/>
    <n v="42027.842620438605"/>
    <n v="1513002.3343357898"/>
    <n v="180466.33433578978"/>
    <n v="3"/>
    <x v="0"/>
  </r>
  <r>
    <s v="L0124"/>
    <s v="Priya Singh"/>
    <n v="48"/>
    <s v="F"/>
    <x v="2"/>
    <n v="1878209"/>
    <n v="272775"/>
    <n v="13.57"/>
    <n v="60"/>
    <n v="828"/>
    <x v="3"/>
    <x v="1"/>
    <x v="120"/>
    <x v="2"/>
    <n v="6286.352083177273"/>
    <n v="377181.12499063637"/>
    <n v="104406.12499063637"/>
    <n v="7"/>
    <x v="2"/>
  </r>
  <r>
    <s v="L0125"/>
    <s v="Meena George"/>
    <n v="33"/>
    <s v="F"/>
    <x v="2"/>
    <n v="1687167"/>
    <n v="1140957"/>
    <n v="10.050000000000001"/>
    <n v="60"/>
    <n v="798"/>
    <x v="0"/>
    <x v="1"/>
    <x v="121"/>
    <x v="0"/>
    <n v="24270.04380047608"/>
    <n v="1456202.6280285649"/>
    <n v="315245.62802856485"/>
    <n v="3"/>
    <x v="4"/>
  </r>
  <r>
    <s v="L0126"/>
    <s v="Meena George"/>
    <n v="50"/>
    <s v="M"/>
    <x v="1"/>
    <n v="351290"/>
    <n v="1531757"/>
    <n v="14.91"/>
    <n v="120"/>
    <n v="698"/>
    <x v="3"/>
    <x v="1"/>
    <x v="122"/>
    <x v="2"/>
    <n v="24628.240373747598"/>
    <n v="2955388.8448497117"/>
    <n v="1423631.8448497117"/>
    <n v="6"/>
    <x v="0"/>
  </r>
  <r>
    <s v="L0127"/>
    <s v="Vikram Das"/>
    <n v="42"/>
    <s v="M"/>
    <x v="2"/>
    <n v="397281"/>
    <n v="1170311"/>
    <n v="13.66"/>
    <n v="48"/>
    <n v="724"/>
    <x v="2"/>
    <x v="1"/>
    <x v="123"/>
    <x v="2"/>
    <n v="31781.23227591781"/>
    <n v="1525499.1492440549"/>
    <n v="355188.14924405492"/>
    <n v="3"/>
    <x v="1"/>
  </r>
  <r>
    <s v="L0128"/>
    <s v="Rohan Nair"/>
    <n v="58"/>
    <s v="M"/>
    <x v="1"/>
    <n v="1440611"/>
    <n v="1187566"/>
    <n v="12.94"/>
    <n v="84"/>
    <n v="754"/>
    <x v="1"/>
    <x v="0"/>
    <x v="124"/>
    <x v="3"/>
    <n v="21565.438119107119"/>
    <n v="1811496.8020049981"/>
    <n v="623930.80200499808"/>
    <n v="1"/>
    <x v="4"/>
  </r>
  <r>
    <s v="L0129"/>
    <s v="Sahil Gupta"/>
    <n v="34"/>
    <s v="F"/>
    <x v="0"/>
    <n v="1855306"/>
    <n v="398956"/>
    <n v="14.88"/>
    <n v="84"/>
    <n v="758"/>
    <x v="0"/>
    <x v="1"/>
    <x v="125"/>
    <x v="1"/>
    <n v="7671.7206832937391"/>
    <n v="644424.53739667404"/>
    <n v="245468.53739667404"/>
    <n v="3"/>
    <x v="4"/>
  </r>
  <r>
    <s v="L0130"/>
    <s v="Kiran Menon"/>
    <n v="35"/>
    <s v="F"/>
    <x v="1"/>
    <n v="716241"/>
    <n v="1925400"/>
    <n v="11.2"/>
    <n v="36"/>
    <n v="732"/>
    <x v="2"/>
    <x v="1"/>
    <x v="126"/>
    <x v="0"/>
    <n v="63217.642175262343"/>
    <n v="2275835.1183094443"/>
    <n v="350435.11830944428"/>
    <n v="1"/>
    <x v="1"/>
  </r>
  <r>
    <s v="L0131"/>
    <s v="Meena George"/>
    <n v="55"/>
    <s v="F"/>
    <x v="1"/>
    <n v="330281"/>
    <n v="1337214"/>
    <n v="12.12"/>
    <n v="120"/>
    <n v="796"/>
    <x v="2"/>
    <x v="1"/>
    <x v="127"/>
    <x v="2"/>
    <n v="19278.013132255139"/>
    <n v="2313361.5758706168"/>
    <n v="976147.57587061683"/>
    <n v="4"/>
    <x v="4"/>
  </r>
  <r>
    <s v="L0132"/>
    <s v="Aditya Sharma"/>
    <n v="38"/>
    <s v="M"/>
    <x v="2"/>
    <n v="912998"/>
    <n v="200991"/>
    <n v="11.03"/>
    <n v="120"/>
    <n v="752"/>
    <x v="2"/>
    <x v="1"/>
    <x v="128"/>
    <x v="2"/>
    <n v="2772.0655177000626"/>
    <n v="332647.86212400754"/>
    <n v="131656.86212400754"/>
    <n v="5"/>
    <x v="4"/>
  </r>
  <r>
    <s v="L0133"/>
    <s v="Rohan Nair"/>
    <n v="25"/>
    <s v="M"/>
    <x v="2"/>
    <n v="561017"/>
    <n v="1709040"/>
    <n v="13.13"/>
    <n v="48"/>
    <n v="818"/>
    <x v="1"/>
    <x v="0"/>
    <x v="129"/>
    <x v="3"/>
    <n v="45959.61155568753"/>
    <n v="2206061.3546730014"/>
    <n v="497021.35467300145"/>
    <n v="2"/>
    <x v="2"/>
  </r>
  <r>
    <s v="L0134"/>
    <s v="Deepika Joshi"/>
    <n v="49"/>
    <s v="F"/>
    <x v="1"/>
    <n v="1313703"/>
    <n v="1014520"/>
    <n v="13.78"/>
    <n v="96"/>
    <n v="685"/>
    <x v="0"/>
    <x v="0"/>
    <x v="130"/>
    <x v="0"/>
    <n v="17496.95169120948"/>
    <n v="1679707.36235611"/>
    <n v="665187.36235611001"/>
    <n v="7"/>
    <x v="0"/>
  </r>
  <r>
    <s v="L0135"/>
    <s v="Deepika Joshi"/>
    <n v="48"/>
    <s v="M"/>
    <x v="1"/>
    <n v="1845480"/>
    <n v="241845"/>
    <n v="9.3000000000000007"/>
    <n v="72"/>
    <n v="654"/>
    <x v="2"/>
    <x v="1"/>
    <x v="131"/>
    <x v="2"/>
    <n v="4395.4820185682947"/>
    <n v="316474.70533691719"/>
    <n v="74629.705336917192"/>
    <n v="6"/>
    <x v="0"/>
  </r>
  <r>
    <s v="L0136"/>
    <s v="Pooja Reddy"/>
    <n v="38"/>
    <s v="M"/>
    <x v="1"/>
    <n v="1349294"/>
    <n v="1649097"/>
    <n v="14.43"/>
    <n v="48"/>
    <n v="827"/>
    <x v="1"/>
    <x v="1"/>
    <x v="132"/>
    <x v="2"/>
    <n v="45420.528973182794"/>
    <n v="2180185.3907127744"/>
    <n v="531088.39071277436"/>
    <n v="5"/>
    <x v="2"/>
  </r>
  <r>
    <s v="L0137"/>
    <s v="Rina Kapoor"/>
    <n v="27"/>
    <s v="F"/>
    <x v="0"/>
    <n v="1805673"/>
    <n v="360147"/>
    <n v="12.73"/>
    <n v="120"/>
    <n v="710"/>
    <x v="1"/>
    <x v="1"/>
    <x v="133"/>
    <x v="0"/>
    <n v="5320.1796639485183"/>
    <n v="638421.55967382225"/>
    <n v="278274.55967382225"/>
    <n v="3"/>
    <x v="1"/>
  </r>
  <r>
    <s v="L0138"/>
    <s v="Meena George"/>
    <n v="35"/>
    <s v="M"/>
    <x v="2"/>
    <n v="1049516"/>
    <n v="1514697"/>
    <n v="10.74"/>
    <n v="72"/>
    <n v="844"/>
    <x v="1"/>
    <x v="0"/>
    <x v="134"/>
    <x v="1"/>
    <n v="28629.554770475304"/>
    <n v="2061327.943474222"/>
    <n v="546630.94347422197"/>
    <n v="2"/>
    <x v="2"/>
  </r>
  <r>
    <s v="L0139"/>
    <s v="Mohit Jain"/>
    <n v="60"/>
    <s v="F"/>
    <x v="2"/>
    <n v="1677490"/>
    <n v="1183623"/>
    <n v="8.83"/>
    <n v="72"/>
    <n v="618"/>
    <x v="0"/>
    <x v="1"/>
    <x v="135"/>
    <x v="3"/>
    <n v="21235.712127741663"/>
    <n v="1528971.2731973997"/>
    <n v="345348.27319739969"/>
    <n v="4"/>
    <x v="3"/>
  </r>
  <r>
    <s v="L0140"/>
    <s v="Amit Yadav"/>
    <n v="49"/>
    <s v="M"/>
    <x v="0"/>
    <n v="483889"/>
    <n v="221828"/>
    <n v="10.87"/>
    <n v="60"/>
    <n v="667"/>
    <x v="0"/>
    <x v="1"/>
    <x v="136"/>
    <x v="0"/>
    <n v="4808.7091016164622"/>
    <n v="288522.54609698773"/>
    <n v="66694.546096987731"/>
    <n v="2"/>
    <x v="0"/>
  </r>
  <r>
    <s v="L0141"/>
    <s v="Isha Verma"/>
    <n v="53"/>
    <s v="F"/>
    <x v="2"/>
    <n v="1691481"/>
    <n v="288803"/>
    <n v="12.23"/>
    <n v="48"/>
    <n v="739"/>
    <x v="3"/>
    <x v="1"/>
    <x v="137"/>
    <x v="2"/>
    <n v="7637.9454409225973"/>
    <n v="366621.38116428466"/>
    <n v="77818.381164284656"/>
    <n v="7"/>
    <x v="1"/>
  </r>
  <r>
    <s v="L0142"/>
    <s v="Aditya Sharma"/>
    <n v="47"/>
    <s v="F"/>
    <x v="2"/>
    <n v="1521328"/>
    <n v="1729746"/>
    <n v="14.36"/>
    <n v="120"/>
    <n v="661"/>
    <x v="1"/>
    <x v="1"/>
    <x v="95"/>
    <x v="3"/>
    <n v="27232.82168875706"/>
    <n v="3267938.6026508473"/>
    <n v="1538192.6026508473"/>
    <n v="2"/>
    <x v="0"/>
  </r>
  <r>
    <s v="L0143"/>
    <s v="Mohit Jain"/>
    <n v="58"/>
    <s v="M"/>
    <x v="2"/>
    <n v="1365636"/>
    <n v="1095299"/>
    <n v="11.8"/>
    <n v="48"/>
    <n v="827"/>
    <x v="1"/>
    <x v="1"/>
    <x v="138"/>
    <x v="3"/>
    <n v="28735.984389423538"/>
    <n v="1379327.2506923298"/>
    <n v="284028.25069232984"/>
    <n v="6"/>
    <x v="2"/>
  </r>
  <r>
    <s v="L0144"/>
    <s v="Aditya Sharma"/>
    <n v="52"/>
    <s v="F"/>
    <x v="2"/>
    <n v="1484186"/>
    <n v="1733037"/>
    <n v="14.44"/>
    <n v="48"/>
    <n v="736"/>
    <x v="0"/>
    <x v="1"/>
    <x v="139"/>
    <x v="1"/>
    <n v="47741.193706890954"/>
    <n v="2291577.2979307659"/>
    <n v="558540.2979307659"/>
    <n v="3"/>
    <x v="1"/>
  </r>
  <r>
    <s v="L0145"/>
    <s v="Mohit Jain"/>
    <n v="31"/>
    <s v="F"/>
    <x v="2"/>
    <n v="1592836"/>
    <n v="214505"/>
    <n v="12.91"/>
    <n v="84"/>
    <n v="842"/>
    <x v="3"/>
    <x v="1"/>
    <x v="140"/>
    <x v="3"/>
    <n v="3891.7791734559391"/>
    <n v="326909.45057029888"/>
    <n v="112404.45057029888"/>
    <n v="5"/>
    <x v="2"/>
  </r>
  <r>
    <s v="L0146"/>
    <s v="Pooja Reddy"/>
    <n v="59"/>
    <s v="M"/>
    <x v="2"/>
    <n v="1029027"/>
    <n v="1197139"/>
    <n v="11"/>
    <n v="96"/>
    <n v="654"/>
    <x v="0"/>
    <x v="1"/>
    <x v="141"/>
    <x v="0"/>
    <n v="18805.168979732673"/>
    <n v="1805296.2220543367"/>
    <n v="608157.22205433669"/>
    <n v="5"/>
    <x v="0"/>
  </r>
  <r>
    <s v="L0147"/>
    <s v="Pooja Reddy"/>
    <n v="30"/>
    <s v="M"/>
    <x v="1"/>
    <n v="516706"/>
    <n v="467624"/>
    <n v="12.69"/>
    <n v="60"/>
    <n v="716"/>
    <x v="1"/>
    <x v="1"/>
    <x v="142"/>
    <x v="0"/>
    <n v="10565.822163781524"/>
    <n v="633949.32982689142"/>
    <n v="166325.32982689142"/>
    <n v="7"/>
    <x v="1"/>
  </r>
  <r>
    <s v="L0148"/>
    <s v="Priya Singh"/>
    <n v="59"/>
    <s v="F"/>
    <x v="1"/>
    <n v="1435786"/>
    <n v="367256"/>
    <n v="12.62"/>
    <n v="120"/>
    <n v="841"/>
    <x v="3"/>
    <x v="0"/>
    <x v="143"/>
    <x v="0"/>
    <n v="5401.520558359477"/>
    <n v="648182.46700313722"/>
    <n v="280926.46700313722"/>
    <n v="7"/>
    <x v="2"/>
  </r>
  <r>
    <s v="L0149"/>
    <s v="Mohit Jain"/>
    <n v="42"/>
    <s v="F"/>
    <x v="2"/>
    <n v="472261"/>
    <n v="1416868"/>
    <n v="11.68"/>
    <n v="96"/>
    <n v="628"/>
    <x v="0"/>
    <x v="1"/>
    <x v="144"/>
    <x v="3"/>
    <n v="22779.741935372807"/>
    <n v="2186855.2257957896"/>
    <n v="769987.22579578962"/>
    <n v="4"/>
    <x v="3"/>
  </r>
  <r>
    <s v="L0150"/>
    <s v="Sahil Gupta"/>
    <n v="39"/>
    <s v="F"/>
    <x v="2"/>
    <n v="876897"/>
    <n v="1251901"/>
    <n v="13.14"/>
    <n v="120"/>
    <n v="713"/>
    <x v="0"/>
    <x v="1"/>
    <x v="145"/>
    <x v="3"/>
    <n v="18795.744790498327"/>
    <n v="2255489.3748597992"/>
    <n v="1003588.3748597992"/>
    <n v="7"/>
    <x v="1"/>
  </r>
  <r>
    <s v="L0151"/>
    <s v="Tanya Rao"/>
    <n v="39"/>
    <s v="M"/>
    <x v="0"/>
    <n v="358419"/>
    <n v="1733461"/>
    <n v="9.1199999999999992"/>
    <n v="96"/>
    <n v="825"/>
    <x v="1"/>
    <x v="1"/>
    <x v="146"/>
    <x v="0"/>
    <n v="25503.59712506154"/>
    <n v="2448345.3240059079"/>
    <n v="714884.32400590787"/>
    <n v="5"/>
    <x v="2"/>
  </r>
  <r>
    <s v="L0152"/>
    <s v="Mohit Jain"/>
    <n v="31"/>
    <s v="F"/>
    <x v="1"/>
    <n v="1442379"/>
    <n v="1918654"/>
    <n v="13.14"/>
    <n v="96"/>
    <n v="634"/>
    <x v="0"/>
    <x v="1"/>
    <x v="147"/>
    <x v="3"/>
    <n v="32397.741957760059"/>
    <n v="3110183.2279449655"/>
    <n v="1191529.2279449655"/>
    <n v="5"/>
    <x v="3"/>
  </r>
  <r>
    <s v="L0153"/>
    <s v="Meena George"/>
    <n v="56"/>
    <s v="M"/>
    <x v="2"/>
    <n v="774901"/>
    <n v="1516276"/>
    <n v="8.17"/>
    <n v="36"/>
    <n v="689"/>
    <x v="1"/>
    <x v="1"/>
    <x v="148"/>
    <x v="2"/>
    <n v="47633.581628077394"/>
    <n v="1714808.9386107861"/>
    <n v="198532.93861078611"/>
    <n v="6"/>
    <x v="0"/>
  </r>
  <r>
    <s v="L0154"/>
    <s v="Aarav Patel"/>
    <n v="30"/>
    <s v="M"/>
    <x v="0"/>
    <n v="1638836"/>
    <n v="976159"/>
    <n v="8.49"/>
    <n v="72"/>
    <n v="766"/>
    <x v="0"/>
    <x v="1"/>
    <x v="149"/>
    <x v="1"/>
    <n v="17349.724918917575"/>
    <n v="1249180.1941620654"/>
    <n v="273021.1941620654"/>
    <n v="2"/>
    <x v="4"/>
  </r>
  <r>
    <s v="L0155"/>
    <s v="Tanya Rao"/>
    <n v="33"/>
    <s v="M"/>
    <x v="0"/>
    <n v="988563"/>
    <n v="1705920"/>
    <n v="14.38"/>
    <n v="120"/>
    <n v="646"/>
    <x v="2"/>
    <x v="1"/>
    <x v="150"/>
    <x v="3"/>
    <n v="26878.365109084021"/>
    <n v="3225403.8130900827"/>
    <n v="1519483.8130900827"/>
    <n v="1"/>
    <x v="3"/>
  </r>
  <r>
    <s v="L0156"/>
    <s v="Aarav Patel"/>
    <n v="31"/>
    <s v="M"/>
    <x v="0"/>
    <n v="1529393"/>
    <n v="1379638"/>
    <n v="12.08"/>
    <n v="48"/>
    <n v="788"/>
    <x v="3"/>
    <x v="1"/>
    <x v="151"/>
    <x v="1"/>
    <n v="36385.374852458219"/>
    <n v="1746497.9929179945"/>
    <n v="366859.9929179945"/>
    <n v="4"/>
    <x v="4"/>
  </r>
  <r>
    <s v="L0157"/>
    <s v="Tanya Rao"/>
    <n v="58"/>
    <s v="M"/>
    <x v="0"/>
    <n v="388870"/>
    <n v="288977"/>
    <n v="9.39"/>
    <n v="96"/>
    <n v="831"/>
    <x v="1"/>
    <x v="1"/>
    <x v="152"/>
    <x v="0"/>
    <n v="4292.2660613737326"/>
    <n v="412057.54189187835"/>
    <n v="123080.54189187835"/>
    <n v="3"/>
    <x v="2"/>
  </r>
  <r>
    <s v="L0158"/>
    <s v="Tanya Rao"/>
    <n v="53"/>
    <s v="M"/>
    <x v="0"/>
    <n v="1587931"/>
    <n v="487604"/>
    <n v="13.1"/>
    <n v="36"/>
    <n v="745"/>
    <x v="3"/>
    <x v="1"/>
    <x v="153"/>
    <x v="0"/>
    <n v="16452.801659132467"/>
    <n v="592300.85972876882"/>
    <n v="104696.85972876882"/>
    <n v="6"/>
    <x v="1"/>
  </r>
  <r>
    <s v="L0159"/>
    <s v="Meena George"/>
    <n v="41"/>
    <s v="M"/>
    <x v="1"/>
    <n v="1568595"/>
    <n v="1658859"/>
    <n v="9.81"/>
    <n v="96"/>
    <n v="611"/>
    <x v="2"/>
    <x v="1"/>
    <x v="154"/>
    <x v="1"/>
    <n v="25005.333011083807"/>
    <n v="2400511.9690640457"/>
    <n v="741652.9690640457"/>
    <n v="2"/>
    <x v="3"/>
  </r>
  <r>
    <s v="L0160"/>
    <s v="Rina Kapoor"/>
    <n v="41"/>
    <s v="M"/>
    <x v="1"/>
    <n v="1886832"/>
    <n v="1082370"/>
    <n v="13.95"/>
    <n v="60"/>
    <n v="724"/>
    <x v="3"/>
    <x v="1"/>
    <x v="155"/>
    <x v="1"/>
    <n v="25156.808423470517"/>
    <n v="1509408.5054082309"/>
    <n v="427038.50540823094"/>
    <n v="6"/>
    <x v="1"/>
  </r>
  <r>
    <s v="L0161"/>
    <s v="Rohit Khanna"/>
    <n v="29"/>
    <s v="F"/>
    <x v="1"/>
    <n v="1099718"/>
    <n v="982153"/>
    <n v="13"/>
    <n v="72"/>
    <n v="647"/>
    <x v="0"/>
    <x v="1"/>
    <x v="156"/>
    <x v="3"/>
    <n v="19715.842650825154"/>
    <n v="1419540.6708594111"/>
    <n v="437387.67085941113"/>
    <n v="3"/>
    <x v="3"/>
  </r>
  <r>
    <s v="L0162"/>
    <s v="Sahil Gupta"/>
    <n v="59"/>
    <s v="F"/>
    <x v="0"/>
    <n v="1431856"/>
    <n v="700232"/>
    <n v="7.86"/>
    <n v="120"/>
    <n v="798"/>
    <x v="0"/>
    <x v="1"/>
    <x v="157"/>
    <x v="2"/>
    <n v="8444.0345876516731"/>
    <n v="1013284.1505182008"/>
    <n v="313052.15051820083"/>
    <n v="1"/>
    <x v="4"/>
  </r>
  <r>
    <s v="L0163"/>
    <s v="Arjun Mehta"/>
    <n v="51"/>
    <s v="M"/>
    <x v="1"/>
    <n v="342460"/>
    <n v="942598"/>
    <n v="8.77"/>
    <n v="60"/>
    <n v="756"/>
    <x v="1"/>
    <x v="1"/>
    <x v="158"/>
    <x v="2"/>
    <n v="19461.733261647281"/>
    <n v="1167703.9956988369"/>
    <n v="225105.99569883686"/>
    <n v="2"/>
    <x v="4"/>
  </r>
  <r>
    <s v="L0164"/>
    <s v="Rina Kapoor"/>
    <n v="25"/>
    <s v="M"/>
    <x v="1"/>
    <n v="689069"/>
    <n v="363445"/>
    <n v="14.76"/>
    <n v="36"/>
    <n v="801"/>
    <x v="2"/>
    <x v="1"/>
    <x v="159"/>
    <x v="0"/>
    <n v="12556.266928594572"/>
    <n v="452025.60942940461"/>
    <n v="88580.609429404605"/>
    <n v="5"/>
    <x v="2"/>
  </r>
  <r>
    <s v="L0165"/>
    <s v="Pooja Reddy"/>
    <n v="47"/>
    <s v="F"/>
    <x v="0"/>
    <n v="908744"/>
    <n v="1959352"/>
    <n v="8.7899999999999991"/>
    <n v="96"/>
    <n v="739"/>
    <x v="3"/>
    <x v="1"/>
    <x v="160"/>
    <x v="2"/>
    <n v="28491.903675405498"/>
    <n v="2735222.7528389278"/>
    <n v="775870.75283892779"/>
    <n v="6"/>
    <x v="1"/>
  </r>
  <r>
    <s v="L0166"/>
    <s v="Meena George"/>
    <n v="44"/>
    <s v="F"/>
    <x v="1"/>
    <n v="664635"/>
    <n v="1730688"/>
    <n v="12.21"/>
    <n v="96"/>
    <n v="651"/>
    <x v="3"/>
    <x v="1"/>
    <x v="161"/>
    <x v="1"/>
    <n v="28328.67025274592"/>
    <n v="2719552.3442636086"/>
    <n v="988864.34426360857"/>
    <n v="5"/>
    <x v="0"/>
  </r>
  <r>
    <s v="L0167"/>
    <s v="Isha Verma"/>
    <n v="34"/>
    <s v="M"/>
    <x v="0"/>
    <n v="1746984"/>
    <n v="805081"/>
    <n v="12.84"/>
    <n v="96"/>
    <n v="741"/>
    <x v="2"/>
    <x v="1"/>
    <x v="162"/>
    <x v="1"/>
    <n v="13459.250561606008"/>
    <n v="1292088.0539141768"/>
    <n v="487007.05391417677"/>
    <n v="1"/>
    <x v="1"/>
  </r>
  <r>
    <s v="L0168"/>
    <s v="Aarav Patel"/>
    <n v="54"/>
    <s v="F"/>
    <x v="0"/>
    <n v="1292789"/>
    <n v="468996"/>
    <n v="14.57"/>
    <n v="60"/>
    <n v="728"/>
    <x v="3"/>
    <x v="1"/>
    <x v="163"/>
    <x v="1"/>
    <n v="11051.803809232366"/>
    <n v="663108.22855394194"/>
    <n v="194112.22855394194"/>
    <n v="7"/>
    <x v="1"/>
  </r>
  <r>
    <s v="L0169"/>
    <s v="Isha Verma"/>
    <n v="32"/>
    <s v="F"/>
    <x v="2"/>
    <n v="1289302"/>
    <n v="1695041"/>
    <n v="8.74"/>
    <n v="60"/>
    <n v="709"/>
    <x v="3"/>
    <x v="1"/>
    <x v="164"/>
    <x v="2"/>
    <n v="34972.758100816995"/>
    <n v="2098365.4860490197"/>
    <n v="403324.48604901973"/>
    <n v="3"/>
    <x v="1"/>
  </r>
  <r>
    <s v="L0170"/>
    <s v="Rohan Nair"/>
    <n v="29"/>
    <s v="F"/>
    <x v="0"/>
    <n v="1735651"/>
    <n v="1333856"/>
    <n v="14.59"/>
    <n v="72"/>
    <n v="637"/>
    <x v="1"/>
    <x v="1"/>
    <x v="165"/>
    <x v="2"/>
    <n v="27908.259057929448"/>
    <n v="2009394.6521709203"/>
    <n v="675538.65217092028"/>
    <n v="1"/>
    <x v="3"/>
  </r>
  <r>
    <s v="L0171"/>
    <s v="Deepika Joshi"/>
    <n v="52"/>
    <s v="M"/>
    <x v="2"/>
    <n v="565493"/>
    <n v="1113525"/>
    <n v="10.63"/>
    <n v="96"/>
    <n v="602"/>
    <x v="3"/>
    <x v="1"/>
    <x v="166"/>
    <x v="2"/>
    <n v="17270.279889243622"/>
    <n v="1657946.8693673876"/>
    <n v="544421.86936738761"/>
    <n v="2"/>
    <x v="3"/>
  </r>
  <r>
    <s v="L0172"/>
    <s v="Isha Verma"/>
    <n v="40"/>
    <s v="F"/>
    <x v="1"/>
    <n v="943160"/>
    <n v="1228673"/>
    <n v="10.210000000000001"/>
    <n v="84"/>
    <n v="624"/>
    <x v="1"/>
    <x v="1"/>
    <x v="167"/>
    <x v="0"/>
    <n v="20530.992697582518"/>
    <n v="1724603.3865969316"/>
    <n v="495930.38659693161"/>
    <n v="3"/>
    <x v="3"/>
  </r>
  <r>
    <s v="L0173"/>
    <s v="Rina Kapoor"/>
    <n v="54"/>
    <s v="M"/>
    <x v="0"/>
    <n v="1507888"/>
    <n v="1807666"/>
    <n v="8.7200000000000006"/>
    <n v="96"/>
    <n v="678"/>
    <x v="2"/>
    <x v="0"/>
    <x v="168"/>
    <x v="3"/>
    <n v="26220.844158921627"/>
    <n v="2517201.0392564763"/>
    <n v="709535.03925647633"/>
    <n v="1"/>
    <x v="0"/>
  </r>
  <r>
    <s v="L0174"/>
    <s v="Sahil Gupta"/>
    <n v="27"/>
    <s v="M"/>
    <x v="1"/>
    <n v="1842615"/>
    <n v="328669"/>
    <n v="11.83"/>
    <n v="120"/>
    <n v="808"/>
    <x v="2"/>
    <x v="1"/>
    <x v="169"/>
    <x v="3"/>
    <n v="4683.2021078968519"/>
    <n v="561984.25294762221"/>
    <n v="233315.25294762221"/>
    <n v="7"/>
    <x v="2"/>
  </r>
  <r>
    <s v="L0175"/>
    <s v="Priya Singh"/>
    <n v="53"/>
    <s v="F"/>
    <x v="2"/>
    <n v="1867019"/>
    <n v="1634563"/>
    <n v="13.91"/>
    <n v="84"/>
    <n v="621"/>
    <x v="3"/>
    <x v="1"/>
    <x v="170"/>
    <x v="2"/>
    <n v="30550.520790917337"/>
    <n v="2566243.7464370565"/>
    <n v="931680.74643705646"/>
    <n v="7"/>
    <x v="3"/>
  </r>
  <r>
    <s v="L0176"/>
    <s v="Amit Yadav"/>
    <n v="28"/>
    <s v="F"/>
    <x v="0"/>
    <n v="1009869"/>
    <n v="1307056"/>
    <n v="14.18"/>
    <n v="120"/>
    <n v="619"/>
    <x v="1"/>
    <x v="0"/>
    <x v="171"/>
    <x v="1"/>
    <n v="20435.890290643405"/>
    <n v="2452306.8348772088"/>
    <n v="1145250.8348772088"/>
    <n v="2"/>
    <x v="3"/>
  </r>
  <r>
    <s v="L0177"/>
    <s v="Arjun Mehta"/>
    <n v="42"/>
    <s v="F"/>
    <x v="2"/>
    <n v="919067"/>
    <n v="372317"/>
    <n v="11.74"/>
    <n v="60"/>
    <n v="763"/>
    <x v="1"/>
    <x v="1"/>
    <x v="172"/>
    <x v="1"/>
    <n v="8233.1517099980811"/>
    <n v="493989.10259988485"/>
    <n v="121672.10259988485"/>
    <n v="6"/>
    <x v="4"/>
  </r>
  <r>
    <s v="L0178"/>
    <s v="Rohan Nair"/>
    <n v="28"/>
    <s v="M"/>
    <x v="0"/>
    <n v="899207"/>
    <n v="985060"/>
    <n v="12.9"/>
    <n v="48"/>
    <n v="826"/>
    <x v="2"/>
    <x v="1"/>
    <x v="173"/>
    <x v="3"/>
    <n v="26377.82829967589"/>
    <n v="1266135.7583844427"/>
    <n v="281075.75838444266"/>
    <n v="1"/>
    <x v="2"/>
  </r>
  <r>
    <s v="L0179"/>
    <s v="Kiran Menon"/>
    <n v="58"/>
    <s v="M"/>
    <x v="1"/>
    <n v="549016"/>
    <n v="1404101"/>
    <n v="8.74"/>
    <n v="120"/>
    <n v="807"/>
    <x v="3"/>
    <x v="1"/>
    <x v="174"/>
    <x v="0"/>
    <n v="17589.588121171997"/>
    <n v="2110750.5745406398"/>
    <n v="706649.57454063976"/>
    <n v="7"/>
    <x v="2"/>
  </r>
  <r>
    <s v="L0180"/>
    <s v="Sneha Pillai"/>
    <n v="41"/>
    <s v="M"/>
    <x v="1"/>
    <n v="934072"/>
    <n v="1514268"/>
    <n v="11.74"/>
    <n v="120"/>
    <n v="724"/>
    <x v="1"/>
    <x v="1"/>
    <x v="175"/>
    <x v="0"/>
    <n v="21498.3588120653"/>
    <n v="2579803.0574478358"/>
    <n v="1065535.0574478358"/>
    <n v="1"/>
    <x v="1"/>
  </r>
  <r>
    <s v="L0181"/>
    <s v="Sahil Gupta"/>
    <n v="41"/>
    <s v="M"/>
    <x v="2"/>
    <n v="1357401"/>
    <n v="1418097"/>
    <n v="13.89"/>
    <n v="48"/>
    <n v="607"/>
    <x v="1"/>
    <x v="1"/>
    <x v="176"/>
    <x v="1"/>
    <n v="38673.389967202318"/>
    <n v="1856322.7184257112"/>
    <n v="438225.71842571115"/>
    <n v="1"/>
    <x v="3"/>
  </r>
  <r>
    <s v="L0182"/>
    <s v="Neha Sharma"/>
    <n v="45"/>
    <s v="F"/>
    <x v="2"/>
    <n v="1663425"/>
    <n v="1479286"/>
    <n v="14.2"/>
    <n v="72"/>
    <n v="724"/>
    <x v="2"/>
    <x v="1"/>
    <x v="177"/>
    <x v="2"/>
    <n v="30640.429890396063"/>
    <n v="2206110.9521085164"/>
    <n v="726824.95210851636"/>
    <n v="7"/>
    <x v="1"/>
  </r>
  <r>
    <s v="L0183"/>
    <s v="Arjun Mehta"/>
    <n v="39"/>
    <s v="M"/>
    <x v="0"/>
    <n v="1597883"/>
    <n v="659573"/>
    <n v="13.1"/>
    <n v="36"/>
    <n v="794"/>
    <x v="3"/>
    <x v="1"/>
    <x v="178"/>
    <x v="2"/>
    <n v="22255.403460018741"/>
    <n v="801194.52456067468"/>
    <n v="141621.52456067468"/>
    <n v="1"/>
    <x v="4"/>
  </r>
  <r>
    <s v="L0184"/>
    <s v="Tanya Rao"/>
    <n v="27"/>
    <s v="M"/>
    <x v="2"/>
    <n v="884531"/>
    <n v="1488144"/>
    <n v="11.73"/>
    <n v="120"/>
    <n v="647"/>
    <x v="0"/>
    <x v="1"/>
    <x v="179"/>
    <x v="3"/>
    <n v="21118.915573615039"/>
    <n v="2534269.8688338045"/>
    <n v="1046125.8688338045"/>
    <n v="7"/>
    <x v="3"/>
  </r>
  <r>
    <s v="L0185"/>
    <s v="Mohit Jain"/>
    <n v="33"/>
    <s v="F"/>
    <x v="2"/>
    <n v="1344792"/>
    <n v="1134871"/>
    <n v="9.81"/>
    <n v="48"/>
    <n v="746"/>
    <x v="2"/>
    <x v="1"/>
    <x v="180"/>
    <x v="2"/>
    <n v="28679.818173194391"/>
    <n v="1376631.2723133308"/>
    <n v="241760.27231333079"/>
    <n v="5"/>
    <x v="1"/>
  </r>
  <r>
    <s v="L0186"/>
    <s v="Rohan Nair"/>
    <n v="36"/>
    <s v="M"/>
    <x v="2"/>
    <n v="1161261"/>
    <n v="495127"/>
    <n v="14.19"/>
    <n v="96"/>
    <n v="784"/>
    <x v="2"/>
    <x v="1"/>
    <x v="181"/>
    <x v="3"/>
    <n v="8654.723457010834"/>
    <n v="830853.45187304006"/>
    <n v="335726.45187304006"/>
    <n v="6"/>
    <x v="4"/>
  </r>
  <r>
    <s v="L0187"/>
    <s v="Kiran Menon"/>
    <n v="35"/>
    <s v="F"/>
    <x v="2"/>
    <n v="1167137"/>
    <n v="1920625"/>
    <n v="11.16"/>
    <n v="48"/>
    <n v="844"/>
    <x v="1"/>
    <x v="1"/>
    <x v="182"/>
    <x v="1"/>
    <n v="49788.923103479065"/>
    <n v="2389868.3089669952"/>
    <n v="469243.30896699522"/>
    <n v="4"/>
    <x v="2"/>
  </r>
  <r>
    <s v="L0188"/>
    <s v="Pooja Reddy"/>
    <n v="25"/>
    <s v="F"/>
    <x v="0"/>
    <n v="1645202"/>
    <n v="1481135"/>
    <n v="8.9"/>
    <n v="120"/>
    <n v="636"/>
    <x v="0"/>
    <x v="0"/>
    <x v="183"/>
    <x v="2"/>
    <n v="18682.327627610452"/>
    <n v="2241879.315313254"/>
    <n v="760744.31531325402"/>
    <n v="3"/>
    <x v="3"/>
  </r>
  <r>
    <s v="L0189"/>
    <s v="Raj Kumar"/>
    <n v="46"/>
    <s v="M"/>
    <x v="2"/>
    <n v="1524542"/>
    <n v="316230"/>
    <n v="14.48"/>
    <n v="72"/>
    <n v="814"/>
    <x v="2"/>
    <x v="0"/>
    <x v="184"/>
    <x v="3"/>
    <n v="6597.7097380925197"/>
    <n v="475035.10114266141"/>
    <n v="158805.10114266141"/>
    <n v="6"/>
    <x v="2"/>
  </r>
  <r>
    <s v="L0190"/>
    <s v="Tanya Rao"/>
    <n v="27"/>
    <s v="F"/>
    <x v="2"/>
    <n v="1198153"/>
    <n v="1375980"/>
    <n v="8.39"/>
    <n v="36"/>
    <n v="661"/>
    <x v="0"/>
    <x v="1"/>
    <x v="185"/>
    <x v="3"/>
    <n v="43366.199910516545"/>
    <n v="1561183.1967785957"/>
    <n v="185203.19677859568"/>
    <n v="6"/>
    <x v="0"/>
  </r>
  <r>
    <s v="L0191"/>
    <s v="Pooja Reddy"/>
    <n v="41"/>
    <s v="M"/>
    <x v="2"/>
    <n v="1118090"/>
    <n v="1900474"/>
    <n v="13.83"/>
    <n v="48"/>
    <n v="611"/>
    <x v="2"/>
    <x v="1"/>
    <x v="9"/>
    <x v="3"/>
    <n v="51771.336167054593"/>
    <n v="2485024.1360186203"/>
    <n v="584550.13601862034"/>
    <n v="2"/>
    <x v="3"/>
  </r>
  <r>
    <s v="L0192"/>
    <s v="Rina Kapoor"/>
    <n v="28"/>
    <s v="M"/>
    <x v="1"/>
    <n v="378250"/>
    <n v="1098506"/>
    <n v="8.51"/>
    <n v="84"/>
    <n v="696"/>
    <x v="0"/>
    <x v="1"/>
    <x v="186"/>
    <x v="0"/>
    <n v="17401.998811427187"/>
    <n v="1461767.9001598838"/>
    <n v="363261.90015988378"/>
    <n v="1"/>
    <x v="0"/>
  </r>
  <r>
    <s v="L0193"/>
    <s v="Rohan Nair"/>
    <n v="53"/>
    <s v="M"/>
    <x v="2"/>
    <n v="452335"/>
    <n v="735788"/>
    <n v="13.25"/>
    <n v="120"/>
    <n v="667"/>
    <x v="3"/>
    <x v="1"/>
    <x v="187"/>
    <x v="2"/>
    <n v="11094.867489267084"/>
    <n v="1331384.0987120501"/>
    <n v="595596.09871205012"/>
    <n v="7"/>
    <x v="0"/>
  </r>
  <r>
    <s v="L0194"/>
    <s v="Rohan Nair"/>
    <n v="31"/>
    <s v="F"/>
    <x v="2"/>
    <n v="1946486"/>
    <n v="757192"/>
    <n v="11.39"/>
    <n v="120"/>
    <n v="782"/>
    <x v="3"/>
    <x v="1"/>
    <x v="188"/>
    <x v="0"/>
    <n v="10598.178392712824"/>
    <n v="1271781.4071255389"/>
    <n v="514589.40712553891"/>
    <n v="6"/>
    <x v="4"/>
  </r>
  <r>
    <s v="L0195"/>
    <s v="Rohit Khanna"/>
    <n v="57"/>
    <s v="F"/>
    <x v="0"/>
    <n v="1265704"/>
    <n v="881766"/>
    <n v="13.52"/>
    <n v="72"/>
    <n v="788"/>
    <x v="2"/>
    <x v="1"/>
    <x v="189"/>
    <x v="0"/>
    <n v="17943.582274418"/>
    <n v="1291937.9237580961"/>
    <n v="410171.92375809606"/>
    <n v="1"/>
    <x v="4"/>
  </r>
  <r>
    <s v="L0196"/>
    <s v="Neha Sharma"/>
    <n v="35"/>
    <s v="M"/>
    <x v="1"/>
    <n v="1694894"/>
    <n v="1224327"/>
    <n v="8.57"/>
    <n v="48"/>
    <n v="827"/>
    <x v="3"/>
    <x v="1"/>
    <x v="190"/>
    <x v="0"/>
    <n v="30218.061726192609"/>
    <n v="1450466.9628572452"/>
    <n v="226139.96285724523"/>
    <n v="7"/>
    <x v="2"/>
  </r>
  <r>
    <s v="L0197"/>
    <s v="Arjun Mehta"/>
    <n v="42"/>
    <s v="F"/>
    <x v="2"/>
    <n v="1903750"/>
    <n v="1101452"/>
    <n v="11.24"/>
    <n v="36"/>
    <n v="850"/>
    <x v="1"/>
    <x v="1"/>
    <x v="191"/>
    <x v="0"/>
    <n v="36185.440076145765"/>
    <n v="1302675.8427412475"/>
    <n v="201223.8427412475"/>
    <n v="5"/>
    <x v="2"/>
  </r>
  <r>
    <s v="L0198"/>
    <s v="Meena George"/>
    <n v="38"/>
    <s v="F"/>
    <x v="0"/>
    <n v="1402548"/>
    <n v="286958"/>
    <n v="11.03"/>
    <n v="36"/>
    <n v="699"/>
    <x v="1"/>
    <x v="0"/>
    <x v="192"/>
    <x v="3"/>
    <n v="9398.7140958483051"/>
    <n v="338353.70745053899"/>
    <n v="51395.70745053899"/>
    <n v="1"/>
    <x v="0"/>
  </r>
  <r>
    <s v="L0199"/>
    <s v="Aarav Patel"/>
    <n v="57"/>
    <s v="M"/>
    <x v="0"/>
    <n v="1745684"/>
    <n v="399571"/>
    <n v="10.02"/>
    <n v="72"/>
    <n v="667"/>
    <x v="3"/>
    <x v="1"/>
    <x v="193"/>
    <x v="0"/>
    <n v="7406.4180889529807"/>
    <n v="533262.10240461456"/>
    <n v="133691.10240461456"/>
    <n v="1"/>
    <x v="0"/>
  </r>
  <r>
    <s v="L0200"/>
    <s v="Neha Sharma"/>
    <n v="59"/>
    <s v="M"/>
    <x v="1"/>
    <n v="1928752"/>
    <n v="1226436"/>
    <n v="7.87"/>
    <n v="96"/>
    <n v="683"/>
    <x v="0"/>
    <x v="1"/>
    <x v="194"/>
    <x v="1"/>
    <n v="17256.806114578249"/>
    <n v="1656653.3869995119"/>
    <n v="430217.38699951186"/>
    <n v="6"/>
    <x v="0"/>
  </r>
  <r>
    <s v="L0201"/>
    <s v="Rohan Nair"/>
    <n v="51"/>
    <s v="F"/>
    <x v="0"/>
    <n v="1415863"/>
    <n v="407012"/>
    <n v="7.57"/>
    <n v="120"/>
    <n v="673"/>
    <x v="1"/>
    <x v="1"/>
    <x v="195"/>
    <x v="3"/>
    <n v="4846.1873627511477"/>
    <n v="581542.48353013769"/>
    <n v="174530.48353013769"/>
    <n v="1"/>
    <x v="0"/>
  </r>
  <r>
    <s v="L0202"/>
    <s v="Kiran Menon"/>
    <n v="41"/>
    <s v="F"/>
    <x v="1"/>
    <n v="667640"/>
    <n v="1679609"/>
    <n v="14.96"/>
    <n v="60"/>
    <n v="639"/>
    <x v="1"/>
    <x v="1"/>
    <x v="196"/>
    <x v="3"/>
    <n v="39922.523451411536"/>
    <n v="2395351.4070846923"/>
    <n v="715742.40708469227"/>
    <n v="7"/>
    <x v="3"/>
  </r>
  <r>
    <s v="L0203"/>
    <s v="Neha Sharma"/>
    <n v="25"/>
    <s v="F"/>
    <x v="1"/>
    <n v="1885758"/>
    <n v="884396"/>
    <n v="11.05"/>
    <n v="36"/>
    <n v="804"/>
    <x v="1"/>
    <x v="1"/>
    <x v="197"/>
    <x v="0"/>
    <n v="28974.935836434259"/>
    <n v="1043097.6901116333"/>
    <n v="158701.69011163327"/>
    <n v="2"/>
    <x v="2"/>
  </r>
  <r>
    <s v="L0204"/>
    <s v="Deepika Joshi"/>
    <n v="39"/>
    <s v="F"/>
    <x v="1"/>
    <n v="1262925"/>
    <n v="676743"/>
    <n v="8.84"/>
    <n v="96"/>
    <n v="717"/>
    <x v="0"/>
    <x v="1"/>
    <x v="198"/>
    <x v="2"/>
    <n v="9858.3417824819171"/>
    <n v="946400.81111826398"/>
    <n v="269657.81111826398"/>
    <n v="3"/>
    <x v="1"/>
  </r>
  <r>
    <s v="L0205"/>
    <s v="Rohan Nair"/>
    <n v="50"/>
    <s v="F"/>
    <x v="0"/>
    <n v="470384"/>
    <n v="1696623"/>
    <n v="12.75"/>
    <n v="36"/>
    <n v="759"/>
    <x v="1"/>
    <x v="1"/>
    <x v="199"/>
    <x v="0"/>
    <n v="56961.848104257973"/>
    <n v="2050626.531753287"/>
    <n v="354003.53175328695"/>
    <n v="5"/>
    <x v="4"/>
  </r>
  <r>
    <s v="L0206"/>
    <s v="Aarav Patel"/>
    <n v="38"/>
    <s v="F"/>
    <x v="0"/>
    <n v="1871531"/>
    <n v="938281"/>
    <n v="8.8000000000000007"/>
    <n v="84"/>
    <n v="772"/>
    <x v="3"/>
    <x v="1"/>
    <x v="200"/>
    <x v="1"/>
    <n v="15001.014463219764"/>
    <n v="1260085.2149104602"/>
    <n v="321804.21491046017"/>
    <n v="4"/>
    <x v="4"/>
  </r>
  <r>
    <s v="L0207"/>
    <s v="Tanya Rao"/>
    <n v="49"/>
    <s v="F"/>
    <x v="0"/>
    <n v="1858254"/>
    <n v="310197"/>
    <n v="11.51"/>
    <n v="48"/>
    <n v="665"/>
    <x v="0"/>
    <x v="1"/>
    <x v="201"/>
    <x v="1"/>
    <n v="8094.2471137975117"/>
    <n v="388523.86146228056"/>
    <n v="78326.861462280562"/>
    <n v="6"/>
    <x v="0"/>
  </r>
  <r>
    <s v="L0208"/>
    <s v="Neha Sharma"/>
    <n v="44"/>
    <s v="F"/>
    <x v="0"/>
    <n v="377991"/>
    <n v="609181"/>
    <n v="9.67"/>
    <n v="48"/>
    <n v="636"/>
    <x v="1"/>
    <x v="1"/>
    <x v="202"/>
    <x v="3"/>
    <n v="15354.0397492592"/>
    <n v="736993.90796444158"/>
    <n v="127812.90796444158"/>
    <n v="7"/>
    <x v="3"/>
  </r>
  <r>
    <s v="L0209"/>
    <s v="Meena George"/>
    <n v="41"/>
    <s v="M"/>
    <x v="1"/>
    <n v="742267"/>
    <n v="205350"/>
    <n v="14.87"/>
    <n v="72"/>
    <n v="647"/>
    <x v="3"/>
    <x v="1"/>
    <x v="203"/>
    <x v="1"/>
    <n v="4327.6442037818269"/>
    <n v="311590.38267229154"/>
    <n v="106240.38267229154"/>
    <n v="2"/>
    <x v="3"/>
  </r>
  <r>
    <s v="L0210"/>
    <s v="Tanya Rao"/>
    <n v="58"/>
    <s v="F"/>
    <x v="0"/>
    <n v="817565"/>
    <n v="773221"/>
    <n v="9.0399999999999991"/>
    <n v="48"/>
    <n v="693"/>
    <x v="3"/>
    <x v="1"/>
    <x v="204"/>
    <x v="2"/>
    <n v="19256.32677468676"/>
    <n v="924303.68518496444"/>
    <n v="151082.68518496444"/>
    <n v="7"/>
    <x v="0"/>
  </r>
  <r>
    <s v="L0211"/>
    <s v="Sneha Pillai"/>
    <n v="51"/>
    <s v="M"/>
    <x v="0"/>
    <n v="1405496"/>
    <n v="1119026"/>
    <n v="11.52"/>
    <n v="84"/>
    <n v="645"/>
    <x v="1"/>
    <x v="1"/>
    <x v="205"/>
    <x v="0"/>
    <n v="19467.772128524044"/>
    <n v="1635292.8587960198"/>
    <n v="516266.85879601981"/>
    <n v="6"/>
    <x v="3"/>
  </r>
  <r>
    <s v="L0212"/>
    <s v="Rohit Khanna"/>
    <n v="41"/>
    <s v="M"/>
    <x v="2"/>
    <n v="1658752"/>
    <n v="1035103"/>
    <n v="11.86"/>
    <n v="48"/>
    <n v="839"/>
    <x v="2"/>
    <x v="1"/>
    <x v="206"/>
    <x v="3"/>
    <n v="27187.134626917818"/>
    <n v="1304982.4620920552"/>
    <n v="269879.46209205524"/>
    <n v="2"/>
    <x v="2"/>
  </r>
  <r>
    <s v="L0213"/>
    <s v="Isha Verma"/>
    <n v="39"/>
    <s v="F"/>
    <x v="1"/>
    <n v="1369593"/>
    <n v="1227319"/>
    <n v="8.07"/>
    <n v="120"/>
    <n v="747"/>
    <x v="0"/>
    <x v="1"/>
    <x v="206"/>
    <x v="3"/>
    <n v="14936.201142444788"/>
    <n v="1792344.1370933745"/>
    <n v="565025.13709337451"/>
    <n v="2"/>
    <x v="1"/>
  </r>
  <r>
    <s v="L0214"/>
    <s v="Arjun Mehta"/>
    <n v="50"/>
    <s v="M"/>
    <x v="1"/>
    <n v="472479"/>
    <n v="1449226"/>
    <n v="13.94"/>
    <n v="96"/>
    <n v="724"/>
    <x v="1"/>
    <x v="1"/>
    <x v="207"/>
    <x v="0"/>
    <n v="25125.770485030444"/>
    <n v="2412073.9665629226"/>
    <n v="962847.96656292258"/>
    <n v="3"/>
    <x v="1"/>
  </r>
  <r>
    <s v="L0215"/>
    <s v="Neha Sharma"/>
    <n v="28"/>
    <s v="M"/>
    <x v="1"/>
    <n v="1754320"/>
    <n v="1381926"/>
    <n v="14.45"/>
    <n v="120"/>
    <n v="848"/>
    <x v="3"/>
    <x v="1"/>
    <x v="13"/>
    <x v="1"/>
    <n v="21832.150040993176"/>
    <n v="2619858.0049191811"/>
    <n v="1237932.0049191811"/>
    <n v="4"/>
    <x v="2"/>
  </r>
  <r>
    <s v="L0216"/>
    <s v="Tanya Rao"/>
    <n v="59"/>
    <s v="M"/>
    <x v="2"/>
    <n v="1248042"/>
    <n v="993863"/>
    <n v="11.49"/>
    <n v="84"/>
    <n v="663"/>
    <x v="2"/>
    <x v="1"/>
    <x v="208"/>
    <x v="2"/>
    <n v="17274.490092165983"/>
    <n v="1451057.1677419425"/>
    <n v="457194.16774194245"/>
    <n v="3"/>
    <x v="0"/>
  </r>
  <r>
    <s v="L0217"/>
    <s v="Aarav Patel"/>
    <n v="59"/>
    <s v="F"/>
    <x v="1"/>
    <n v="821513"/>
    <n v="1184309"/>
    <n v="14.24"/>
    <n v="84"/>
    <n v="816"/>
    <x v="2"/>
    <x v="1"/>
    <x v="209"/>
    <x v="3"/>
    <n v="22351.276332184272"/>
    <n v="1877507.211903479"/>
    <n v="693198.21190347895"/>
    <n v="1"/>
    <x v="2"/>
  </r>
  <r>
    <s v="L0218"/>
    <s v="Aditya Sharma"/>
    <n v="26"/>
    <s v="M"/>
    <x v="0"/>
    <n v="779765"/>
    <n v="263910"/>
    <n v="14.68"/>
    <n v="72"/>
    <n v="796"/>
    <x v="1"/>
    <x v="1"/>
    <x v="210"/>
    <x v="0"/>
    <n v="5534.6201509667953"/>
    <n v="398492.65086960926"/>
    <n v="134582.65086960926"/>
    <n v="1"/>
    <x v="4"/>
  </r>
  <r>
    <s v="L0219"/>
    <s v="Aditya Sharma"/>
    <n v="57"/>
    <s v="M"/>
    <x v="0"/>
    <n v="818993"/>
    <n v="1543083"/>
    <n v="11.83"/>
    <n v="72"/>
    <n v="832"/>
    <x v="1"/>
    <x v="1"/>
    <x v="211"/>
    <x v="0"/>
    <n v="30031.328433740498"/>
    <n v="2162255.6472293157"/>
    <n v="619172.64722931571"/>
    <n v="6"/>
    <x v="2"/>
  </r>
  <r>
    <s v="L0220"/>
    <s v="Isha Verma"/>
    <n v="25"/>
    <s v="M"/>
    <x v="2"/>
    <n v="1503081"/>
    <n v="238263"/>
    <n v="11.14"/>
    <n v="48"/>
    <n v="669"/>
    <x v="3"/>
    <x v="1"/>
    <x v="136"/>
    <x v="3"/>
    <n v="6174.2433782120497"/>
    <n v="296363.68215417839"/>
    <n v="58100.682154178387"/>
    <n v="2"/>
    <x v="0"/>
  </r>
  <r>
    <s v="L0221"/>
    <s v="Rohan Nair"/>
    <n v="39"/>
    <s v="F"/>
    <x v="2"/>
    <n v="1368996"/>
    <n v="1598742"/>
    <n v="8.5299999999999994"/>
    <n v="36"/>
    <n v="816"/>
    <x v="2"/>
    <x v="1"/>
    <x v="212"/>
    <x v="3"/>
    <n v="50490.575020823555"/>
    <n v="1817660.700749648"/>
    <n v="218918.70074964804"/>
    <n v="6"/>
    <x v="2"/>
  </r>
  <r>
    <s v="L0222"/>
    <s v="Mohit Jain"/>
    <n v="28"/>
    <s v="F"/>
    <x v="0"/>
    <n v="1904023"/>
    <n v="1602287"/>
    <n v="12.16"/>
    <n v="72"/>
    <n v="777"/>
    <x v="1"/>
    <x v="1"/>
    <x v="213"/>
    <x v="3"/>
    <n v="31458.496034390206"/>
    <n v="2265011.7144760946"/>
    <n v="662724.71447609458"/>
    <n v="3"/>
    <x v="4"/>
  </r>
  <r>
    <s v="L0223"/>
    <s v="Isha Verma"/>
    <n v="57"/>
    <s v="M"/>
    <x v="1"/>
    <n v="1305322"/>
    <n v="1016563"/>
    <n v="9.17"/>
    <n v="84"/>
    <n v="788"/>
    <x v="1"/>
    <x v="1"/>
    <x v="214"/>
    <x v="1"/>
    <n v="16443.401336243394"/>
    <n v="1381245.7122444452"/>
    <n v="364682.71224444523"/>
    <n v="4"/>
    <x v="4"/>
  </r>
  <r>
    <s v="L0224"/>
    <s v="Deepika Joshi"/>
    <n v="38"/>
    <s v="M"/>
    <x v="0"/>
    <n v="1128641"/>
    <n v="1996723"/>
    <n v="9.6999999999999993"/>
    <n v="72"/>
    <n v="662"/>
    <x v="1"/>
    <x v="1"/>
    <x v="215"/>
    <x v="3"/>
    <n v="36689.607109340388"/>
    <n v="2641651.7118725078"/>
    <n v="644928.71187250782"/>
    <n v="2"/>
    <x v="0"/>
  </r>
  <r>
    <s v="L0225"/>
    <s v="Rohan Nair"/>
    <n v="48"/>
    <s v="F"/>
    <x v="0"/>
    <n v="1503522"/>
    <n v="519312"/>
    <n v="9.33"/>
    <n v="120"/>
    <n v="689"/>
    <x v="3"/>
    <x v="0"/>
    <x v="110"/>
    <x v="2"/>
    <n v="6671.5292374114579"/>
    <n v="800583.508489375"/>
    <n v="281271.508489375"/>
    <n v="4"/>
    <x v="0"/>
  </r>
  <r>
    <s v="L0226"/>
    <s v="Priya Singh"/>
    <n v="26"/>
    <s v="F"/>
    <x v="2"/>
    <n v="848815"/>
    <n v="410047"/>
    <n v="9.5500000000000007"/>
    <n v="60"/>
    <n v="616"/>
    <x v="1"/>
    <x v="1"/>
    <x v="137"/>
    <x v="3"/>
    <n v="8621.772979811165"/>
    <n v="517306.37878866988"/>
    <n v="107259.37878866988"/>
    <n v="7"/>
    <x v="3"/>
  </r>
  <r>
    <s v="L0227"/>
    <s v="Mohit Jain"/>
    <n v="36"/>
    <s v="F"/>
    <x v="2"/>
    <n v="1775780"/>
    <n v="505694"/>
    <n v="11.87"/>
    <n v="96"/>
    <n v="630"/>
    <x v="1"/>
    <x v="1"/>
    <x v="216"/>
    <x v="2"/>
    <n v="8182.8867386555285"/>
    <n v="785557.12691093073"/>
    <n v="279863.12691093073"/>
    <n v="2"/>
    <x v="3"/>
  </r>
  <r>
    <s v="L0228"/>
    <s v="Aditya Sharma"/>
    <n v="38"/>
    <s v="M"/>
    <x v="2"/>
    <n v="1645769"/>
    <n v="1678828"/>
    <n v="14.62"/>
    <n v="84"/>
    <n v="823"/>
    <x v="3"/>
    <x v="1"/>
    <x v="109"/>
    <x v="3"/>
    <n v="32039.04928849078"/>
    <n v="2691280.1402332257"/>
    <n v="1012452.1402332257"/>
    <n v="5"/>
    <x v="2"/>
  </r>
  <r>
    <s v="L0229"/>
    <s v="Raj Kumar"/>
    <n v="59"/>
    <s v="M"/>
    <x v="2"/>
    <n v="1312253"/>
    <n v="1429234"/>
    <n v="14.38"/>
    <n v="84"/>
    <n v="718"/>
    <x v="3"/>
    <x v="1"/>
    <x v="217"/>
    <x v="2"/>
    <n v="27084.77979902926"/>
    <n v="2275121.5031184577"/>
    <n v="845887.50311845774"/>
    <n v="4"/>
    <x v="1"/>
  </r>
  <r>
    <s v="L0230"/>
    <s v="Rohit Khanna"/>
    <n v="29"/>
    <s v="F"/>
    <x v="1"/>
    <n v="1215400"/>
    <n v="993745"/>
    <n v="11.24"/>
    <n v="48"/>
    <n v="776"/>
    <x v="0"/>
    <x v="1"/>
    <x v="218"/>
    <x v="1"/>
    <n v="25799.834827396917"/>
    <n v="1238392.071715052"/>
    <n v="244647.07171505201"/>
    <n v="2"/>
    <x v="4"/>
  </r>
  <r>
    <s v="L0231"/>
    <s v="Kiran Menon"/>
    <n v="40"/>
    <s v="M"/>
    <x v="1"/>
    <n v="767643"/>
    <n v="1346572"/>
    <n v="13.11"/>
    <n v="120"/>
    <n v="661"/>
    <x v="3"/>
    <x v="1"/>
    <x v="219"/>
    <x v="2"/>
    <n v="20193.227062125825"/>
    <n v="2423187.2474550991"/>
    <n v="1076615.2474550991"/>
    <n v="6"/>
    <x v="0"/>
  </r>
  <r>
    <s v="L0232"/>
    <s v="Aarav Patel"/>
    <n v="42"/>
    <s v="F"/>
    <x v="2"/>
    <n v="328159"/>
    <n v="988372"/>
    <n v="8.08"/>
    <n v="72"/>
    <n v="659"/>
    <x v="2"/>
    <x v="1"/>
    <x v="220"/>
    <x v="2"/>
    <n v="17367.997345548905"/>
    <n v="1250495.8088795212"/>
    <n v="262123.80887952121"/>
    <n v="1"/>
    <x v="0"/>
  </r>
  <r>
    <s v="L0233"/>
    <s v="Tanya Rao"/>
    <n v="29"/>
    <s v="F"/>
    <x v="1"/>
    <n v="1407004"/>
    <n v="267960"/>
    <n v="13.81"/>
    <n v="60"/>
    <n v="606"/>
    <x v="3"/>
    <x v="1"/>
    <x v="221"/>
    <x v="2"/>
    <n v="6208.5970755908638"/>
    <n v="372515.82453545183"/>
    <n v="104555.82453545183"/>
    <n v="7"/>
    <x v="3"/>
  </r>
  <r>
    <s v="L0234"/>
    <s v="Tanya Rao"/>
    <n v="59"/>
    <s v="M"/>
    <x v="2"/>
    <n v="1421092"/>
    <n v="1526067"/>
    <n v="11.75"/>
    <n v="84"/>
    <n v="641"/>
    <x v="0"/>
    <x v="1"/>
    <x v="222"/>
    <x v="0"/>
    <n v="26735.651110364568"/>
    <n v="2245794.6932706237"/>
    <n v="719727.69327062368"/>
    <n v="4"/>
    <x v="3"/>
  </r>
  <r>
    <s v="L0235"/>
    <s v="Amit Yadav"/>
    <n v="50"/>
    <s v="F"/>
    <x v="1"/>
    <n v="553957"/>
    <n v="322262"/>
    <n v="12.69"/>
    <n v="36"/>
    <n v="736"/>
    <x v="0"/>
    <x v="1"/>
    <x v="223"/>
    <x v="2"/>
    <n v="10810.22421728936"/>
    <n v="389168.07182241697"/>
    <n v="66906.071822416969"/>
    <n v="1"/>
    <x v="1"/>
  </r>
  <r>
    <s v="L0236"/>
    <s v="Rohan Nair"/>
    <n v="36"/>
    <s v="F"/>
    <x v="1"/>
    <n v="369190"/>
    <n v="1577019"/>
    <n v="13.17"/>
    <n v="60"/>
    <n v="698"/>
    <x v="3"/>
    <x v="1"/>
    <x v="224"/>
    <x v="0"/>
    <n v="36019.417324832706"/>
    <n v="2161165.0394899622"/>
    <n v="584146.03948996216"/>
    <n v="2"/>
    <x v="0"/>
  </r>
  <r>
    <s v="L0237"/>
    <s v="Pooja Reddy"/>
    <n v="38"/>
    <s v="F"/>
    <x v="0"/>
    <n v="1376450"/>
    <n v="1864231"/>
    <n v="10.57"/>
    <n v="84"/>
    <n v="800"/>
    <x v="0"/>
    <x v="1"/>
    <x v="225"/>
    <x v="1"/>
    <n v="31500.253103602638"/>
    <n v="2646021.2607026217"/>
    <n v="781790.26070262166"/>
    <n v="3"/>
    <x v="2"/>
  </r>
  <r>
    <s v="L0238"/>
    <s v="Aarav Patel"/>
    <n v="43"/>
    <s v="F"/>
    <x v="2"/>
    <n v="885497"/>
    <n v="463243"/>
    <n v="9.67"/>
    <n v="72"/>
    <n v="659"/>
    <x v="2"/>
    <x v="1"/>
    <x v="226"/>
    <x v="2"/>
    <n v="8505.0754813679723"/>
    <n v="612365.43465849396"/>
    <n v="149122.43465849396"/>
    <n v="2"/>
    <x v="0"/>
  </r>
  <r>
    <s v="L0239"/>
    <s v="Meena George"/>
    <n v="32"/>
    <s v="F"/>
    <x v="0"/>
    <n v="1802889"/>
    <n v="1923108"/>
    <n v="13.48"/>
    <n v="84"/>
    <n v="748"/>
    <x v="1"/>
    <x v="0"/>
    <x v="227"/>
    <x v="3"/>
    <n v="35488.907108489766"/>
    <n v="2981068.1971131405"/>
    <n v="1057960.1971131405"/>
    <n v="3"/>
    <x v="1"/>
  </r>
  <r>
    <s v="L0240"/>
    <s v="Rina Kapoor"/>
    <n v="43"/>
    <s v="M"/>
    <x v="2"/>
    <n v="1245287"/>
    <n v="1010719"/>
    <n v="13.36"/>
    <n v="36"/>
    <n v="801"/>
    <x v="2"/>
    <x v="1"/>
    <x v="228"/>
    <x v="1"/>
    <n v="34230.638776753949"/>
    <n v="1232302.9959631423"/>
    <n v="221583.99596314225"/>
    <n v="5"/>
    <x v="2"/>
  </r>
  <r>
    <s v="L0241"/>
    <s v="Rohan Nair"/>
    <n v="44"/>
    <s v="M"/>
    <x v="1"/>
    <n v="1490029"/>
    <n v="1309558"/>
    <n v="14.95"/>
    <n v="36"/>
    <n v="825"/>
    <x v="3"/>
    <x v="1"/>
    <x v="229"/>
    <x v="3"/>
    <n v="45364.200018750824"/>
    <n v="1633111.2006750298"/>
    <n v="323553.20067502977"/>
    <n v="7"/>
    <x v="2"/>
  </r>
  <r>
    <s v="L0242"/>
    <s v="Amit Yadav"/>
    <n v="36"/>
    <s v="F"/>
    <x v="0"/>
    <n v="960545"/>
    <n v="221136"/>
    <n v="9.73"/>
    <n v="72"/>
    <n v="659"/>
    <x v="2"/>
    <x v="1"/>
    <x v="230"/>
    <x v="1"/>
    <n v="4066.6846994946732"/>
    <n v="292801.29836361646"/>
    <n v="71665.298363616457"/>
    <n v="4"/>
    <x v="0"/>
  </r>
  <r>
    <s v="L0243"/>
    <s v="Kiran Menon"/>
    <n v="36"/>
    <s v="F"/>
    <x v="1"/>
    <n v="1476667"/>
    <n v="1771494"/>
    <n v="7.85"/>
    <n v="96"/>
    <n v="611"/>
    <x v="3"/>
    <x v="1"/>
    <x v="231"/>
    <x v="2"/>
    <n v="24908.195382024325"/>
    <n v="2391186.7566743353"/>
    <n v="619692.75667433534"/>
    <n v="6"/>
    <x v="3"/>
  </r>
  <r>
    <s v="L0244"/>
    <s v="Meena George"/>
    <n v="58"/>
    <s v="F"/>
    <x v="0"/>
    <n v="1885070"/>
    <n v="1205646"/>
    <n v="10.96"/>
    <n v="60"/>
    <n v="801"/>
    <x v="3"/>
    <x v="1"/>
    <x v="232"/>
    <x v="0"/>
    <n v="26189.621166644716"/>
    <n v="1571377.2699986829"/>
    <n v="365731.2699986829"/>
    <n v="6"/>
    <x v="2"/>
  </r>
  <r>
    <s v="L0245"/>
    <s v="Arjun Mehta"/>
    <n v="53"/>
    <s v="M"/>
    <x v="2"/>
    <n v="1585642"/>
    <n v="281404"/>
    <n v="10.65"/>
    <n v="72"/>
    <n v="689"/>
    <x v="0"/>
    <x v="1"/>
    <x v="233"/>
    <x v="0"/>
    <n v="5305.9555750417612"/>
    <n v="382028.80140300683"/>
    <n v="100624.80140300683"/>
    <n v="3"/>
    <x v="0"/>
  </r>
  <r>
    <s v="L0246"/>
    <s v="Priya Singh"/>
    <n v="60"/>
    <s v="F"/>
    <x v="0"/>
    <n v="385786"/>
    <n v="681256"/>
    <n v="12.34"/>
    <n v="96"/>
    <n v="608"/>
    <x v="0"/>
    <x v="1"/>
    <x v="234"/>
    <x v="3"/>
    <n v="11200.004247933819"/>
    <n v="1075200.4078016467"/>
    <n v="393944.40780164674"/>
    <n v="4"/>
    <x v="3"/>
  </r>
  <r>
    <s v="L0247"/>
    <s v="Arjun Mehta"/>
    <n v="53"/>
    <s v="F"/>
    <x v="2"/>
    <n v="442485"/>
    <n v="833108"/>
    <n v="12.63"/>
    <n v="60"/>
    <n v="708"/>
    <x v="2"/>
    <x v="1"/>
    <x v="235"/>
    <x v="1"/>
    <n v="18798.345005325606"/>
    <n v="1127900.7003195363"/>
    <n v="294792.70031953626"/>
    <n v="5"/>
    <x v="1"/>
  </r>
  <r>
    <s v="L0248"/>
    <s v="Amit Yadav"/>
    <n v="32"/>
    <s v="M"/>
    <x v="0"/>
    <n v="789217"/>
    <n v="1525667"/>
    <n v="8.39"/>
    <n v="96"/>
    <n v="838"/>
    <x v="3"/>
    <x v="0"/>
    <x v="236"/>
    <x v="2"/>
    <n v="21871.510408789381"/>
    <n v="2099664.9992437805"/>
    <n v="573997.9992437805"/>
    <n v="5"/>
    <x v="2"/>
  </r>
  <r>
    <s v="L0249"/>
    <s v="Tanya Rao"/>
    <n v="43"/>
    <s v="M"/>
    <x v="1"/>
    <n v="1739785"/>
    <n v="1220098"/>
    <n v="14.53"/>
    <n v="84"/>
    <n v="625"/>
    <x v="2"/>
    <x v="1"/>
    <x v="237"/>
    <x v="3"/>
    <n v="23223.358221648941"/>
    <n v="1950762.090618511"/>
    <n v="730664.09061851096"/>
    <n v="4"/>
    <x v="3"/>
  </r>
  <r>
    <s v="L0250"/>
    <s v="Rina Kapoor"/>
    <n v="40"/>
    <s v="F"/>
    <x v="2"/>
    <n v="1474739"/>
    <n v="774808"/>
    <n v="8.86"/>
    <n v="36"/>
    <n v="849"/>
    <x v="2"/>
    <x v="1"/>
    <x v="238"/>
    <x v="2"/>
    <n v="24588.233524336392"/>
    <n v="885176.40687611012"/>
    <n v="110368.40687611012"/>
    <n v="5"/>
    <x v="2"/>
  </r>
  <r>
    <s v="L0251"/>
    <s v="Deepika Joshi"/>
    <n v="59"/>
    <s v="F"/>
    <x v="0"/>
    <n v="1820226"/>
    <n v="824976"/>
    <n v="10.18"/>
    <n v="72"/>
    <n v="603"/>
    <x v="1"/>
    <x v="0"/>
    <x v="239"/>
    <x v="0"/>
    <n v="15358.361304682943"/>
    <n v="1105802.013937172"/>
    <n v="280826.01393717201"/>
    <n v="6"/>
    <x v="3"/>
  </r>
  <r>
    <s v="L0252"/>
    <s v="Aarav Patel"/>
    <n v="30"/>
    <s v="M"/>
    <x v="2"/>
    <n v="458490"/>
    <n v="440148"/>
    <n v="7.74"/>
    <n v="60"/>
    <n v="749"/>
    <x v="2"/>
    <x v="0"/>
    <x v="240"/>
    <x v="0"/>
    <n v="8869.9466400961774"/>
    <n v="532196.79840577068"/>
    <n v="92048.798405770678"/>
    <n v="2"/>
    <x v="1"/>
  </r>
  <r>
    <s v="L0253"/>
    <s v="Amit Yadav"/>
    <n v="46"/>
    <s v="F"/>
    <x v="0"/>
    <n v="978564"/>
    <n v="1487661"/>
    <n v="14.38"/>
    <n v="60"/>
    <n v="729"/>
    <x v="3"/>
    <x v="1"/>
    <x v="241"/>
    <x v="3"/>
    <n v="34909.045318644348"/>
    <n v="2094542.7191186608"/>
    <n v="606881.71911866078"/>
    <n v="5"/>
    <x v="1"/>
  </r>
  <r>
    <s v="L0254"/>
    <s v="Sahil Gupta"/>
    <n v="55"/>
    <s v="F"/>
    <x v="1"/>
    <n v="1923304"/>
    <n v="443925"/>
    <n v="9.3699999999999992"/>
    <n v="48"/>
    <n v="693"/>
    <x v="2"/>
    <x v="1"/>
    <x v="242"/>
    <x v="3"/>
    <n v="11125.249674688681"/>
    <n v="534011.98438505665"/>
    <n v="90086.984385056654"/>
    <n v="3"/>
    <x v="0"/>
  </r>
  <r>
    <s v="L0255"/>
    <s v="Deepika Joshi"/>
    <n v="45"/>
    <s v="F"/>
    <x v="2"/>
    <n v="558648"/>
    <n v="1557739"/>
    <n v="7.75"/>
    <n v="120"/>
    <n v="770"/>
    <x v="0"/>
    <x v="1"/>
    <x v="243"/>
    <x v="1"/>
    <n v="18694.524055601672"/>
    <n v="2243342.8866722006"/>
    <n v="685603.88667220064"/>
    <n v="5"/>
    <x v="4"/>
  </r>
  <r>
    <s v="L0256"/>
    <s v="Isha Verma"/>
    <n v="44"/>
    <s v="M"/>
    <x v="1"/>
    <n v="584740"/>
    <n v="524951"/>
    <n v="8.17"/>
    <n v="120"/>
    <n v="745"/>
    <x v="3"/>
    <x v="1"/>
    <x v="244"/>
    <x v="0"/>
    <n v="6416.3574126166523"/>
    <n v="769962.88951399829"/>
    <n v="245011.88951399829"/>
    <n v="1"/>
    <x v="1"/>
  </r>
  <r>
    <s v="L0257"/>
    <s v="Isha Verma"/>
    <n v="30"/>
    <s v="M"/>
    <x v="1"/>
    <n v="1981170"/>
    <n v="681913"/>
    <n v="14.34"/>
    <n v="84"/>
    <n v="614"/>
    <x v="3"/>
    <x v="0"/>
    <x v="245"/>
    <x v="2"/>
    <n v="12907.477731710562"/>
    <n v="1084228.1294636871"/>
    <n v="402315.12946368707"/>
    <n v="3"/>
    <x v="3"/>
  </r>
  <r>
    <s v="L0258"/>
    <s v="Amit Yadav"/>
    <n v="31"/>
    <s v="F"/>
    <x v="1"/>
    <n v="1339270"/>
    <n v="320445"/>
    <n v="13.8"/>
    <n v="120"/>
    <n v="720"/>
    <x v="0"/>
    <x v="1"/>
    <x v="164"/>
    <x v="0"/>
    <n v="4936.9733766679774"/>
    <n v="592436.80520015734"/>
    <n v="271991.80520015734"/>
    <n v="3"/>
    <x v="1"/>
  </r>
  <r>
    <s v="L0259"/>
    <s v="Vikram Das"/>
    <n v="29"/>
    <s v="M"/>
    <x v="2"/>
    <n v="1343588"/>
    <n v="1933442"/>
    <n v="10.78"/>
    <n v="96"/>
    <n v="617"/>
    <x v="2"/>
    <x v="1"/>
    <x v="246"/>
    <x v="3"/>
    <n v="30142.383229675776"/>
    <n v="2893668.7900488744"/>
    <n v="960226.79004887445"/>
    <n v="1"/>
    <x v="3"/>
  </r>
  <r>
    <s v="L0260"/>
    <s v="Pooja Reddy"/>
    <n v="58"/>
    <s v="F"/>
    <x v="1"/>
    <n v="541640"/>
    <n v="756421"/>
    <n v="10.29"/>
    <n v="72"/>
    <n v="762"/>
    <x v="1"/>
    <x v="1"/>
    <x v="247"/>
    <x v="1"/>
    <n v="14124.205448786131"/>
    <n v="1016942.7923126015"/>
    <n v="260521.79231260146"/>
    <n v="6"/>
    <x v="4"/>
  </r>
  <r>
    <s v="L0261"/>
    <s v="Vikram Das"/>
    <n v="39"/>
    <s v="F"/>
    <x v="2"/>
    <n v="1461654"/>
    <n v="1747926"/>
    <n v="8.2799999999999994"/>
    <n v="120"/>
    <n v="612"/>
    <x v="0"/>
    <x v="1"/>
    <x v="142"/>
    <x v="0"/>
    <n v="21466.658381054094"/>
    <n v="2575999.0057264911"/>
    <n v="828073.0057264911"/>
    <n v="7"/>
    <x v="3"/>
  </r>
  <r>
    <s v="L0262"/>
    <s v="Rohit Khanna"/>
    <n v="40"/>
    <s v="M"/>
    <x v="0"/>
    <n v="762237"/>
    <n v="659502"/>
    <n v="9.14"/>
    <n v="48"/>
    <n v="706"/>
    <x v="2"/>
    <x v="0"/>
    <x v="248"/>
    <x v="1"/>
    <n v="16455.611824391362"/>
    <n v="789869.36757078534"/>
    <n v="130367.36757078534"/>
    <n v="4"/>
    <x v="1"/>
  </r>
  <r>
    <s v="L0263"/>
    <s v="Amit Yadav"/>
    <n v="50"/>
    <s v="F"/>
    <x v="0"/>
    <n v="796997"/>
    <n v="727190"/>
    <n v="14.35"/>
    <n v="48"/>
    <n v="798"/>
    <x v="0"/>
    <x v="1"/>
    <x v="249"/>
    <x v="0"/>
    <n v="19999.449364391559"/>
    <n v="959973.56949079479"/>
    <n v="232783.56949079479"/>
    <n v="7"/>
    <x v="4"/>
  </r>
  <r>
    <s v="L0264"/>
    <s v="Rohit Khanna"/>
    <n v="37"/>
    <s v="M"/>
    <x v="2"/>
    <n v="1599602"/>
    <n v="1479138"/>
    <n v="10.61"/>
    <n v="84"/>
    <n v="747"/>
    <x v="0"/>
    <x v="1"/>
    <x v="250"/>
    <x v="1"/>
    <n v="25024.15489474465"/>
    <n v="2102029.0111585506"/>
    <n v="622891.01115855062"/>
    <n v="5"/>
    <x v="1"/>
  </r>
  <r>
    <s v="L0265"/>
    <s v="Rohan Nair"/>
    <n v="45"/>
    <s v="M"/>
    <x v="0"/>
    <n v="1769247"/>
    <n v="533659"/>
    <n v="14.49"/>
    <n v="72"/>
    <n v="670"/>
    <x v="3"/>
    <x v="1"/>
    <x v="251"/>
    <x v="1"/>
    <n v="11136.948005976679"/>
    <n v="801860.25643032091"/>
    <n v="268201.25643032091"/>
    <n v="7"/>
    <x v="0"/>
  </r>
  <r>
    <s v="L0266"/>
    <s v="Tanya Rao"/>
    <n v="29"/>
    <s v="M"/>
    <x v="2"/>
    <n v="1663722"/>
    <n v="1828028"/>
    <n v="9.4700000000000006"/>
    <n v="72"/>
    <n v="831"/>
    <x v="2"/>
    <x v="0"/>
    <x v="252"/>
    <x v="0"/>
    <n v="33379.216006991192"/>
    <n v="2403303.552503366"/>
    <n v="575275.55250336602"/>
    <n v="6"/>
    <x v="2"/>
  </r>
  <r>
    <s v="L0267"/>
    <s v="Sneha Pillai"/>
    <n v="26"/>
    <s v="M"/>
    <x v="1"/>
    <n v="1278266"/>
    <n v="1189889"/>
    <n v="10.45"/>
    <n v="36"/>
    <n v="613"/>
    <x v="3"/>
    <x v="1"/>
    <x v="253"/>
    <x v="0"/>
    <n v="38646.252607345356"/>
    <n v="1391265.0938644328"/>
    <n v="201376.09386443277"/>
    <n v="1"/>
    <x v="3"/>
  </r>
  <r>
    <s v="L0268"/>
    <s v="Aarav Patel"/>
    <n v="26"/>
    <s v="M"/>
    <x v="0"/>
    <n v="1306382"/>
    <n v="1148343"/>
    <n v="13.71"/>
    <n v="120"/>
    <n v="643"/>
    <x v="0"/>
    <x v="1"/>
    <x v="254"/>
    <x v="0"/>
    <n v="17630.2263859657"/>
    <n v="2115627.1663158839"/>
    <n v="967284.16631588386"/>
    <n v="1"/>
    <x v="3"/>
  </r>
  <r>
    <s v="L0269"/>
    <s v="Kiran Menon"/>
    <n v="30"/>
    <s v="F"/>
    <x v="2"/>
    <n v="592365"/>
    <n v="1891906"/>
    <n v="9.11"/>
    <n v="36"/>
    <n v="679"/>
    <x v="2"/>
    <x v="1"/>
    <x v="255"/>
    <x v="2"/>
    <n v="60259.008697032594"/>
    <n v="2169324.3130931733"/>
    <n v="277418.31309317332"/>
    <n v="3"/>
    <x v="0"/>
  </r>
  <r>
    <s v="L0270"/>
    <s v="Amit Yadav"/>
    <n v="31"/>
    <s v="F"/>
    <x v="2"/>
    <n v="824064"/>
    <n v="387729"/>
    <n v="14.96"/>
    <n v="36"/>
    <n v="816"/>
    <x v="2"/>
    <x v="1"/>
    <x v="256"/>
    <x v="2"/>
    <n v="13433.159497022783"/>
    <n v="483593.74189282022"/>
    <n v="95864.741892820224"/>
    <n v="7"/>
    <x v="2"/>
  </r>
  <r>
    <s v="L0271"/>
    <s v="Vikram Das"/>
    <n v="27"/>
    <s v="M"/>
    <x v="0"/>
    <n v="1136922"/>
    <n v="1281040"/>
    <n v="14.34"/>
    <n v="48"/>
    <n v="782"/>
    <x v="0"/>
    <x v="1"/>
    <x v="257"/>
    <x v="1"/>
    <n v="35225.188234658868"/>
    <n v="1690809.0352636257"/>
    <n v="409769.03526362567"/>
    <n v="1"/>
    <x v="4"/>
  </r>
  <r>
    <s v="L0272"/>
    <s v="Rina Kapoor"/>
    <n v="37"/>
    <s v="M"/>
    <x v="2"/>
    <n v="1859055"/>
    <n v="1722974"/>
    <n v="9.0500000000000007"/>
    <n v="36"/>
    <n v="615"/>
    <x v="0"/>
    <x v="1"/>
    <x v="258"/>
    <x v="1"/>
    <n v="54830.216090461508"/>
    <n v="1973887.7792566144"/>
    <n v="250913.77925661439"/>
    <n v="4"/>
    <x v="3"/>
  </r>
  <r>
    <s v="L0273"/>
    <s v="Rohan Nair"/>
    <n v="36"/>
    <s v="F"/>
    <x v="1"/>
    <n v="430193"/>
    <n v="669753"/>
    <n v="11.94"/>
    <n v="72"/>
    <n v="764"/>
    <x v="0"/>
    <x v="1"/>
    <x v="259"/>
    <x v="0"/>
    <n v="13072.912158839867"/>
    <n v="941249.67543647042"/>
    <n v="271496.67543647042"/>
    <n v="5"/>
    <x v="4"/>
  </r>
  <r>
    <s v="L0274"/>
    <s v="Sneha Pillai"/>
    <n v="28"/>
    <s v="F"/>
    <x v="0"/>
    <n v="982281"/>
    <n v="377721"/>
    <n v="11.11"/>
    <n v="36"/>
    <n v="661"/>
    <x v="0"/>
    <x v="1"/>
    <x v="260"/>
    <x v="3"/>
    <n v="12385.786486811799"/>
    <n v="445888.3135252248"/>
    <n v="68167.313525224803"/>
    <n v="6"/>
    <x v="0"/>
  </r>
  <r>
    <s v="L0275"/>
    <s v="Pooja Reddy"/>
    <n v="46"/>
    <s v="F"/>
    <x v="0"/>
    <n v="754006"/>
    <n v="559139"/>
    <n v="13.45"/>
    <n v="84"/>
    <n v="789"/>
    <x v="1"/>
    <x v="1"/>
    <x v="261"/>
    <x v="0"/>
    <n v="10309.125914915256"/>
    <n v="865966.57685288147"/>
    <n v="306827.57685288147"/>
    <n v="6"/>
    <x v="4"/>
  </r>
  <r>
    <s v="L0276"/>
    <s v="Aditya Sharma"/>
    <n v="51"/>
    <s v="M"/>
    <x v="2"/>
    <n v="1868279"/>
    <n v="1192846"/>
    <n v="13.61"/>
    <n v="120"/>
    <n v="753"/>
    <x v="2"/>
    <x v="1"/>
    <x v="262"/>
    <x v="2"/>
    <n v="18242.208318055076"/>
    <n v="2189064.9981666091"/>
    <n v="996218.99816660909"/>
    <n v="2"/>
    <x v="4"/>
  </r>
  <r>
    <s v="L0277"/>
    <s v="Deepika Joshi"/>
    <n v="60"/>
    <s v="M"/>
    <x v="0"/>
    <n v="527361"/>
    <n v="1702176"/>
    <n v="11.42"/>
    <n v="36"/>
    <n v="646"/>
    <x v="2"/>
    <x v="1"/>
    <x v="263"/>
    <x v="1"/>
    <n v="56066.225348926782"/>
    <n v="2018384.1125613642"/>
    <n v="316208.11256136419"/>
    <n v="2"/>
    <x v="3"/>
  </r>
  <r>
    <s v="L0278"/>
    <s v="Meena George"/>
    <n v="39"/>
    <s v="M"/>
    <x v="2"/>
    <n v="1751174"/>
    <n v="1130921"/>
    <n v="10.38"/>
    <n v="84"/>
    <n v="827"/>
    <x v="3"/>
    <x v="1"/>
    <x v="264"/>
    <x v="1"/>
    <n v="18997.423427153088"/>
    <n v="1595783.5678808594"/>
    <n v="464862.56788085937"/>
    <n v="2"/>
    <x v="2"/>
  </r>
  <r>
    <s v="L0279"/>
    <s v="Raj Kumar"/>
    <n v="50"/>
    <s v="F"/>
    <x v="2"/>
    <n v="332084"/>
    <n v="499921"/>
    <n v="13.4"/>
    <n v="36"/>
    <n v="632"/>
    <x v="1"/>
    <x v="0"/>
    <x v="265"/>
    <x v="0"/>
    <n v="16940.792751399782"/>
    <n v="609868.53905039211"/>
    <n v="109947.53905039211"/>
    <n v="2"/>
    <x v="3"/>
  </r>
  <r>
    <s v="L0280"/>
    <s v="Isha Verma"/>
    <n v="35"/>
    <s v="M"/>
    <x v="1"/>
    <n v="944155"/>
    <n v="1357203"/>
    <n v="13.42"/>
    <n v="120"/>
    <n v="714"/>
    <x v="0"/>
    <x v="1"/>
    <x v="266"/>
    <x v="0"/>
    <n v="20602.095826275461"/>
    <n v="2472251.4991530553"/>
    <n v="1115048.4991530553"/>
    <n v="3"/>
    <x v="1"/>
  </r>
  <r>
    <s v="L0281"/>
    <s v="Mohit Jain"/>
    <n v="39"/>
    <s v="M"/>
    <x v="2"/>
    <n v="887148"/>
    <n v="650177"/>
    <n v="10.38"/>
    <n v="84"/>
    <n v="736"/>
    <x v="1"/>
    <x v="0"/>
    <x v="267"/>
    <x v="1"/>
    <n v="10921.795396491985"/>
    <n v="917430.81330532674"/>
    <n v="267253.81330532674"/>
    <n v="1"/>
    <x v="1"/>
  </r>
  <r>
    <s v="L0282"/>
    <s v="Aditya Sharma"/>
    <n v="31"/>
    <s v="M"/>
    <x v="1"/>
    <n v="1202153"/>
    <n v="1737339"/>
    <n v="14.06"/>
    <n v="84"/>
    <n v="750"/>
    <x v="0"/>
    <x v="1"/>
    <x v="268"/>
    <x v="1"/>
    <n v="32615.364309152385"/>
    <n v="2739690.6019688002"/>
    <n v="1002351.6019688002"/>
    <n v="1"/>
    <x v="4"/>
  </r>
  <r>
    <s v="L0283"/>
    <s v="Mohit Jain"/>
    <n v="44"/>
    <s v="F"/>
    <x v="2"/>
    <n v="1132417"/>
    <n v="908747"/>
    <n v="14.14"/>
    <n v="72"/>
    <n v="737"/>
    <x v="1"/>
    <x v="1"/>
    <x v="43"/>
    <x v="3"/>
    <n v="18793.596643542336"/>
    <n v="1353138.9583350483"/>
    <n v="444391.95833504829"/>
    <n v="2"/>
    <x v="1"/>
  </r>
  <r>
    <s v="L0284"/>
    <s v="Priya Singh"/>
    <n v="38"/>
    <s v="M"/>
    <x v="0"/>
    <n v="1235213"/>
    <n v="420323"/>
    <n v="11.16"/>
    <n v="48"/>
    <n v="679"/>
    <x v="0"/>
    <x v="1"/>
    <x v="269"/>
    <x v="1"/>
    <n v="10896.155952163295"/>
    <n v="523015.48570383817"/>
    <n v="102692.48570383817"/>
    <n v="1"/>
    <x v="0"/>
  </r>
  <r>
    <s v="L0285"/>
    <s v="Raj Kumar"/>
    <n v="27"/>
    <s v="F"/>
    <x v="0"/>
    <n v="1385278"/>
    <n v="1807067"/>
    <n v="8.7100000000000009"/>
    <n v="48"/>
    <n v="780"/>
    <x v="2"/>
    <x v="0"/>
    <x v="270"/>
    <x v="1"/>
    <n v="44720.514358194756"/>
    <n v="2146584.6891933484"/>
    <n v="339517.6891933484"/>
    <n v="5"/>
    <x v="4"/>
  </r>
  <r>
    <s v="L0286"/>
    <s v="Neha Sharma"/>
    <n v="52"/>
    <s v="M"/>
    <x v="0"/>
    <n v="1871184"/>
    <n v="1618811"/>
    <n v="11.35"/>
    <n v="60"/>
    <n v="621"/>
    <x v="2"/>
    <x v="1"/>
    <x v="271"/>
    <x v="1"/>
    <n v="35480.09250874049"/>
    <n v="2128805.5505244294"/>
    <n v="509994.55052442942"/>
    <n v="3"/>
    <x v="3"/>
  </r>
  <r>
    <s v="L0287"/>
    <s v="Sneha Pillai"/>
    <n v="46"/>
    <s v="M"/>
    <x v="2"/>
    <n v="1096211"/>
    <n v="1438101"/>
    <n v="7.82"/>
    <n v="72"/>
    <n v="706"/>
    <x v="2"/>
    <x v="1"/>
    <x v="272"/>
    <x v="1"/>
    <n v="25088.364891018573"/>
    <n v="1806362.2721533373"/>
    <n v="368261.27215333725"/>
    <n v="7"/>
    <x v="1"/>
  </r>
  <r>
    <s v="L0288"/>
    <s v="Aditya Sharma"/>
    <n v="32"/>
    <s v="F"/>
    <x v="2"/>
    <n v="1829321"/>
    <n v="1877118"/>
    <n v="13.39"/>
    <n v="84"/>
    <n v="610"/>
    <x v="2"/>
    <x v="1"/>
    <x v="273"/>
    <x v="1"/>
    <n v="34547.718449392713"/>
    <n v="2902008.3497489877"/>
    <n v="1024890.3497489877"/>
    <n v="1"/>
    <x v="3"/>
  </r>
  <r>
    <s v="L0289"/>
    <s v="Sahil Gupta"/>
    <n v="46"/>
    <s v="F"/>
    <x v="2"/>
    <n v="378112"/>
    <n v="215686"/>
    <n v="11.53"/>
    <n v="84"/>
    <n v="631"/>
    <x v="0"/>
    <x v="1"/>
    <x v="274"/>
    <x v="3"/>
    <n v="3753.4484156142689"/>
    <n v="315289.66691159859"/>
    <n v="99603.666911598586"/>
    <n v="3"/>
    <x v="3"/>
  </r>
  <r>
    <s v="L0290"/>
    <s v="Aditya Sharma"/>
    <n v="29"/>
    <s v="F"/>
    <x v="0"/>
    <n v="912273"/>
    <n v="1828652"/>
    <n v="10.14"/>
    <n v="120"/>
    <n v="841"/>
    <x v="1"/>
    <x v="1"/>
    <x v="275"/>
    <x v="3"/>
    <n v="24307.760942551195"/>
    <n v="2916931.3131061434"/>
    <n v="1088279.3131061434"/>
    <n v="1"/>
    <x v="2"/>
  </r>
  <r>
    <s v="L0291"/>
    <s v="Neha Sharma"/>
    <n v="42"/>
    <s v="M"/>
    <x v="0"/>
    <n v="476542"/>
    <n v="572604"/>
    <n v="13.08"/>
    <n v="72"/>
    <n v="744"/>
    <x v="2"/>
    <x v="1"/>
    <x v="276"/>
    <x v="0"/>
    <n v="11518.704109429958"/>
    <n v="829346.69587895705"/>
    <n v="256742.69587895705"/>
    <n v="1"/>
    <x v="1"/>
  </r>
  <r>
    <s v="L0292"/>
    <s v="Tanya Rao"/>
    <n v="33"/>
    <s v="F"/>
    <x v="1"/>
    <n v="1734345"/>
    <n v="1056585"/>
    <n v="8.7899999999999991"/>
    <n v="36"/>
    <n v="688"/>
    <x v="1"/>
    <x v="1"/>
    <x v="277"/>
    <x v="1"/>
    <n v="33495.948659512593"/>
    <n v="1205854.1517424532"/>
    <n v="149269.15174245322"/>
    <n v="6"/>
    <x v="0"/>
  </r>
  <r>
    <s v="L0293"/>
    <s v="Meena George"/>
    <n v="47"/>
    <s v="F"/>
    <x v="1"/>
    <n v="908599"/>
    <n v="1813094"/>
    <n v="8.7899999999999991"/>
    <n v="60"/>
    <n v="705"/>
    <x v="1"/>
    <x v="1"/>
    <x v="278"/>
    <x v="3"/>
    <n v="37452.328555640706"/>
    <n v="2247139.7133384421"/>
    <n v="434045.71333844215"/>
    <n v="7"/>
    <x v="1"/>
  </r>
  <r>
    <s v="L0294"/>
    <s v="Rohan Nair"/>
    <n v="59"/>
    <s v="M"/>
    <x v="0"/>
    <n v="1584436"/>
    <n v="1001691"/>
    <n v="13.47"/>
    <n v="72"/>
    <n v="781"/>
    <x v="2"/>
    <x v="1"/>
    <x v="279"/>
    <x v="0"/>
    <n v="20357.382719652323"/>
    <n v="1465731.5558149673"/>
    <n v="464040.55581496726"/>
    <n v="7"/>
    <x v="4"/>
  </r>
  <r>
    <s v="L0295"/>
    <s v="Mohit Jain"/>
    <n v="27"/>
    <s v="M"/>
    <x v="1"/>
    <n v="1714167"/>
    <n v="1541676"/>
    <n v="9.42"/>
    <n v="36"/>
    <n v="664"/>
    <x v="1"/>
    <x v="1"/>
    <x v="280"/>
    <x v="3"/>
    <n v="49326.796825400495"/>
    <n v="1775764.6857144178"/>
    <n v="234088.68571441784"/>
    <n v="4"/>
    <x v="0"/>
  </r>
  <r>
    <s v="L0296"/>
    <s v="Amit Yadav"/>
    <n v="36"/>
    <s v="M"/>
    <x v="1"/>
    <n v="1216383"/>
    <n v="1534738"/>
    <n v="10.15"/>
    <n v="96"/>
    <n v="771"/>
    <x v="0"/>
    <x v="1"/>
    <x v="281"/>
    <x v="3"/>
    <n v="23410.356485584354"/>
    <n v="2247394.2226160979"/>
    <n v="712656.22261609789"/>
    <n v="1"/>
    <x v="4"/>
  </r>
  <r>
    <s v="L0297"/>
    <s v="Kiran Menon"/>
    <n v="39"/>
    <s v="F"/>
    <x v="2"/>
    <n v="1139437"/>
    <n v="1261840"/>
    <n v="14.46"/>
    <n v="96"/>
    <n v="794"/>
    <x v="3"/>
    <x v="1"/>
    <x v="164"/>
    <x v="3"/>
    <n v="22251.675540165546"/>
    <n v="2136160.8518558927"/>
    <n v="874320.85185589269"/>
    <n v="3"/>
    <x v="4"/>
  </r>
  <r>
    <s v="L0298"/>
    <s v="Aarav Patel"/>
    <n v="35"/>
    <s v="M"/>
    <x v="1"/>
    <n v="1077741"/>
    <n v="1115970"/>
    <n v="10.43"/>
    <n v="36"/>
    <n v="641"/>
    <x v="1"/>
    <x v="1"/>
    <x v="282"/>
    <x v="3"/>
    <n v="36234.92803603728"/>
    <n v="1304457.4092973419"/>
    <n v="188487.40929734195"/>
    <n v="2"/>
    <x v="3"/>
  </r>
  <r>
    <s v="L0299"/>
    <s v="Mohit Jain"/>
    <n v="31"/>
    <s v="M"/>
    <x v="0"/>
    <n v="1776380"/>
    <n v="1435030"/>
    <n v="11.55"/>
    <n v="60"/>
    <n v="621"/>
    <x v="1"/>
    <x v="1"/>
    <x v="283"/>
    <x v="1"/>
    <n v="31596.084397042971"/>
    <n v="1895765.0638225782"/>
    <n v="460735.06382257817"/>
    <n v="4"/>
    <x v="3"/>
  </r>
  <r>
    <s v="L0300"/>
    <s v="Rohit Khanna"/>
    <n v="27"/>
    <s v="F"/>
    <x v="1"/>
    <n v="1404049"/>
    <n v="1387415"/>
    <n v="13.97"/>
    <n v="96"/>
    <n v="631"/>
    <x v="3"/>
    <x v="1"/>
    <x v="284"/>
    <x v="1"/>
    <n v="24077.799612595831"/>
    <n v="2311468.7628091997"/>
    <n v="924053.76280919975"/>
    <n v="3"/>
    <x v="3"/>
  </r>
  <r>
    <s v="L0301"/>
    <s v="Mohit Jain"/>
    <n v="49"/>
    <s v="M"/>
    <x v="1"/>
    <n v="1377011"/>
    <n v="709832"/>
    <n v="14.87"/>
    <n v="120"/>
    <n v="600"/>
    <x v="3"/>
    <x v="0"/>
    <x v="226"/>
    <x v="3"/>
    <n v="11395.627320729855"/>
    <n v="1367475.2784875825"/>
    <n v="657643.27848758246"/>
    <n v="2"/>
    <x v="3"/>
  </r>
  <r>
    <s v="L0302"/>
    <s v="Raj Kumar"/>
    <n v="30"/>
    <s v="M"/>
    <x v="0"/>
    <n v="1932582"/>
    <n v="1133056"/>
    <n v="10.87"/>
    <n v="48"/>
    <n v="609"/>
    <x v="3"/>
    <x v="0"/>
    <x v="285"/>
    <x v="2"/>
    <n v="29212.94392031795"/>
    <n v="1402221.3081752616"/>
    <n v="269165.3081752616"/>
    <n v="2"/>
    <x v="3"/>
  </r>
  <r>
    <s v="L0303"/>
    <s v="Kiran Menon"/>
    <n v="59"/>
    <s v="M"/>
    <x v="0"/>
    <n v="380934"/>
    <n v="448632"/>
    <n v="9.0299999999999994"/>
    <n v="96"/>
    <n v="711"/>
    <x v="2"/>
    <x v="1"/>
    <x v="286"/>
    <x v="2"/>
    <n v="6579.5341286498178"/>
    <n v="631635.27635038248"/>
    <n v="183003.27635038248"/>
    <n v="4"/>
    <x v="1"/>
  </r>
  <r>
    <s v="L0304"/>
    <s v="Arjun Mehta"/>
    <n v="56"/>
    <s v="F"/>
    <x v="0"/>
    <n v="1253137"/>
    <n v="936948"/>
    <n v="11.12"/>
    <n v="96"/>
    <n v="722"/>
    <x v="2"/>
    <x v="1"/>
    <x v="287"/>
    <x v="2"/>
    <n v="14778.689179326928"/>
    <n v="1418754.161215385"/>
    <n v="481806.16121538496"/>
    <n v="3"/>
    <x v="1"/>
  </r>
  <r>
    <s v="L0305"/>
    <s v="Raj Kumar"/>
    <n v="56"/>
    <s v="M"/>
    <x v="1"/>
    <n v="786706"/>
    <n v="667305"/>
    <n v="10.46"/>
    <n v="72"/>
    <n v="697"/>
    <x v="2"/>
    <x v="1"/>
    <x v="288"/>
    <x v="0"/>
    <n v="12517.73862474325"/>
    <n v="901277.18098151393"/>
    <n v="233972.18098151393"/>
    <n v="3"/>
    <x v="0"/>
  </r>
  <r>
    <s v="L0306"/>
    <s v="Mohit Jain"/>
    <n v="26"/>
    <s v="F"/>
    <x v="0"/>
    <n v="646896"/>
    <n v="762986"/>
    <n v="14.1"/>
    <n v="72"/>
    <n v="786"/>
    <x v="0"/>
    <x v="1"/>
    <x v="289"/>
    <x v="2"/>
    <n v="15762.775344950451"/>
    <n v="1134919.8248364325"/>
    <n v="371933.82483643247"/>
    <n v="4"/>
    <x v="4"/>
  </r>
  <r>
    <s v="L0307"/>
    <s v="Vikram Das"/>
    <n v="33"/>
    <s v="F"/>
    <x v="1"/>
    <n v="1259575"/>
    <n v="302450"/>
    <n v="12.01"/>
    <n v="84"/>
    <n v="744"/>
    <x v="1"/>
    <x v="0"/>
    <x v="290"/>
    <x v="3"/>
    <n v="5340.6866187215892"/>
    <n v="448617.67597261351"/>
    <n v="146167.67597261351"/>
    <n v="6"/>
    <x v="1"/>
  </r>
  <r>
    <s v="L0308"/>
    <s v="Priya Singh"/>
    <n v="36"/>
    <s v="F"/>
    <x v="0"/>
    <n v="1938825"/>
    <n v="856338"/>
    <n v="7.77"/>
    <n v="48"/>
    <n v="682"/>
    <x v="2"/>
    <x v="1"/>
    <x v="291"/>
    <x v="3"/>
    <n v="20813.383989183651"/>
    <n v="999042.43148081517"/>
    <n v="142704.43148081517"/>
    <n v="5"/>
    <x v="0"/>
  </r>
  <r>
    <s v="L0309"/>
    <s v="Deepika Joshi"/>
    <n v="58"/>
    <s v="M"/>
    <x v="0"/>
    <n v="578660"/>
    <n v="1946878"/>
    <n v="7.93"/>
    <n v="72"/>
    <n v="735"/>
    <x v="1"/>
    <x v="1"/>
    <x v="189"/>
    <x v="1"/>
    <n v="34068.57609934223"/>
    <n v="2452937.4791526403"/>
    <n v="506059.47915264033"/>
    <n v="1"/>
    <x v="1"/>
  </r>
  <r>
    <s v="L0310"/>
    <s v="Pooja Reddy"/>
    <n v="54"/>
    <s v="F"/>
    <x v="1"/>
    <n v="921211"/>
    <n v="547497"/>
    <n v="14.28"/>
    <n v="36"/>
    <n v="845"/>
    <x v="2"/>
    <x v="1"/>
    <x v="292"/>
    <x v="0"/>
    <n v="18786.692010171788"/>
    <n v="676320.91236618441"/>
    <n v="128823.91236618441"/>
    <n v="2"/>
    <x v="2"/>
  </r>
  <r>
    <s v="L0311"/>
    <s v="Pooja Reddy"/>
    <n v="47"/>
    <s v="F"/>
    <x v="1"/>
    <n v="1593534"/>
    <n v="1456245"/>
    <n v="13.8"/>
    <n v="84"/>
    <n v="806"/>
    <x v="0"/>
    <x v="1"/>
    <x v="293"/>
    <x v="2"/>
    <n v="27129.410891938911"/>
    <n v="2278870.5149228685"/>
    <n v="822625.51492286846"/>
    <n v="6"/>
    <x v="2"/>
  </r>
  <r>
    <s v="L0312"/>
    <s v="Aditya Sharma"/>
    <n v="60"/>
    <s v="F"/>
    <x v="0"/>
    <n v="759438"/>
    <n v="1565899"/>
    <n v="12.12"/>
    <n v="48"/>
    <n v="810"/>
    <x v="1"/>
    <x v="1"/>
    <x v="294"/>
    <x v="0"/>
    <n v="41328.447947046589"/>
    <n v="1983765.5014582362"/>
    <n v="417866.50145823625"/>
    <n v="3"/>
    <x v="2"/>
  </r>
  <r>
    <s v="L0313"/>
    <s v="Sneha Pillai"/>
    <n v="39"/>
    <s v="M"/>
    <x v="2"/>
    <n v="475452"/>
    <n v="932257"/>
    <n v="14.74"/>
    <n v="84"/>
    <n v="850"/>
    <x v="1"/>
    <x v="0"/>
    <x v="295"/>
    <x v="0"/>
    <n v="17853.814304391071"/>
    <n v="1499720.40156885"/>
    <n v="567463.40156885004"/>
    <n v="2"/>
    <x v="2"/>
  </r>
  <r>
    <s v="L0314"/>
    <s v="Arjun Mehta"/>
    <n v="35"/>
    <s v="F"/>
    <x v="2"/>
    <n v="729012"/>
    <n v="1973709"/>
    <n v="10.07"/>
    <n v="36"/>
    <n v="619"/>
    <x v="3"/>
    <x v="1"/>
    <x v="296"/>
    <x v="1"/>
    <n v="63750.922630364177"/>
    <n v="2295033.2146931104"/>
    <n v="321324.21469311044"/>
    <n v="5"/>
    <x v="3"/>
  </r>
  <r>
    <s v="L0315"/>
    <s v="Sneha Pillai"/>
    <n v="52"/>
    <s v="F"/>
    <x v="2"/>
    <n v="1589250"/>
    <n v="935018"/>
    <n v="8.85"/>
    <n v="48"/>
    <n v="704"/>
    <x v="2"/>
    <x v="1"/>
    <x v="297"/>
    <x v="0"/>
    <n v="23201.422803560083"/>
    <n v="1113668.294570884"/>
    <n v="178650.29457088397"/>
    <n v="2"/>
    <x v="1"/>
  </r>
  <r>
    <s v="L0316"/>
    <s v="Rina Kapoor"/>
    <n v="42"/>
    <s v="M"/>
    <x v="0"/>
    <n v="1649428"/>
    <n v="1232390"/>
    <n v="11.33"/>
    <n v="60"/>
    <n v="630"/>
    <x v="1"/>
    <x v="1"/>
    <x v="298"/>
    <x v="0"/>
    <n v="26998.40969423507"/>
    <n v="1619904.5816541042"/>
    <n v="387514.58165410417"/>
    <n v="5"/>
    <x v="3"/>
  </r>
  <r>
    <s v="L0317"/>
    <s v="Kiran Menon"/>
    <n v="30"/>
    <s v="F"/>
    <x v="2"/>
    <n v="499411"/>
    <n v="1742151"/>
    <n v="7.96"/>
    <n v="72"/>
    <n v="794"/>
    <x v="3"/>
    <x v="1"/>
    <x v="299"/>
    <x v="0"/>
    <n v="30511.53797727358"/>
    <n v="2196830.7343636979"/>
    <n v="454679.73436369793"/>
    <n v="3"/>
    <x v="4"/>
  </r>
  <r>
    <s v="L0318"/>
    <s v="Mohit Jain"/>
    <n v="54"/>
    <s v="F"/>
    <x v="0"/>
    <n v="779650"/>
    <n v="1742884"/>
    <n v="12.57"/>
    <n v="72"/>
    <n v="660"/>
    <x v="2"/>
    <x v="0"/>
    <x v="300"/>
    <x v="3"/>
    <n v="34592.538243351672"/>
    <n v="2490662.7535213204"/>
    <n v="747778.75352132041"/>
    <n v="7"/>
    <x v="0"/>
  </r>
  <r>
    <s v="L0319"/>
    <s v="Vikram Das"/>
    <n v="53"/>
    <s v="M"/>
    <x v="2"/>
    <n v="1524553"/>
    <n v="373288"/>
    <n v="9.3699999999999992"/>
    <n v="96"/>
    <n v="620"/>
    <x v="2"/>
    <x v="1"/>
    <x v="301"/>
    <x v="2"/>
    <n v="5540.661291483133"/>
    <n v="531903.48398238071"/>
    <n v="158615.48398238071"/>
    <n v="2"/>
    <x v="3"/>
  </r>
  <r>
    <s v="L0320"/>
    <s v="Mohit Jain"/>
    <n v="42"/>
    <s v="M"/>
    <x v="1"/>
    <n v="484498"/>
    <n v="1669641"/>
    <n v="9.84"/>
    <n v="84"/>
    <n v="813"/>
    <x v="1"/>
    <x v="1"/>
    <x v="302"/>
    <x v="1"/>
    <n v="27580.181718263717"/>
    <n v="2316735.2643341525"/>
    <n v="647094.26433415245"/>
    <n v="7"/>
    <x v="2"/>
  </r>
  <r>
    <s v="L0321"/>
    <s v="Sneha Pillai"/>
    <n v="49"/>
    <s v="F"/>
    <x v="0"/>
    <n v="1943586"/>
    <n v="302147"/>
    <n v="10.28"/>
    <n v="36"/>
    <n v="801"/>
    <x v="3"/>
    <x v="0"/>
    <x v="303"/>
    <x v="1"/>
    <n v="9789.2018259986471"/>
    <n v="352411.26573595131"/>
    <n v="50264.26573595131"/>
    <n v="3"/>
    <x v="2"/>
  </r>
  <r>
    <s v="L0322"/>
    <s v="Priya Singh"/>
    <n v="43"/>
    <s v="F"/>
    <x v="2"/>
    <n v="1698666"/>
    <n v="1527380"/>
    <n v="12.91"/>
    <n v="36"/>
    <n v="626"/>
    <x v="1"/>
    <x v="1"/>
    <x v="304"/>
    <x v="3"/>
    <n v="51397.282047952031"/>
    <n v="1850302.1537262732"/>
    <n v="322922.15372627322"/>
    <n v="7"/>
    <x v="3"/>
  </r>
  <r>
    <s v="L0323"/>
    <s v="Isha Verma"/>
    <n v="36"/>
    <s v="F"/>
    <x v="2"/>
    <n v="449321"/>
    <n v="1858082"/>
    <n v="13.82"/>
    <n v="36"/>
    <n v="668"/>
    <x v="1"/>
    <x v="1"/>
    <x v="305"/>
    <x v="0"/>
    <n v="63342.518142747256"/>
    <n v="2280330.6531389011"/>
    <n v="422248.65313890111"/>
    <n v="2"/>
    <x v="0"/>
  </r>
  <r>
    <s v="L0324"/>
    <s v="Sneha Pillai"/>
    <n v="46"/>
    <s v="F"/>
    <x v="1"/>
    <n v="1747909"/>
    <n v="1584139"/>
    <n v="12.89"/>
    <n v="84"/>
    <n v="719"/>
    <x v="1"/>
    <x v="1"/>
    <x v="306"/>
    <x v="2"/>
    <n v="28723.9476642847"/>
    <n v="2412811.6037999149"/>
    <n v="828672.60379991494"/>
    <n v="7"/>
    <x v="1"/>
  </r>
  <r>
    <s v="L0325"/>
    <s v="Arjun Mehta"/>
    <n v="54"/>
    <s v="F"/>
    <x v="2"/>
    <n v="612005"/>
    <n v="1804005"/>
    <n v="11.87"/>
    <n v="84"/>
    <n v="839"/>
    <x v="1"/>
    <x v="1"/>
    <x v="307"/>
    <x v="0"/>
    <n v="31720.337006092806"/>
    <n v="2664508.3085117959"/>
    <n v="860503.30851179594"/>
    <n v="7"/>
    <x v="2"/>
  </r>
  <r>
    <s v="L0326"/>
    <s v="Rohan Nair"/>
    <n v="46"/>
    <s v="F"/>
    <x v="2"/>
    <n v="1535501"/>
    <n v="1182896"/>
    <n v="13.19"/>
    <n v="84"/>
    <n v="773"/>
    <x v="2"/>
    <x v="1"/>
    <x v="308"/>
    <x v="2"/>
    <n v="21641.576367208825"/>
    <n v="1817892.4148455414"/>
    <n v="634996.41484554135"/>
    <n v="3"/>
    <x v="4"/>
  </r>
  <r>
    <s v="L0327"/>
    <s v="Sahil Gupta"/>
    <n v="50"/>
    <s v="F"/>
    <x v="1"/>
    <n v="464651"/>
    <n v="1977272"/>
    <n v="14.33"/>
    <n v="48"/>
    <n v="695"/>
    <x v="0"/>
    <x v="1"/>
    <x v="309"/>
    <x v="2"/>
    <n v="54359.760347835901"/>
    <n v="2609268.4966961234"/>
    <n v="631996.49669612339"/>
    <n v="2"/>
    <x v="0"/>
  </r>
  <r>
    <s v="L0328"/>
    <s v="Amit Yadav"/>
    <n v="42"/>
    <s v="F"/>
    <x v="1"/>
    <n v="1709026"/>
    <n v="833021"/>
    <n v="14.22"/>
    <n v="60"/>
    <n v="693"/>
    <x v="0"/>
    <x v="1"/>
    <x v="293"/>
    <x v="3"/>
    <n v="19478.08378540475"/>
    <n v="1168685.027124285"/>
    <n v="335664.027124285"/>
    <n v="6"/>
    <x v="0"/>
  </r>
  <r>
    <s v="L0329"/>
    <s v="Rohit Khanna"/>
    <n v="42"/>
    <s v="F"/>
    <x v="2"/>
    <n v="434443"/>
    <n v="1131625"/>
    <n v="12.94"/>
    <n v="120"/>
    <n v="775"/>
    <x v="1"/>
    <x v="1"/>
    <x v="310"/>
    <x v="1"/>
    <n v="16856.352618719266"/>
    <n v="2022762.3142463118"/>
    <n v="891137.31424631178"/>
    <n v="6"/>
    <x v="4"/>
  </r>
  <r>
    <s v="L0330"/>
    <s v="Amit Yadav"/>
    <n v="37"/>
    <s v="M"/>
    <x v="1"/>
    <n v="1375023"/>
    <n v="1285499"/>
    <n v="8.92"/>
    <n v="84"/>
    <n v="753"/>
    <x v="3"/>
    <x v="1"/>
    <x v="311"/>
    <x v="0"/>
    <n v="20630.340779255865"/>
    <n v="1732948.6254574927"/>
    <n v="447449.62545749266"/>
    <n v="3"/>
    <x v="4"/>
  </r>
  <r>
    <s v="L0331"/>
    <s v="Rohit Khanna"/>
    <n v="47"/>
    <s v="M"/>
    <x v="0"/>
    <n v="1624187"/>
    <n v="590513"/>
    <n v="8.91"/>
    <n v="72"/>
    <n v="600"/>
    <x v="0"/>
    <x v="1"/>
    <x v="312"/>
    <x v="1"/>
    <n v="10617.956269020557"/>
    <n v="764492.85136948014"/>
    <n v="173979.85136948014"/>
    <n v="5"/>
    <x v="3"/>
  </r>
  <r>
    <s v="L0332"/>
    <s v="Aditya Sharma"/>
    <n v="43"/>
    <s v="F"/>
    <x v="0"/>
    <n v="558566"/>
    <n v="858928"/>
    <n v="11.4"/>
    <n v="96"/>
    <n v="830"/>
    <x v="3"/>
    <x v="1"/>
    <x v="313"/>
    <x v="1"/>
    <n v="13678.412938795373"/>
    <n v="1313127.6421243558"/>
    <n v="454199.64212435577"/>
    <n v="4"/>
    <x v="2"/>
  </r>
  <r>
    <s v="L0333"/>
    <s v="Pooja Reddy"/>
    <n v="57"/>
    <s v="M"/>
    <x v="2"/>
    <n v="1836265"/>
    <n v="1937610"/>
    <n v="14.53"/>
    <n v="60"/>
    <n v="723"/>
    <x v="3"/>
    <x v="0"/>
    <x v="205"/>
    <x v="2"/>
    <n v="45618.96280758435"/>
    <n v="2737137.7684550611"/>
    <n v="799527.76845506113"/>
    <n v="6"/>
    <x v="1"/>
  </r>
  <r>
    <s v="L0334"/>
    <s v="Rina Kapoor"/>
    <n v="48"/>
    <s v="F"/>
    <x v="1"/>
    <n v="1703925"/>
    <n v="755003"/>
    <n v="13.89"/>
    <n v="84"/>
    <n v="778"/>
    <x v="0"/>
    <x v="1"/>
    <x v="314"/>
    <x v="0"/>
    <n v="14102.926334531739"/>
    <n v="1184645.8121006661"/>
    <n v="429642.81210066611"/>
    <n v="1"/>
    <x v="4"/>
  </r>
  <r>
    <s v="L0335"/>
    <s v="Neha Sharma"/>
    <n v="36"/>
    <s v="M"/>
    <x v="2"/>
    <n v="588697"/>
    <n v="203725"/>
    <n v="13.38"/>
    <n v="72"/>
    <n v="740"/>
    <x v="1"/>
    <x v="0"/>
    <x v="315"/>
    <x v="3"/>
    <n v="4130.5693940390893"/>
    <n v="297400.99637081445"/>
    <n v="93675.99637081445"/>
    <n v="3"/>
    <x v="1"/>
  </r>
  <r>
    <s v="L0336"/>
    <s v="Kiran Menon"/>
    <n v="44"/>
    <s v="F"/>
    <x v="2"/>
    <n v="571979"/>
    <n v="1514497"/>
    <n v="13.69"/>
    <n v="72"/>
    <n v="746"/>
    <x v="3"/>
    <x v="0"/>
    <x v="316"/>
    <x v="1"/>
    <n v="30956.488138106568"/>
    <n v="2228867.1459436729"/>
    <n v="714370.14594367286"/>
    <n v="2"/>
    <x v="1"/>
  </r>
  <r>
    <s v="L0337"/>
    <s v="Mohit Jain"/>
    <n v="26"/>
    <s v="M"/>
    <x v="1"/>
    <n v="1502348"/>
    <n v="568710"/>
    <n v="8.66"/>
    <n v="84"/>
    <n v="601"/>
    <x v="0"/>
    <x v="1"/>
    <x v="317"/>
    <x v="1"/>
    <n v="9052.1929304312307"/>
    <n v="760384.20615622343"/>
    <n v="191674.20615622343"/>
    <n v="3"/>
    <x v="3"/>
  </r>
  <r>
    <s v="L0338"/>
    <s v="Rina Kapoor"/>
    <n v="53"/>
    <s v="M"/>
    <x v="2"/>
    <n v="686524"/>
    <n v="552936"/>
    <n v="11.1"/>
    <n v="72"/>
    <n v="732"/>
    <x v="2"/>
    <x v="1"/>
    <x v="318"/>
    <x v="2"/>
    <n v="10552.970047425928"/>
    <n v="759813.84341466683"/>
    <n v="206877.84341466683"/>
    <n v="6"/>
    <x v="1"/>
  </r>
  <r>
    <s v="L0339"/>
    <s v="Rohan Nair"/>
    <n v="26"/>
    <s v="F"/>
    <x v="1"/>
    <n v="1096586"/>
    <n v="1303094"/>
    <n v="12.64"/>
    <n v="96"/>
    <n v="716"/>
    <x v="3"/>
    <x v="0"/>
    <x v="319"/>
    <x v="0"/>
    <n v="21639.862613361543"/>
    <n v="2077426.8108827081"/>
    <n v="774332.81088270806"/>
    <n v="6"/>
    <x v="1"/>
  </r>
  <r>
    <s v="L0340"/>
    <s v="Rohan Nair"/>
    <n v="43"/>
    <s v="M"/>
    <x v="0"/>
    <n v="1753716"/>
    <n v="591220"/>
    <n v="13.88"/>
    <n v="36"/>
    <n v="832"/>
    <x v="3"/>
    <x v="1"/>
    <x v="263"/>
    <x v="0"/>
    <n v="20172.057375817647"/>
    <n v="726194.06552943529"/>
    <n v="134974.06552943529"/>
    <n v="2"/>
    <x v="2"/>
  </r>
  <r>
    <s v="L0341"/>
    <s v="Kiran Menon"/>
    <n v="44"/>
    <s v="M"/>
    <x v="0"/>
    <n v="515599"/>
    <n v="880447"/>
    <n v="14.99"/>
    <n v="48"/>
    <n v="639"/>
    <x v="1"/>
    <x v="0"/>
    <x v="320"/>
    <x v="1"/>
    <n v="24499.036000108586"/>
    <n v="1175953.7280052123"/>
    <n v="295506.72800521227"/>
    <n v="5"/>
    <x v="3"/>
  </r>
  <r>
    <s v="L0342"/>
    <s v="Aditya Sharma"/>
    <n v="47"/>
    <s v="M"/>
    <x v="0"/>
    <n v="1597950"/>
    <n v="465650"/>
    <n v="9.35"/>
    <n v="48"/>
    <n v="754"/>
    <x v="3"/>
    <x v="0"/>
    <x v="321"/>
    <x v="2"/>
    <n v="11665.261820970753"/>
    <n v="559932.56740659615"/>
    <n v="94282.56740659615"/>
    <n v="5"/>
    <x v="4"/>
  </r>
  <r>
    <s v="L0343"/>
    <s v="Rohit Khanna"/>
    <n v="42"/>
    <s v="F"/>
    <x v="1"/>
    <n v="1160390"/>
    <n v="479958"/>
    <n v="9.48"/>
    <n v="36"/>
    <n v="639"/>
    <x v="1"/>
    <x v="1"/>
    <x v="322"/>
    <x v="2"/>
    <n v="15369.98370784172"/>
    <n v="553319.41348230198"/>
    <n v="73361.413482301985"/>
    <n v="6"/>
    <x v="3"/>
  </r>
  <r>
    <s v="L0344"/>
    <s v="Neha Sharma"/>
    <n v="27"/>
    <s v="F"/>
    <x v="1"/>
    <n v="1510960"/>
    <n v="665120"/>
    <n v="8.11"/>
    <n v="72"/>
    <n v="843"/>
    <x v="1"/>
    <x v="1"/>
    <x v="323"/>
    <x v="1"/>
    <n v="11697.465167836483"/>
    <n v="842217.4920842268"/>
    <n v="177097.4920842268"/>
    <n v="5"/>
    <x v="2"/>
  </r>
  <r>
    <s v="L0345"/>
    <s v="Rohit Khanna"/>
    <n v="31"/>
    <s v="M"/>
    <x v="0"/>
    <n v="1099737"/>
    <n v="893867"/>
    <n v="9.76"/>
    <n v="84"/>
    <n v="624"/>
    <x v="0"/>
    <x v="1"/>
    <x v="324"/>
    <x v="2"/>
    <n v="14728.640533046808"/>
    <n v="1237205.8047759319"/>
    <n v="343338.80477593187"/>
    <n v="2"/>
    <x v="3"/>
  </r>
  <r>
    <s v="L0346"/>
    <s v="Isha Verma"/>
    <n v="49"/>
    <s v="M"/>
    <x v="2"/>
    <n v="645810"/>
    <n v="811793"/>
    <n v="10.17"/>
    <n v="72"/>
    <n v="771"/>
    <x v="2"/>
    <x v="0"/>
    <x v="325"/>
    <x v="0"/>
    <n v="15108.831861234354"/>
    <n v="1087835.8940088735"/>
    <n v="276042.8940088735"/>
    <n v="2"/>
    <x v="4"/>
  </r>
  <r>
    <s v="L0347"/>
    <s v="Mohit Jain"/>
    <n v="43"/>
    <s v="F"/>
    <x v="0"/>
    <n v="1172017"/>
    <n v="247775"/>
    <n v="12.27"/>
    <n v="96"/>
    <n v="633"/>
    <x v="2"/>
    <x v="1"/>
    <x v="326"/>
    <x v="2"/>
    <n v="4063.8951820662137"/>
    <n v="390133.93747835653"/>
    <n v="142358.93747835653"/>
    <n v="6"/>
    <x v="3"/>
  </r>
  <r>
    <s v="L0348"/>
    <s v="Rina Kapoor"/>
    <n v="33"/>
    <s v="F"/>
    <x v="2"/>
    <n v="756807"/>
    <n v="675019"/>
    <n v="10.18"/>
    <n v="96"/>
    <n v="773"/>
    <x v="0"/>
    <x v="1"/>
    <x v="119"/>
    <x v="3"/>
    <n v="10307.253316181992"/>
    <n v="989496.31835347123"/>
    <n v="314477.31835347123"/>
    <n v="3"/>
    <x v="4"/>
  </r>
  <r>
    <s v="L0349"/>
    <s v="Sahil Gupta"/>
    <n v="32"/>
    <s v="F"/>
    <x v="0"/>
    <n v="679436"/>
    <n v="376416"/>
    <n v="14.8"/>
    <n v="60"/>
    <n v="664"/>
    <x v="3"/>
    <x v="0"/>
    <x v="141"/>
    <x v="1"/>
    <n v="8915.4418168078828"/>
    <n v="534926.50900847302"/>
    <n v="158510.50900847302"/>
    <n v="5"/>
    <x v="0"/>
  </r>
  <r>
    <s v="L0350"/>
    <s v="Raj Kumar"/>
    <n v="58"/>
    <s v="M"/>
    <x v="0"/>
    <n v="711399"/>
    <n v="1156661"/>
    <n v="12.69"/>
    <n v="36"/>
    <n v="631"/>
    <x v="0"/>
    <x v="1"/>
    <x v="179"/>
    <x v="0"/>
    <n v="38799.997372926773"/>
    <n v="1396799.9054253639"/>
    <n v="240138.90542536392"/>
    <n v="7"/>
    <x v="3"/>
  </r>
  <r>
    <s v="L0351"/>
    <s v="Mohit Jain"/>
    <n v="33"/>
    <s v="M"/>
    <x v="1"/>
    <n v="1949931"/>
    <n v="213275"/>
    <n v="14.89"/>
    <n v="120"/>
    <n v="637"/>
    <x v="2"/>
    <x v="1"/>
    <x v="327"/>
    <x v="1"/>
    <n v="3426.5186800882652"/>
    <n v="411182.24161059182"/>
    <n v="197907.24161059182"/>
    <n v="5"/>
    <x v="3"/>
  </r>
  <r>
    <s v="L0352"/>
    <s v="Raj Kumar"/>
    <n v="31"/>
    <s v="F"/>
    <x v="2"/>
    <n v="1199964"/>
    <n v="754177"/>
    <n v="10.119999999999999"/>
    <n v="60"/>
    <n v="662"/>
    <x v="3"/>
    <x v="1"/>
    <x v="328"/>
    <x v="0"/>
    <n v="16068.599053733975"/>
    <n v="964115.94322403846"/>
    <n v="209938.94322403846"/>
    <n v="7"/>
    <x v="0"/>
  </r>
  <r>
    <s v="L0353"/>
    <s v="Aditya Sharma"/>
    <n v="56"/>
    <s v="M"/>
    <x v="1"/>
    <n v="1123836"/>
    <n v="660140"/>
    <n v="10.4"/>
    <n v="96"/>
    <n v="756"/>
    <x v="3"/>
    <x v="1"/>
    <x v="329"/>
    <x v="2"/>
    <n v="10157.336932381082"/>
    <n v="975104.34550858382"/>
    <n v="314964.34550858382"/>
    <n v="4"/>
    <x v="4"/>
  </r>
  <r>
    <s v="L0354"/>
    <s v="Sneha Pillai"/>
    <n v="45"/>
    <s v="F"/>
    <x v="0"/>
    <n v="1771788"/>
    <n v="1433760"/>
    <n v="10.29"/>
    <n v="72"/>
    <n v="765"/>
    <x v="3"/>
    <x v="1"/>
    <x v="330"/>
    <x v="2"/>
    <n v="26771.759118601418"/>
    <n v="1927566.6565393021"/>
    <n v="493806.65653930209"/>
    <n v="6"/>
    <x v="4"/>
  </r>
  <r>
    <s v="L0355"/>
    <s v="Rohit Khanna"/>
    <n v="47"/>
    <s v="F"/>
    <x v="2"/>
    <n v="373308"/>
    <n v="1407143"/>
    <n v="13.35"/>
    <n v="84"/>
    <n v="734"/>
    <x v="0"/>
    <x v="0"/>
    <x v="331"/>
    <x v="3"/>
    <n v="25867.204956346843"/>
    <n v="2172845.2163331346"/>
    <n v="765702.21633313457"/>
    <n v="7"/>
    <x v="1"/>
  </r>
  <r>
    <s v="L0356"/>
    <s v="Rohan Nair"/>
    <n v="56"/>
    <s v="M"/>
    <x v="0"/>
    <n v="568441"/>
    <n v="467538"/>
    <n v="8.5399999999999991"/>
    <n v="48"/>
    <n v="747"/>
    <x v="2"/>
    <x v="1"/>
    <x v="332"/>
    <x v="3"/>
    <n v="11532.84986626745"/>
    <n v="553576.79358083755"/>
    <n v="86038.793580837548"/>
    <n v="7"/>
    <x v="1"/>
  </r>
  <r>
    <s v="L0357"/>
    <s v="Meena George"/>
    <n v="30"/>
    <s v="F"/>
    <x v="0"/>
    <n v="755650"/>
    <n v="391108"/>
    <n v="11.66"/>
    <n v="96"/>
    <n v="737"/>
    <x v="3"/>
    <x v="1"/>
    <x v="333"/>
    <x v="3"/>
    <n v="6283.7798094593963"/>
    <n v="603242.86170810205"/>
    <n v="212134.86170810205"/>
    <n v="6"/>
    <x v="1"/>
  </r>
  <r>
    <s v="L0358"/>
    <s v="Rina Kapoor"/>
    <n v="45"/>
    <s v="F"/>
    <x v="1"/>
    <n v="1729050"/>
    <n v="1087215"/>
    <n v="13.49"/>
    <n v="48"/>
    <n v="712"/>
    <x v="1"/>
    <x v="0"/>
    <x v="334"/>
    <x v="0"/>
    <n v="29432.359743315879"/>
    <n v="1412753.2676791623"/>
    <n v="325538.26767916232"/>
    <n v="6"/>
    <x v="1"/>
  </r>
  <r>
    <s v="L0359"/>
    <s v="Neha Sharma"/>
    <n v="31"/>
    <s v="M"/>
    <x v="0"/>
    <n v="1400389"/>
    <n v="852564"/>
    <n v="12.97"/>
    <n v="84"/>
    <n v="733"/>
    <x v="3"/>
    <x v="1"/>
    <x v="207"/>
    <x v="3"/>
    <n v="15495.911292138526"/>
    <n v="1301656.5485396362"/>
    <n v="449092.54853963619"/>
    <n v="3"/>
    <x v="1"/>
  </r>
  <r>
    <s v="L0360"/>
    <s v="Priya Singh"/>
    <n v="54"/>
    <s v="F"/>
    <x v="2"/>
    <n v="960425"/>
    <n v="1676616"/>
    <n v="13.57"/>
    <n v="36"/>
    <n v="666"/>
    <x v="3"/>
    <x v="1"/>
    <x v="335"/>
    <x v="0"/>
    <n v="56953.228251500601"/>
    <n v="2050316.2170540215"/>
    <n v="373700.21705402154"/>
    <n v="6"/>
    <x v="0"/>
  </r>
  <r>
    <s v="L0361"/>
    <s v="Raj Kumar"/>
    <n v="41"/>
    <s v="M"/>
    <x v="0"/>
    <n v="1170980"/>
    <n v="816588"/>
    <n v="12.31"/>
    <n v="84"/>
    <n v="767"/>
    <x v="3"/>
    <x v="1"/>
    <x v="336"/>
    <x v="1"/>
    <n v="14550.735898010887"/>
    <n v="1222261.8154329145"/>
    <n v="405673.81543291453"/>
    <n v="4"/>
    <x v="4"/>
  </r>
  <r>
    <s v="L0362"/>
    <s v="Vikram Das"/>
    <n v="50"/>
    <s v="F"/>
    <x v="2"/>
    <n v="1270415"/>
    <n v="694125"/>
    <n v="11.75"/>
    <n v="84"/>
    <n v="625"/>
    <x v="1"/>
    <x v="1"/>
    <x v="337"/>
    <x v="1"/>
    <n v="12160.59571891785"/>
    <n v="1021490.0403890994"/>
    <n v="327365.04038909939"/>
    <n v="3"/>
    <x v="3"/>
  </r>
  <r>
    <s v="L0363"/>
    <s v="Pooja Reddy"/>
    <n v="26"/>
    <s v="F"/>
    <x v="1"/>
    <n v="1528293"/>
    <n v="1988740"/>
    <n v="9.39"/>
    <n v="84"/>
    <n v="798"/>
    <x v="0"/>
    <x v="1"/>
    <x v="338"/>
    <x v="2"/>
    <n v="32392.010971010317"/>
    <n v="2720928.9215648668"/>
    <n v="732188.92156486679"/>
    <n v="4"/>
    <x v="4"/>
  </r>
  <r>
    <s v="L0364"/>
    <s v="Rina Kapoor"/>
    <n v="53"/>
    <s v="F"/>
    <x v="2"/>
    <n v="960579"/>
    <n v="1261370"/>
    <n v="11.99"/>
    <n v="120"/>
    <n v="788"/>
    <x v="0"/>
    <x v="1"/>
    <x v="339"/>
    <x v="2"/>
    <n v="18089.703984125681"/>
    <n v="2170764.4780950816"/>
    <n v="909394.47809508163"/>
    <n v="4"/>
    <x v="4"/>
  </r>
  <r>
    <s v="L0365"/>
    <s v="Deepika Joshi"/>
    <n v="38"/>
    <s v="M"/>
    <x v="0"/>
    <n v="1746075"/>
    <n v="312872"/>
    <n v="11.34"/>
    <n v="48"/>
    <n v="795"/>
    <x v="1"/>
    <x v="1"/>
    <x v="340"/>
    <x v="2"/>
    <n v="8138.0971096485173"/>
    <n v="390628.66126312886"/>
    <n v="77756.661263128859"/>
    <n v="4"/>
    <x v="4"/>
  </r>
  <r>
    <s v="L0366"/>
    <s v="Pooja Reddy"/>
    <n v="44"/>
    <s v="M"/>
    <x v="1"/>
    <n v="706324"/>
    <n v="293449"/>
    <n v="10.93"/>
    <n v="48"/>
    <n v="719"/>
    <x v="2"/>
    <x v="1"/>
    <x v="341"/>
    <x v="1"/>
    <n v="7574.3710898260069"/>
    <n v="363569.81231164833"/>
    <n v="70120.812311648333"/>
    <n v="1"/>
    <x v="1"/>
  </r>
  <r>
    <s v="L0367"/>
    <s v="Arjun Mehta"/>
    <n v="56"/>
    <s v="M"/>
    <x v="1"/>
    <n v="447776"/>
    <n v="747434"/>
    <n v="8.92"/>
    <n v="120"/>
    <n v="703"/>
    <x v="0"/>
    <x v="1"/>
    <x v="342"/>
    <x v="1"/>
    <n v="9435.8476604212174"/>
    <n v="1132301.7192505461"/>
    <n v="384867.71925054607"/>
    <n v="3"/>
    <x v="1"/>
  </r>
  <r>
    <s v="L0368"/>
    <s v="Sahil Gupta"/>
    <n v="32"/>
    <s v="F"/>
    <x v="1"/>
    <n v="1520815"/>
    <n v="431482"/>
    <n v="11.73"/>
    <n v="48"/>
    <n v="741"/>
    <x v="2"/>
    <x v="1"/>
    <x v="343"/>
    <x v="0"/>
    <n v="11305.459592676487"/>
    <n v="542662.06044847134"/>
    <n v="111180.06044847134"/>
    <n v="5"/>
    <x v="1"/>
  </r>
  <r>
    <s v="L0369"/>
    <s v="Neha Sharma"/>
    <n v="51"/>
    <s v="M"/>
    <x v="2"/>
    <n v="816154"/>
    <n v="1372657"/>
    <n v="7.55"/>
    <n v="72"/>
    <n v="716"/>
    <x v="1"/>
    <x v="0"/>
    <x v="344"/>
    <x v="3"/>
    <n v="23766.642072310377"/>
    <n v="1711198.2292063471"/>
    <n v="338541.22920634714"/>
    <n v="6"/>
    <x v="1"/>
  </r>
  <r>
    <s v="L0370"/>
    <s v="Rina Kapoor"/>
    <n v="54"/>
    <s v="F"/>
    <x v="0"/>
    <n v="418730"/>
    <n v="1740530"/>
    <n v="9.66"/>
    <n v="84"/>
    <n v="660"/>
    <x v="3"/>
    <x v="1"/>
    <x v="345"/>
    <x v="0"/>
    <n v="28590.009972548629"/>
    <n v="2401560.8376940847"/>
    <n v="661030.83769408474"/>
    <n v="4"/>
    <x v="0"/>
  </r>
  <r>
    <s v="L0371"/>
    <s v="Neha Sharma"/>
    <n v="42"/>
    <s v="M"/>
    <x v="0"/>
    <n v="1135729"/>
    <n v="1464574"/>
    <n v="10.48"/>
    <n v="72"/>
    <n v="793"/>
    <x v="3"/>
    <x v="1"/>
    <x v="346"/>
    <x v="1"/>
    <n v="27488.306259053035"/>
    <n v="1979158.0506518185"/>
    <n v="514584.05065181851"/>
    <n v="7"/>
    <x v="4"/>
  </r>
  <r>
    <s v="L0372"/>
    <s v="Raj Kumar"/>
    <n v="57"/>
    <s v="M"/>
    <x v="1"/>
    <n v="1055774"/>
    <n v="1271824"/>
    <n v="7.55"/>
    <n v="36"/>
    <n v="660"/>
    <x v="3"/>
    <x v="1"/>
    <x v="347"/>
    <x v="0"/>
    <n v="39590.846799373663"/>
    <n v="1425270.484777452"/>
    <n v="153446.48477745196"/>
    <n v="3"/>
    <x v="0"/>
  </r>
  <r>
    <s v="L0373"/>
    <s v="Neha Sharma"/>
    <n v="40"/>
    <s v="F"/>
    <x v="1"/>
    <n v="608939"/>
    <n v="413486"/>
    <n v="12.96"/>
    <n v="120"/>
    <n v="692"/>
    <x v="2"/>
    <x v="1"/>
    <x v="348"/>
    <x v="0"/>
    <n v="6164.0385297661651"/>
    <n v="739684.62357193977"/>
    <n v="326198.62357193977"/>
    <n v="6"/>
    <x v="0"/>
  </r>
  <r>
    <s v="L0374"/>
    <s v="Vikram Das"/>
    <n v="58"/>
    <s v="M"/>
    <x v="0"/>
    <n v="1164531"/>
    <n v="1018590"/>
    <n v="10.68"/>
    <n v="72"/>
    <n v="712"/>
    <x v="0"/>
    <x v="0"/>
    <x v="349"/>
    <x v="3"/>
    <n v="19221.386054750015"/>
    <n v="1383939.795942001"/>
    <n v="365349.79594200104"/>
    <n v="7"/>
    <x v="1"/>
  </r>
  <r>
    <s v="L0375"/>
    <s v="Priya Singh"/>
    <n v="39"/>
    <s v="F"/>
    <x v="1"/>
    <n v="1355876"/>
    <n v="1664799"/>
    <n v="14.29"/>
    <n v="48"/>
    <n v="750"/>
    <x v="1"/>
    <x v="1"/>
    <x v="350"/>
    <x v="0"/>
    <n v="45735.644310043986"/>
    <n v="2195310.9268821115"/>
    <n v="530511.92688211147"/>
    <n v="5"/>
    <x v="4"/>
  </r>
  <r>
    <s v="L0376"/>
    <s v="Pooja Reddy"/>
    <n v="30"/>
    <s v="M"/>
    <x v="1"/>
    <n v="1098988"/>
    <n v="380417"/>
    <n v="12.86"/>
    <n v="48"/>
    <n v="613"/>
    <x v="2"/>
    <x v="1"/>
    <x v="351"/>
    <x v="1"/>
    <n v="10179.221866559446"/>
    <n v="488602.6495948534"/>
    <n v="108185.6495948534"/>
    <n v="1"/>
    <x v="3"/>
  </r>
  <r>
    <s v="L0377"/>
    <s v="Kiran Menon"/>
    <n v="25"/>
    <s v="M"/>
    <x v="0"/>
    <n v="1192489"/>
    <n v="1893564"/>
    <n v="13.76"/>
    <n v="60"/>
    <n v="652"/>
    <x v="2"/>
    <x v="1"/>
    <x v="352"/>
    <x v="3"/>
    <n v="43824.670359390671"/>
    <n v="2629480.2215634403"/>
    <n v="735916.22156344028"/>
    <n v="5"/>
    <x v="0"/>
  </r>
  <r>
    <s v="L0378"/>
    <s v="Sahil Gupta"/>
    <n v="36"/>
    <s v="F"/>
    <x v="1"/>
    <n v="1800083"/>
    <n v="582890"/>
    <n v="12.29"/>
    <n v="96"/>
    <n v="702"/>
    <x v="0"/>
    <x v="1"/>
    <x v="353"/>
    <x v="1"/>
    <n v="9566.7399827784902"/>
    <n v="918407.03834673506"/>
    <n v="335517.03834673506"/>
    <n v="6"/>
    <x v="1"/>
  </r>
  <r>
    <s v="L0379"/>
    <s v="Rohan Nair"/>
    <n v="58"/>
    <s v="F"/>
    <x v="2"/>
    <n v="1351835"/>
    <n v="1525618"/>
    <n v="10.8"/>
    <n v="84"/>
    <n v="722"/>
    <x v="2"/>
    <x v="1"/>
    <x v="354"/>
    <x v="0"/>
    <n v="25962.141836133971"/>
    <n v="2180819.9142352534"/>
    <n v="655201.91423525335"/>
    <n v="4"/>
    <x v="1"/>
  </r>
  <r>
    <s v="L0380"/>
    <s v="Rina Kapoor"/>
    <n v="40"/>
    <s v="M"/>
    <x v="2"/>
    <n v="1236570"/>
    <n v="883046"/>
    <n v="14.3"/>
    <n v="72"/>
    <n v="724"/>
    <x v="1"/>
    <x v="1"/>
    <x v="355"/>
    <x v="0"/>
    <n v="18337.971964652148"/>
    <n v="1320333.9814549547"/>
    <n v="437287.98145495472"/>
    <n v="5"/>
    <x v="1"/>
  </r>
  <r>
    <s v="L0381"/>
    <s v="Neha Sharma"/>
    <n v="26"/>
    <s v="F"/>
    <x v="2"/>
    <n v="603443"/>
    <n v="1109719"/>
    <n v="10.94"/>
    <n v="120"/>
    <n v="786"/>
    <x v="2"/>
    <x v="1"/>
    <x v="356"/>
    <x v="1"/>
    <n v="15248.715000800888"/>
    <n v="1829845.8000961067"/>
    <n v="720126.80009610672"/>
    <n v="6"/>
    <x v="4"/>
  </r>
  <r>
    <s v="L0382"/>
    <s v="Arjun Mehta"/>
    <n v="46"/>
    <s v="M"/>
    <x v="1"/>
    <n v="1847214"/>
    <n v="701986"/>
    <n v="12.42"/>
    <n v="84"/>
    <n v="631"/>
    <x v="0"/>
    <x v="1"/>
    <x v="357"/>
    <x v="1"/>
    <n v="12550.195569985674"/>
    <n v="1054216.4278787966"/>
    <n v="352230.42787879659"/>
    <n v="1"/>
    <x v="3"/>
  </r>
  <r>
    <s v="L0383"/>
    <s v="Amit Yadav"/>
    <n v="40"/>
    <s v="M"/>
    <x v="2"/>
    <n v="1180456"/>
    <n v="1190563"/>
    <n v="11.68"/>
    <n v="36"/>
    <n v="833"/>
    <x v="3"/>
    <x v="1"/>
    <x v="358"/>
    <x v="3"/>
    <n v="39362.011635647592"/>
    <n v="1417032.4188833134"/>
    <n v="226469.41888331342"/>
    <n v="4"/>
    <x v="2"/>
  </r>
  <r>
    <s v="L0384"/>
    <s v="Rina Kapoor"/>
    <n v="56"/>
    <s v="F"/>
    <x v="2"/>
    <n v="1156929"/>
    <n v="1123698"/>
    <n v="12.04"/>
    <n v="72"/>
    <n v="756"/>
    <x v="2"/>
    <x v="1"/>
    <x v="359"/>
    <x v="3"/>
    <n v="21991.893297605799"/>
    <n v="1583416.3174276175"/>
    <n v="459718.3174276175"/>
    <n v="5"/>
    <x v="4"/>
  </r>
  <r>
    <s v="L0385"/>
    <s v="Deepika Joshi"/>
    <n v="41"/>
    <s v="M"/>
    <x v="1"/>
    <n v="352128"/>
    <n v="856232"/>
    <n v="12.64"/>
    <n v="72"/>
    <n v="685"/>
    <x v="0"/>
    <x v="1"/>
    <x v="166"/>
    <x v="3"/>
    <n v="17025.833360310215"/>
    <n v="1225860.0019423354"/>
    <n v="369628.0019423354"/>
    <n v="2"/>
    <x v="0"/>
  </r>
  <r>
    <s v="L0386"/>
    <s v="Rohan Nair"/>
    <n v="48"/>
    <s v="F"/>
    <x v="2"/>
    <n v="1918102"/>
    <n v="1761761"/>
    <n v="11.86"/>
    <n v="48"/>
    <n v="693"/>
    <x v="1"/>
    <x v="0"/>
    <x v="360"/>
    <x v="0"/>
    <n v="46272.915340264066"/>
    <n v="2221099.9363326752"/>
    <n v="459338.93633267516"/>
    <n v="3"/>
    <x v="0"/>
  </r>
  <r>
    <s v="L0387"/>
    <s v="Sahil Gupta"/>
    <n v="27"/>
    <s v="M"/>
    <x v="2"/>
    <n v="357960"/>
    <n v="994659"/>
    <n v="11.66"/>
    <n v="84"/>
    <n v="672"/>
    <x v="1"/>
    <x v="1"/>
    <x v="361"/>
    <x v="2"/>
    <n v="17378.109098151839"/>
    <n v="1459761.1642447545"/>
    <n v="465102.16424475447"/>
    <n v="5"/>
    <x v="0"/>
  </r>
  <r>
    <s v="L0388"/>
    <s v="Aditya Sharma"/>
    <n v="57"/>
    <s v="M"/>
    <x v="0"/>
    <n v="1864590"/>
    <n v="1060883"/>
    <n v="9.59"/>
    <n v="72"/>
    <n v="721"/>
    <x v="1"/>
    <x v="1"/>
    <x v="258"/>
    <x v="0"/>
    <n v="19435.11175336198"/>
    <n v="1399328.0462420625"/>
    <n v="338445.04624206247"/>
    <n v="4"/>
    <x v="1"/>
  </r>
  <r>
    <s v="L0389"/>
    <s v="Amit Yadav"/>
    <n v="36"/>
    <s v="F"/>
    <x v="1"/>
    <n v="1596091"/>
    <n v="1740411"/>
    <n v="12.68"/>
    <n v="60"/>
    <n v="627"/>
    <x v="1"/>
    <x v="1"/>
    <x v="362"/>
    <x v="0"/>
    <n v="39315.184245221353"/>
    <n v="2358911.0547132813"/>
    <n v="618500.05471328134"/>
    <n v="2"/>
    <x v="3"/>
  </r>
  <r>
    <s v="L0390"/>
    <s v="Aditya Sharma"/>
    <n v="36"/>
    <s v="M"/>
    <x v="1"/>
    <n v="785800"/>
    <n v="371359"/>
    <n v="11.76"/>
    <n v="60"/>
    <n v="784"/>
    <x v="0"/>
    <x v="1"/>
    <x v="363"/>
    <x v="2"/>
    <n v="8215.7081137355635"/>
    <n v="492942.48682413378"/>
    <n v="121583.48682413378"/>
    <n v="1"/>
    <x v="4"/>
  </r>
  <r>
    <s v="L0391"/>
    <s v="Rohan Nair"/>
    <n v="42"/>
    <s v="M"/>
    <x v="1"/>
    <n v="1894137"/>
    <n v="265275"/>
    <n v="10.56"/>
    <n v="36"/>
    <n v="682"/>
    <x v="2"/>
    <x v="1"/>
    <x v="364"/>
    <x v="2"/>
    <n v="8629.5927580071893"/>
    <n v="310665.33928825881"/>
    <n v="45390.339288258809"/>
    <n v="7"/>
    <x v="0"/>
  </r>
  <r>
    <s v="L0392"/>
    <s v="Sneha Pillai"/>
    <n v="35"/>
    <s v="M"/>
    <x v="2"/>
    <n v="1680482"/>
    <n v="1778071"/>
    <n v="12.95"/>
    <n v="60"/>
    <n v="806"/>
    <x v="1"/>
    <x v="1"/>
    <x v="365"/>
    <x v="2"/>
    <n v="40411.083302592495"/>
    <n v="2424664.9981555496"/>
    <n v="646593.99815554963"/>
    <n v="1"/>
    <x v="2"/>
  </r>
  <r>
    <s v="L0393"/>
    <s v="Rohan Nair"/>
    <n v="36"/>
    <s v="M"/>
    <x v="2"/>
    <n v="743527"/>
    <n v="929103"/>
    <n v="10.98"/>
    <n v="120"/>
    <n v="623"/>
    <x v="2"/>
    <x v="1"/>
    <x v="366"/>
    <x v="2"/>
    <n v="12787.878646953821"/>
    <n v="1534545.4376344585"/>
    <n v="605442.43763445853"/>
    <n v="3"/>
    <x v="3"/>
  </r>
  <r>
    <s v="L0394"/>
    <s v="Neha Sharma"/>
    <n v="47"/>
    <s v="M"/>
    <x v="0"/>
    <n v="522110"/>
    <n v="284229"/>
    <n v="11.2"/>
    <n v="96"/>
    <n v="757"/>
    <x v="3"/>
    <x v="1"/>
    <x v="367"/>
    <x v="2"/>
    <n v="4495.5083585897"/>
    <n v="431568.80242461117"/>
    <n v="147339.80242461117"/>
    <n v="2"/>
    <x v="4"/>
  </r>
  <r>
    <s v="L0395"/>
    <s v="Rohan Nair"/>
    <n v="57"/>
    <s v="M"/>
    <x v="1"/>
    <n v="427047"/>
    <n v="509978"/>
    <n v="14.01"/>
    <n v="120"/>
    <n v="744"/>
    <x v="2"/>
    <x v="1"/>
    <x v="368"/>
    <x v="1"/>
    <n v="7921.3131981030056"/>
    <n v="950557.5837723607"/>
    <n v="440579.5837723607"/>
    <n v="7"/>
    <x v="1"/>
  </r>
  <r>
    <s v="L0396"/>
    <s v="Mohit Jain"/>
    <n v="52"/>
    <s v="F"/>
    <x v="1"/>
    <n v="1988926"/>
    <n v="1811116"/>
    <n v="10.44"/>
    <n v="48"/>
    <n v="708"/>
    <x v="2"/>
    <x v="1"/>
    <x v="369"/>
    <x v="0"/>
    <n v="46318.22864039179"/>
    <n v="2223274.974738806"/>
    <n v="412158.97473880602"/>
    <n v="6"/>
    <x v="1"/>
  </r>
  <r>
    <s v="L0397"/>
    <s v="Sahil Gupta"/>
    <n v="52"/>
    <s v="M"/>
    <x v="2"/>
    <n v="300405"/>
    <n v="1780544"/>
    <n v="10.97"/>
    <n v="96"/>
    <n v="781"/>
    <x v="3"/>
    <x v="1"/>
    <x v="370"/>
    <x v="1"/>
    <n v="27940.740350691802"/>
    <n v="2682311.0736664128"/>
    <n v="901767.07366641285"/>
    <n v="6"/>
    <x v="4"/>
  </r>
  <r>
    <s v="L0398"/>
    <s v="Priya Singh"/>
    <n v="35"/>
    <s v="F"/>
    <x v="2"/>
    <n v="302050"/>
    <n v="1307848"/>
    <n v="11.89"/>
    <n v="48"/>
    <n v="752"/>
    <x v="3"/>
    <x v="0"/>
    <x v="371"/>
    <x v="1"/>
    <n v="34370.060733597864"/>
    <n v="1649762.9152126973"/>
    <n v="341914.91521269735"/>
    <n v="6"/>
    <x v="4"/>
  </r>
  <r>
    <s v="L0399"/>
    <s v="Kiran Menon"/>
    <n v="49"/>
    <s v="F"/>
    <x v="1"/>
    <n v="390021"/>
    <n v="1611941"/>
    <n v="12.12"/>
    <n v="36"/>
    <n v="753"/>
    <x v="0"/>
    <x v="1"/>
    <x v="213"/>
    <x v="0"/>
    <n v="53631.942141990781"/>
    <n v="1930749.917111668"/>
    <n v="318808.91711166804"/>
    <n v="3"/>
    <x v="4"/>
  </r>
  <r>
    <s v="L0400"/>
    <s v="Raj Kumar"/>
    <n v="36"/>
    <s v="F"/>
    <x v="0"/>
    <n v="1495728"/>
    <n v="1609451"/>
    <n v="10.06"/>
    <n v="48"/>
    <n v="745"/>
    <x v="3"/>
    <x v="1"/>
    <x v="372"/>
    <x v="3"/>
    <n v="40866.226666815623"/>
    <n v="1961578.8800071499"/>
    <n v="352127.88000714988"/>
    <n v="2"/>
    <x v="1"/>
  </r>
  <r>
    <s v="L0401"/>
    <s v="Kiran Menon"/>
    <n v="55"/>
    <s v="F"/>
    <x v="0"/>
    <n v="652133"/>
    <n v="337174"/>
    <n v="8.2100000000000009"/>
    <n v="84"/>
    <n v="806"/>
    <x v="0"/>
    <x v="1"/>
    <x v="373"/>
    <x v="2"/>
    <n v="5290.6123211230206"/>
    <n v="444411.43497433374"/>
    <n v="107237.43497433374"/>
    <n v="4"/>
    <x v="2"/>
  </r>
  <r>
    <s v="L0402"/>
    <s v="Vikram Das"/>
    <n v="28"/>
    <s v="M"/>
    <x v="0"/>
    <n v="913691"/>
    <n v="1057728"/>
    <n v="11.46"/>
    <n v="72"/>
    <n v="648"/>
    <x v="0"/>
    <x v="1"/>
    <x v="374"/>
    <x v="3"/>
    <n v="20382.96623422933"/>
    <n v="1467573.5688645118"/>
    <n v="409845.56886451179"/>
    <n v="2"/>
    <x v="3"/>
  </r>
  <r>
    <s v="L0403"/>
    <s v="Priya Singh"/>
    <n v="41"/>
    <s v="M"/>
    <x v="1"/>
    <n v="726118"/>
    <n v="1254693"/>
    <n v="8.98"/>
    <n v="120"/>
    <n v="793"/>
    <x v="3"/>
    <x v="1"/>
    <x v="375"/>
    <x v="3"/>
    <n v="15880.343125316123"/>
    <n v="1905641.1750379349"/>
    <n v="650948.17503793491"/>
    <n v="7"/>
    <x v="4"/>
  </r>
  <r>
    <s v="L0404"/>
    <s v="Tanya Rao"/>
    <n v="51"/>
    <s v="F"/>
    <x v="2"/>
    <n v="1264435"/>
    <n v="1872719"/>
    <n v="8.73"/>
    <n v="120"/>
    <n v="716"/>
    <x v="1"/>
    <x v="1"/>
    <x v="376"/>
    <x v="2"/>
    <n v="23450.032265248268"/>
    <n v="2814003.8718297924"/>
    <n v="941284.87182979239"/>
    <n v="6"/>
    <x v="1"/>
  </r>
  <r>
    <s v="L0405"/>
    <s v="Aarav Patel"/>
    <n v="49"/>
    <s v="M"/>
    <x v="0"/>
    <n v="517808"/>
    <n v="1146964"/>
    <n v="9.73"/>
    <n v="84"/>
    <n v="710"/>
    <x v="2"/>
    <x v="1"/>
    <x v="377"/>
    <x v="2"/>
    <n v="18881.332788584361"/>
    <n v="1586031.9542410863"/>
    <n v="439067.95424108626"/>
    <n v="3"/>
    <x v="1"/>
  </r>
  <r>
    <s v="L0406"/>
    <s v="Mohit Jain"/>
    <n v="56"/>
    <s v="M"/>
    <x v="1"/>
    <n v="1012248"/>
    <n v="1214676"/>
    <n v="9.6300000000000008"/>
    <n v="60"/>
    <n v="714"/>
    <x v="2"/>
    <x v="1"/>
    <x v="378"/>
    <x v="2"/>
    <n v="25587.693916852524"/>
    <n v="1535261.6350111514"/>
    <n v="320585.63501115143"/>
    <n v="1"/>
    <x v="1"/>
  </r>
  <r>
    <s v="L0407"/>
    <s v="Pooja Reddy"/>
    <n v="46"/>
    <s v="M"/>
    <x v="0"/>
    <n v="1698103"/>
    <n v="1221773"/>
    <n v="12.9"/>
    <n v="60"/>
    <n v="831"/>
    <x v="0"/>
    <x v="1"/>
    <x v="379"/>
    <x v="3"/>
    <n v="27736.586587242844"/>
    <n v="1664195.1952345707"/>
    <n v="442422.19523457065"/>
    <n v="1"/>
    <x v="2"/>
  </r>
  <r>
    <s v="L0408"/>
    <s v="Raj Kumar"/>
    <n v="43"/>
    <s v="F"/>
    <x v="1"/>
    <n v="564509"/>
    <n v="343841"/>
    <n v="14.11"/>
    <n v="96"/>
    <n v="608"/>
    <x v="3"/>
    <x v="1"/>
    <x v="380"/>
    <x v="3"/>
    <n v="5994.5793411045661"/>
    <n v="575479.61674603831"/>
    <n v="231638.61674603831"/>
    <n v="3"/>
    <x v="3"/>
  </r>
  <r>
    <s v="L0409"/>
    <s v="Meena George"/>
    <n v="58"/>
    <s v="M"/>
    <x v="0"/>
    <n v="1161012"/>
    <n v="1607707"/>
    <n v="12.01"/>
    <n v="48"/>
    <n v="810"/>
    <x v="2"/>
    <x v="1"/>
    <x v="126"/>
    <x v="1"/>
    <n v="42344.985688931716"/>
    <n v="2032559.3130687224"/>
    <n v="424852.31306872237"/>
    <n v="1"/>
    <x v="2"/>
  </r>
  <r>
    <s v="L0410"/>
    <s v="Aarav Patel"/>
    <n v="59"/>
    <s v="F"/>
    <x v="2"/>
    <n v="1292148"/>
    <n v="1717115"/>
    <n v="12.37"/>
    <n v="48"/>
    <n v="755"/>
    <x v="3"/>
    <x v="1"/>
    <x v="381"/>
    <x v="1"/>
    <n v="45530.794623784379"/>
    <n v="2185478.1419416503"/>
    <n v="468363.1419416503"/>
    <n v="3"/>
    <x v="4"/>
  </r>
  <r>
    <s v="L0411"/>
    <s v="Aditya Sharma"/>
    <n v="53"/>
    <s v="F"/>
    <x v="2"/>
    <n v="1386430"/>
    <n v="951370"/>
    <n v="8.18"/>
    <n v="84"/>
    <n v="707"/>
    <x v="3"/>
    <x v="1"/>
    <x v="382"/>
    <x v="2"/>
    <n v="14913.717809751988"/>
    <n v="1252752.2960191669"/>
    <n v="301382.29601916694"/>
    <n v="4"/>
    <x v="1"/>
  </r>
  <r>
    <s v="L0412"/>
    <s v="Isha Verma"/>
    <n v="38"/>
    <s v="F"/>
    <x v="0"/>
    <n v="1506267"/>
    <n v="1365093"/>
    <n v="12.83"/>
    <n v="120"/>
    <n v="739"/>
    <x v="0"/>
    <x v="1"/>
    <x v="383"/>
    <x v="0"/>
    <n v="20245.655452801602"/>
    <n v="2429478.6543361922"/>
    <n v="1064385.6543361922"/>
    <n v="6"/>
    <x v="1"/>
  </r>
  <r>
    <s v="L0413"/>
    <s v="Sneha Pillai"/>
    <n v="53"/>
    <s v="F"/>
    <x v="2"/>
    <n v="1775845"/>
    <n v="1109516"/>
    <n v="8.7100000000000009"/>
    <n v="48"/>
    <n v="778"/>
    <x v="0"/>
    <x v="1"/>
    <x v="384"/>
    <x v="0"/>
    <n v="27457.823206691737"/>
    <n v="1317975.5139212033"/>
    <n v="208459.51392120332"/>
    <n v="2"/>
    <x v="4"/>
  </r>
  <r>
    <s v="L0414"/>
    <s v="Arjun Mehta"/>
    <n v="27"/>
    <s v="F"/>
    <x v="1"/>
    <n v="353404"/>
    <n v="1109074"/>
    <n v="8.8800000000000008"/>
    <n v="36"/>
    <n v="644"/>
    <x v="0"/>
    <x v="1"/>
    <x v="385"/>
    <x v="3"/>
    <n v="35206.348074566253"/>
    <n v="1267428.530684385"/>
    <n v="158354.53068438498"/>
    <n v="5"/>
    <x v="3"/>
  </r>
  <r>
    <s v="L0415"/>
    <s v="Aditya Sharma"/>
    <n v="36"/>
    <s v="F"/>
    <x v="1"/>
    <n v="559751"/>
    <n v="575148"/>
    <n v="8.3800000000000008"/>
    <n v="36"/>
    <n v="637"/>
    <x v="1"/>
    <x v="1"/>
    <x v="386"/>
    <x v="3"/>
    <n v="18124.042367287078"/>
    <n v="652465.52522233478"/>
    <n v="77317.525222334778"/>
    <n v="3"/>
    <x v="3"/>
  </r>
  <r>
    <s v="L0416"/>
    <s v="Neha Sharma"/>
    <n v="38"/>
    <s v="F"/>
    <x v="2"/>
    <n v="1862544"/>
    <n v="1042971"/>
    <n v="9.74"/>
    <n v="48"/>
    <n v="811"/>
    <x v="1"/>
    <x v="0"/>
    <x v="203"/>
    <x v="1"/>
    <n v="26322.400415411528"/>
    <n v="1263475.2199397534"/>
    <n v="220504.21993975341"/>
    <n v="2"/>
    <x v="2"/>
  </r>
  <r>
    <s v="L0417"/>
    <s v="Meena George"/>
    <n v="54"/>
    <s v="M"/>
    <x v="1"/>
    <n v="1912292"/>
    <n v="201357"/>
    <n v="14.09"/>
    <n v="120"/>
    <n v="656"/>
    <x v="3"/>
    <x v="1"/>
    <x v="387"/>
    <x v="0"/>
    <n v="3137.3037179857474"/>
    <n v="376476.44615828968"/>
    <n v="175119.44615828968"/>
    <n v="7"/>
    <x v="0"/>
  </r>
  <r>
    <s v="L0418"/>
    <s v="Rina Kapoor"/>
    <n v="37"/>
    <s v="F"/>
    <x v="0"/>
    <n v="1098584"/>
    <n v="421106"/>
    <n v="14.89"/>
    <n v="96"/>
    <n v="691"/>
    <x v="3"/>
    <x v="1"/>
    <x v="388"/>
    <x v="1"/>
    <n v="7530.1368975185378"/>
    <n v="722893.14216177957"/>
    <n v="301787.14216177957"/>
    <n v="4"/>
    <x v="0"/>
  </r>
  <r>
    <s v="L0419"/>
    <s v="Aditya Sharma"/>
    <n v="34"/>
    <s v="F"/>
    <x v="1"/>
    <n v="1745222"/>
    <n v="945271"/>
    <n v="12.56"/>
    <n v="36"/>
    <n v="692"/>
    <x v="1"/>
    <x v="1"/>
    <x v="389"/>
    <x v="3"/>
    <n v="31649.952524700358"/>
    <n v="1139398.2908892129"/>
    <n v="194127.29088921286"/>
    <n v="5"/>
    <x v="0"/>
  </r>
  <r>
    <s v="L0420"/>
    <s v="Sneha Pillai"/>
    <n v="60"/>
    <s v="F"/>
    <x v="2"/>
    <n v="1838961"/>
    <n v="919471"/>
    <n v="14.63"/>
    <n v="96"/>
    <n v="773"/>
    <x v="2"/>
    <x v="1"/>
    <x v="174"/>
    <x v="0"/>
    <n v="16304.010499662676"/>
    <n v="1565185.0079676169"/>
    <n v="645714.0079676169"/>
    <n v="7"/>
    <x v="4"/>
  </r>
  <r>
    <s v="L0421"/>
    <s v="Priya Singh"/>
    <n v="36"/>
    <s v="F"/>
    <x v="2"/>
    <n v="1099487"/>
    <n v="910443"/>
    <n v="14.27"/>
    <n v="72"/>
    <n v="630"/>
    <x v="2"/>
    <x v="1"/>
    <x v="390"/>
    <x v="0"/>
    <n v="18892.233110968704"/>
    <n v="1360240.7839897466"/>
    <n v="449797.78398974659"/>
    <n v="5"/>
    <x v="3"/>
  </r>
  <r>
    <s v="L0422"/>
    <s v="Raj Kumar"/>
    <n v="56"/>
    <s v="F"/>
    <x v="2"/>
    <n v="1672548"/>
    <n v="1684933"/>
    <n v="10.59"/>
    <n v="36"/>
    <n v="663"/>
    <x v="1"/>
    <x v="1"/>
    <x v="391"/>
    <x v="3"/>
    <n v="54835.972156611831"/>
    <n v="1974094.997638026"/>
    <n v="289161.99763802602"/>
    <n v="6"/>
    <x v="0"/>
  </r>
  <r>
    <s v="L0423"/>
    <s v="Arjun Mehta"/>
    <n v="49"/>
    <s v="M"/>
    <x v="1"/>
    <n v="1642595"/>
    <n v="1008524"/>
    <n v="14.76"/>
    <n v="36"/>
    <n v="755"/>
    <x v="3"/>
    <x v="0"/>
    <x v="392"/>
    <x v="3"/>
    <n v="34842.401320403122"/>
    <n v="1254326.4475345123"/>
    <n v="245802.44753451226"/>
    <n v="6"/>
    <x v="4"/>
  </r>
  <r>
    <s v="L0424"/>
    <s v="Neha Sharma"/>
    <n v="55"/>
    <s v="M"/>
    <x v="2"/>
    <n v="422844"/>
    <n v="1725844"/>
    <n v="9.34"/>
    <n v="48"/>
    <n v="612"/>
    <x v="2"/>
    <x v="1"/>
    <x v="393"/>
    <x v="1"/>
    <n v="43226.86813708827"/>
    <n v="2074889.6705802369"/>
    <n v="349045.67058023694"/>
    <n v="3"/>
    <x v="3"/>
  </r>
  <r>
    <s v="L0425"/>
    <s v="Tanya Rao"/>
    <n v="47"/>
    <s v="M"/>
    <x v="2"/>
    <n v="1396398"/>
    <n v="1952374"/>
    <n v="9.06"/>
    <n v="120"/>
    <n v="641"/>
    <x v="2"/>
    <x v="1"/>
    <x v="394"/>
    <x v="0"/>
    <n v="24795.290366155539"/>
    <n v="2975434.8439386645"/>
    <n v="1023060.8439386645"/>
    <n v="1"/>
    <x v="3"/>
  </r>
  <r>
    <s v="L0426"/>
    <s v="Kiran Menon"/>
    <n v="47"/>
    <s v="M"/>
    <x v="1"/>
    <n v="1274324"/>
    <n v="389690"/>
    <n v="9.74"/>
    <n v="72"/>
    <n v="688"/>
    <x v="1"/>
    <x v="1"/>
    <x v="395"/>
    <x v="1"/>
    <n v="7168.3448533005458"/>
    <n v="516120.82943763927"/>
    <n v="126430.82943763927"/>
    <n v="2"/>
    <x v="0"/>
  </r>
  <r>
    <s v="L0427"/>
    <s v="Mohit Jain"/>
    <n v="43"/>
    <s v="F"/>
    <x v="0"/>
    <n v="1979081"/>
    <n v="227516"/>
    <n v="12.39"/>
    <n v="84"/>
    <n v="722"/>
    <x v="1"/>
    <x v="1"/>
    <x v="396"/>
    <x v="3"/>
    <n v="4063.8853919257276"/>
    <n v="341366.37292176113"/>
    <n v="113850.37292176113"/>
    <n v="4"/>
    <x v="1"/>
  </r>
  <r>
    <s v="L0428"/>
    <s v="Vikram Das"/>
    <n v="34"/>
    <s v="F"/>
    <x v="2"/>
    <n v="1972418"/>
    <n v="1494797"/>
    <n v="8.8699999999999992"/>
    <n v="36"/>
    <n v="605"/>
    <x v="2"/>
    <x v="1"/>
    <x v="397"/>
    <x v="3"/>
    <n v="47443.755919598843"/>
    <n v="1707975.2131055584"/>
    <n v="213178.21310555842"/>
    <n v="7"/>
    <x v="3"/>
  </r>
  <r>
    <s v="L0429"/>
    <s v="Priya Singh"/>
    <n v="39"/>
    <s v="M"/>
    <x v="1"/>
    <n v="1678969"/>
    <n v="1158955"/>
    <n v="12.65"/>
    <n v="84"/>
    <n v="815"/>
    <x v="0"/>
    <x v="1"/>
    <x v="398"/>
    <x v="1"/>
    <n v="20863.766984424572"/>
    <n v="1752556.4266916641"/>
    <n v="593601.42669166415"/>
    <n v="5"/>
    <x v="2"/>
  </r>
  <r>
    <s v="L0430"/>
    <s v="Sahil Gupta"/>
    <n v="29"/>
    <s v="M"/>
    <x v="2"/>
    <n v="1775444"/>
    <n v="1581378"/>
    <n v="11.55"/>
    <n v="36"/>
    <n v="627"/>
    <x v="1"/>
    <x v="1"/>
    <x v="399"/>
    <x v="3"/>
    <n v="52185.143753468918"/>
    <n v="1878665.1751248811"/>
    <n v="297287.17512488109"/>
    <n v="2"/>
    <x v="3"/>
  </r>
  <r>
    <s v="L0431"/>
    <s v="Pooja Reddy"/>
    <n v="46"/>
    <s v="F"/>
    <x v="2"/>
    <n v="1210439"/>
    <n v="514039"/>
    <n v="14.45"/>
    <n v="48"/>
    <n v="754"/>
    <x v="1"/>
    <x v="1"/>
    <x v="400"/>
    <x v="0"/>
    <n v="14163.185895989265"/>
    <n v="679832.92300748476"/>
    <n v="165793.92300748476"/>
    <n v="1"/>
    <x v="4"/>
  </r>
  <r>
    <s v="L0432"/>
    <s v="Pooja Reddy"/>
    <n v="41"/>
    <s v="F"/>
    <x v="1"/>
    <n v="543192"/>
    <n v="814907"/>
    <n v="9.9600000000000009"/>
    <n v="72"/>
    <n v="784"/>
    <x v="0"/>
    <x v="1"/>
    <x v="401"/>
    <x v="1"/>
    <n v="15080.402347763033"/>
    <n v="1085788.9690389384"/>
    <n v="270881.9690389384"/>
    <n v="7"/>
    <x v="4"/>
  </r>
  <r>
    <s v="L0433"/>
    <s v="Arjun Mehta"/>
    <n v="48"/>
    <s v="F"/>
    <x v="1"/>
    <n v="1248733"/>
    <n v="972280"/>
    <n v="8.76"/>
    <n v="96"/>
    <n v="706"/>
    <x v="0"/>
    <x v="1"/>
    <x v="402"/>
    <x v="1"/>
    <n v="14123.340030381314"/>
    <n v="1355840.6429166063"/>
    <n v="383560.64291660627"/>
    <n v="4"/>
    <x v="1"/>
  </r>
  <r>
    <s v="L0434"/>
    <s v="Vikram Das"/>
    <n v="32"/>
    <s v="F"/>
    <x v="2"/>
    <n v="598755"/>
    <n v="1208083"/>
    <n v="14.4"/>
    <n v="36"/>
    <n v="630"/>
    <x v="3"/>
    <x v="0"/>
    <x v="403"/>
    <x v="1"/>
    <n v="41524.503805446548"/>
    <n v="1494882.1369960757"/>
    <n v="286799.13699607574"/>
    <n v="1"/>
    <x v="3"/>
  </r>
  <r>
    <s v="L0435"/>
    <s v="Meena George"/>
    <n v="57"/>
    <s v="F"/>
    <x v="1"/>
    <n v="1442061"/>
    <n v="659859"/>
    <n v="12.19"/>
    <n v="72"/>
    <n v="849"/>
    <x v="2"/>
    <x v="0"/>
    <x v="404"/>
    <x v="3"/>
    <n v="12965.660601413629"/>
    <n v="933527.56330178131"/>
    <n v="273668.56330178131"/>
    <n v="7"/>
    <x v="2"/>
  </r>
  <r>
    <s v="L0436"/>
    <s v="Rina Kapoor"/>
    <n v="48"/>
    <s v="M"/>
    <x v="1"/>
    <n v="495519"/>
    <n v="833578"/>
    <n v="14.47"/>
    <n v="96"/>
    <n v="600"/>
    <x v="0"/>
    <x v="1"/>
    <x v="405"/>
    <x v="1"/>
    <n v="14704.35262453494"/>
    <n v="1411617.8519553542"/>
    <n v="578039.85195535421"/>
    <n v="7"/>
    <x v="3"/>
  </r>
  <r>
    <s v="L0437"/>
    <s v="Rohit Khanna"/>
    <n v="57"/>
    <s v="F"/>
    <x v="0"/>
    <n v="1825344"/>
    <n v="712368"/>
    <n v="13.03"/>
    <n v="120"/>
    <n v="613"/>
    <x v="3"/>
    <x v="1"/>
    <x v="406"/>
    <x v="2"/>
    <n v="10649.028201962123"/>
    <n v="1277883.3842354547"/>
    <n v="565515.38423545472"/>
    <n v="7"/>
    <x v="3"/>
  </r>
  <r>
    <s v="L0438"/>
    <s v="Pooja Reddy"/>
    <n v="49"/>
    <s v="F"/>
    <x v="1"/>
    <n v="1438486"/>
    <n v="1511170"/>
    <n v="10.42"/>
    <n v="60"/>
    <n v="607"/>
    <x v="1"/>
    <x v="1"/>
    <x v="407"/>
    <x v="1"/>
    <n v="32421.081397233211"/>
    <n v="1945264.8838339928"/>
    <n v="434094.88383399276"/>
    <n v="6"/>
    <x v="3"/>
  </r>
  <r>
    <s v="L0439"/>
    <s v="Aarav Patel"/>
    <n v="48"/>
    <s v="F"/>
    <x v="2"/>
    <n v="1006715"/>
    <n v="602812"/>
    <n v="13.36"/>
    <n v="36"/>
    <n v="669"/>
    <x v="3"/>
    <x v="1"/>
    <x v="408"/>
    <x v="1"/>
    <n v="20415.802831739191"/>
    <n v="734968.90194261086"/>
    <n v="132156.90194261086"/>
    <n v="7"/>
    <x v="0"/>
  </r>
  <r>
    <s v="L0440"/>
    <s v="Isha Verma"/>
    <n v="30"/>
    <s v="M"/>
    <x v="1"/>
    <n v="1242889"/>
    <n v="500508"/>
    <n v="9.9600000000000009"/>
    <n v="72"/>
    <n v="803"/>
    <x v="3"/>
    <x v="0"/>
    <x v="409"/>
    <x v="3"/>
    <n v="9262.2373083973762"/>
    <n v="666881.08620461111"/>
    <n v="166373.08620461111"/>
    <n v="5"/>
    <x v="2"/>
  </r>
  <r>
    <s v="L0441"/>
    <s v="Aarav Patel"/>
    <n v="40"/>
    <s v="M"/>
    <x v="1"/>
    <n v="558204"/>
    <n v="902952"/>
    <n v="11.58"/>
    <n v="48"/>
    <n v="645"/>
    <x v="3"/>
    <x v="0"/>
    <x v="60"/>
    <x v="0"/>
    <n v="23592.412179060429"/>
    <n v="1132435.7845949007"/>
    <n v="229483.78459490067"/>
    <n v="4"/>
    <x v="3"/>
  </r>
  <r>
    <s v="L0442"/>
    <s v="Raj Kumar"/>
    <n v="40"/>
    <s v="M"/>
    <x v="0"/>
    <n v="766768"/>
    <n v="256988"/>
    <n v="9.74"/>
    <n v="120"/>
    <n v="629"/>
    <x v="1"/>
    <x v="0"/>
    <x v="410"/>
    <x v="1"/>
    <n v="3359.2233860401288"/>
    <n v="403106.80632481544"/>
    <n v="146118.80632481544"/>
    <n v="5"/>
    <x v="3"/>
  </r>
  <r>
    <s v="L0443"/>
    <s v="Pooja Reddy"/>
    <n v="50"/>
    <s v="M"/>
    <x v="0"/>
    <n v="896502"/>
    <n v="1746244"/>
    <n v="12.9"/>
    <n v="96"/>
    <n v="840"/>
    <x v="0"/>
    <x v="1"/>
    <x v="411"/>
    <x v="0"/>
    <n v="29251.976639422603"/>
    <n v="2808189.7573845698"/>
    <n v="1061945.7573845698"/>
    <n v="1"/>
    <x v="2"/>
  </r>
  <r>
    <s v="L0444"/>
    <s v="Rina Kapoor"/>
    <n v="42"/>
    <s v="M"/>
    <x v="0"/>
    <n v="305235"/>
    <n v="927517"/>
    <n v="8.2799999999999994"/>
    <n v="48"/>
    <n v="705"/>
    <x v="1"/>
    <x v="1"/>
    <x v="412"/>
    <x v="2"/>
    <n v="22765.504308496053"/>
    <n v="1092744.2068078106"/>
    <n v="165227.20680781058"/>
    <n v="7"/>
    <x v="1"/>
  </r>
  <r>
    <s v="L0445"/>
    <s v="Kiran Menon"/>
    <n v="42"/>
    <s v="M"/>
    <x v="0"/>
    <n v="1819992"/>
    <n v="354759"/>
    <n v="12.85"/>
    <n v="96"/>
    <n v="671"/>
    <x v="1"/>
    <x v="1"/>
    <x v="413"/>
    <x v="3"/>
    <n v="5932.7986778571421"/>
    <n v="569548.67307428562"/>
    <n v="214789.67307428562"/>
    <n v="4"/>
    <x v="0"/>
  </r>
  <r>
    <s v="L0446"/>
    <s v="Meena George"/>
    <n v="59"/>
    <s v="F"/>
    <x v="2"/>
    <n v="1144064"/>
    <n v="1898777"/>
    <n v="14.22"/>
    <n v="96"/>
    <n v="819"/>
    <x v="1"/>
    <x v="1"/>
    <x v="52"/>
    <x v="0"/>
    <n v="33222.782549239499"/>
    <n v="3189387.1247269921"/>
    <n v="1290610.1247269921"/>
    <n v="1"/>
    <x v="2"/>
  </r>
  <r>
    <s v="L0447"/>
    <s v="Mohit Jain"/>
    <n v="56"/>
    <s v="M"/>
    <x v="0"/>
    <n v="678416"/>
    <n v="1226402"/>
    <n v="11.48"/>
    <n v="120"/>
    <n v="780"/>
    <x v="2"/>
    <x v="1"/>
    <x v="414"/>
    <x v="2"/>
    <n v="17228.623694984828"/>
    <n v="2067434.8433981794"/>
    <n v="841032.84339817939"/>
    <n v="6"/>
    <x v="4"/>
  </r>
  <r>
    <s v="L0448"/>
    <s v="Aditya Sharma"/>
    <n v="41"/>
    <s v="M"/>
    <x v="1"/>
    <n v="538047"/>
    <n v="977543"/>
    <n v="12.37"/>
    <n v="48"/>
    <n v="778"/>
    <x v="3"/>
    <x v="1"/>
    <x v="415"/>
    <x v="3"/>
    <n v="25920.401119853967"/>
    <n v="1244179.2537529904"/>
    <n v="266636.25375299039"/>
    <n v="4"/>
    <x v="4"/>
  </r>
  <r>
    <s v="L0449"/>
    <s v="Deepika Joshi"/>
    <n v="59"/>
    <s v="M"/>
    <x v="0"/>
    <n v="382284"/>
    <n v="528321"/>
    <n v="14.22"/>
    <n v="96"/>
    <n v="629"/>
    <x v="0"/>
    <x v="1"/>
    <x v="416"/>
    <x v="2"/>
    <n v="9243.9995319075169"/>
    <n v="887423.95506312163"/>
    <n v="359102.95506312163"/>
    <n v="2"/>
    <x v="3"/>
  </r>
  <r>
    <s v="L0450"/>
    <s v="Tanya Rao"/>
    <n v="53"/>
    <s v="F"/>
    <x v="0"/>
    <n v="838875"/>
    <n v="1061146"/>
    <n v="8.6"/>
    <n v="72"/>
    <n v="796"/>
    <x v="2"/>
    <x v="1"/>
    <x v="417"/>
    <x v="1"/>
    <n v="18917.744448753685"/>
    <n v="1362077.6003102653"/>
    <n v="300931.60031026532"/>
    <n v="5"/>
    <x v="4"/>
  </r>
  <r>
    <s v="L0451"/>
    <s v="Aarav Patel"/>
    <n v="32"/>
    <s v="F"/>
    <x v="0"/>
    <n v="1876270"/>
    <n v="392772"/>
    <n v="13.51"/>
    <n v="72"/>
    <n v="755"/>
    <x v="2"/>
    <x v="1"/>
    <x v="418"/>
    <x v="0"/>
    <n v="7990.6631252753441"/>
    <n v="575327.74501982483"/>
    <n v="182555.74501982483"/>
    <n v="4"/>
    <x v="4"/>
  </r>
  <r>
    <s v="L0452"/>
    <s v="Amit Yadav"/>
    <n v="51"/>
    <s v="M"/>
    <x v="0"/>
    <n v="510774"/>
    <n v="1146800"/>
    <n v="9.24"/>
    <n v="96"/>
    <n v="780"/>
    <x v="2"/>
    <x v="1"/>
    <x v="419"/>
    <x v="0"/>
    <n v="16943.978010974515"/>
    <n v="1626621.8890535533"/>
    <n v="479821.88905355334"/>
    <n v="3"/>
    <x v="4"/>
  </r>
  <r>
    <s v="L0453"/>
    <s v="Neha Sharma"/>
    <n v="39"/>
    <s v="F"/>
    <x v="1"/>
    <n v="646957"/>
    <n v="1761773"/>
    <n v="10.98"/>
    <n v="120"/>
    <n v="802"/>
    <x v="3"/>
    <x v="1"/>
    <x v="420"/>
    <x v="1"/>
    <n v="24248.484105077448"/>
    <n v="2909818.0926092938"/>
    <n v="1148045.0926092938"/>
    <n v="3"/>
    <x v="2"/>
  </r>
  <r>
    <s v="L0454"/>
    <s v="Arjun Mehta"/>
    <n v="60"/>
    <s v="M"/>
    <x v="1"/>
    <n v="1521723"/>
    <n v="960717"/>
    <n v="7.71"/>
    <n v="96"/>
    <n v="674"/>
    <x v="0"/>
    <x v="1"/>
    <x v="421"/>
    <x v="2"/>
    <n v="13440.169165010284"/>
    <n v="1290256.2398409871"/>
    <n v="329539.23984098714"/>
    <n v="7"/>
    <x v="0"/>
  </r>
  <r>
    <s v="L0455"/>
    <s v="Pooja Reddy"/>
    <n v="37"/>
    <s v="M"/>
    <x v="2"/>
    <n v="856333"/>
    <n v="444718"/>
    <n v="10.87"/>
    <n v="48"/>
    <n v="709"/>
    <x v="3"/>
    <x v="1"/>
    <x v="422"/>
    <x v="1"/>
    <n v="11465.913418538852"/>
    <n v="550363.84408986487"/>
    <n v="105645.84408986487"/>
    <n v="2"/>
    <x v="1"/>
  </r>
  <r>
    <s v="L0456"/>
    <s v="Tanya Rao"/>
    <n v="41"/>
    <s v="M"/>
    <x v="0"/>
    <n v="313975"/>
    <n v="731637"/>
    <n v="8.1300000000000008"/>
    <n v="48"/>
    <n v="621"/>
    <x v="2"/>
    <x v="0"/>
    <x v="423"/>
    <x v="2"/>
    <n v="17906.077074444889"/>
    <n v="859491.69957335468"/>
    <n v="127854.69957335468"/>
    <n v="1"/>
    <x v="3"/>
  </r>
  <r>
    <s v="L0457"/>
    <s v="Amit Yadav"/>
    <n v="47"/>
    <s v="F"/>
    <x v="1"/>
    <n v="1187223"/>
    <n v="1580569"/>
    <n v="13.11"/>
    <n v="36"/>
    <n v="832"/>
    <x v="3"/>
    <x v="1"/>
    <x v="424"/>
    <x v="2"/>
    <n v="53339.397672609848"/>
    <n v="1920218.3162139545"/>
    <n v="339649.31621395447"/>
    <n v="4"/>
    <x v="2"/>
  </r>
  <r>
    <s v="L0458"/>
    <s v="Meena George"/>
    <n v="47"/>
    <s v="M"/>
    <x v="1"/>
    <n v="464608"/>
    <n v="908339"/>
    <n v="9.49"/>
    <n v="60"/>
    <n v="671"/>
    <x v="1"/>
    <x v="1"/>
    <x v="425"/>
    <x v="3"/>
    <n v="19072.371032731473"/>
    <n v="1144342.2619638883"/>
    <n v="236003.2619638883"/>
    <n v="2"/>
    <x v="0"/>
  </r>
  <r>
    <s v="L0459"/>
    <s v="Neha Sharma"/>
    <n v="33"/>
    <s v="F"/>
    <x v="0"/>
    <n v="724606"/>
    <n v="1409373"/>
    <n v="8.99"/>
    <n v="84"/>
    <n v="650"/>
    <x v="3"/>
    <x v="0"/>
    <x v="426"/>
    <x v="0"/>
    <n v="22668.360577160067"/>
    <n v="1904142.2884814455"/>
    <n v="494769.28848144552"/>
    <n v="1"/>
    <x v="0"/>
  </r>
  <r>
    <s v="L0460"/>
    <s v="Aditya Sharma"/>
    <n v="37"/>
    <s v="M"/>
    <x v="0"/>
    <n v="536231"/>
    <n v="1428223"/>
    <n v="14.73"/>
    <n v="60"/>
    <n v="666"/>
    <x v="2"/>
    <x v="0"/>
    <x v="427"/>
    <x v="2"/>
    <n v="33775.244462644951"/>
    <n v="2026514.6677586969"/>
    <n v="598291.66775869695"/>
    <n v="5"/>
    <x v="0"/>
  </r>
  <r>
    <s v="L0461"/>
    <s v="Sahil Gupta"/>
    <n v="52"/>
    <s v="F"/>
    <x v="1"/>
    <n v="332802"/>
    <n v="1612879"/>
    <n v="11.02"/>
    <n v="96"/>
    <n v="755"/>
    <x v="0"/>
    <x v="1"/>
    <x v="428"/>
    <x v="3"/>
    <n v="25353.191711742606"/>
    <n v="2433906.4043272901"/>
    <n v="821027.40432729013"/>
    <n v="6"/>
    <x v="4"/>
  </r>
  <r>
    <s v="L0462"/>
    <s v="Deepika Joshi"/>
    <n v="45"/>
    <s v="F"/>
    <x v="1"/>
    <n v="1554041"/>
    <n v="1898093"/>
    <n v="8.2799999999999994"/>
    <n v="72"/>
    <n v="821"/>
    <x v="2"/>
    <x v="1"/>
    <x v="429"/>
    <x v="0"/>
    <n v="33539.822193625856"/>
    <n v="2414867.1979410616"/>
    <n v="516774.19794106157"/>
    <n v="6"/>
    <x v="2"/>
  </r>
  <r>
    <s v="L0463"/>
    <s v="Rohan Nair"/>
    <n v="35"/>
    <s v="F"/>
    <x v="0"/>
    <n v="1903319"/>
    <n v="1732576"/>
    <n v="13.85"/>
    <n v="120"/>
    <n v="674"/>
    <x v="3"/>
    <x v="1"/>
    <x v="430"/>
    <x v="3"/>
    <n v="26745.050035023829"/>
    <n v="3209406.0042028595"/>
    <n v="1476830.0042028595"/>
    <n v="1"/>
    <x v="0"/>
  </r>
  <r>
    <s v="L0464"/>
    <s v="Tanya Rao"/>
    <n v="34"/>
    <s v="M"/>
    <x v="1"/>
    <n v="863277"/>
    <n v="877644"/>
    <n v="10.15"/>
    <n v="72"/>
    <n v="768"/>
    <x v="2"/>
    <x v="1"/>
    <x v="431"/>
    <x v="0"/>
    <n v="16325.555739891182"/>
    <n v="1175440.0132721651"/>
    <n v="297796.01327216509"/>
    <n v="2"/>
    <x v="4"/>
  </r>
  <r>
    <s v="L0465"/>
    <s v="Aditya Sharma"/>
    <n v="52"/>
    <s v="F"/>
    <x v="1"/>
    <n v="967203"/>
    <n v="1598663"/>
    <n v="12.11"/>
    <n v="72"/>
    <n v="821"/>
    <x v="3"/>
    <x v="1"/>
    <x v="432"/>
    <x v="0"/>
    <n v="31345.692844369809"/>
    <n v="2256889.8847946264"/>
    <n v="658226.88479462638"/>
    <n v="6"/>
    <x v="2"/>
  </r>
  <r>
    <s v="L0466"/>
    <s v="Arjun Mehta"/>
    <n v="55"/>
    <s v="F"/>
    <x v="2"/>
    <n v="495954"/>
    <n v="1632015"/>
    <n v="7.57"/>
    <n v="72"/>
    <n v="721"/>
    <x v="2"/>
    <x v="1"/>
    <x v="433"/>
    <x v="1"/>
    <n v="28273.074628385621"/>
    <n v="2035661.3732437647"/>
    <n v="403646.37324376474"/>
    <n v="3"/>
    <x v="1"/>
  </r>
  <r>
    <s v="L0467"/>
    <s v="Amit Yadav"/>
    <n v="45"/>
    <s v="M"/>
    <x v="2"/>
    <n v="567515"/>
    <n v="1409191"/>
    <n v="11.59"/>
    <n v="72"/>
    <n v="794"/>
    <x v="2"/>
    <x v="1"/>
    <x v="434"/>
    <x v="0"/>
    <n v="27250.425986694154"/>
    <n v="1962030.671041979"/>
    <n v="552839.67104197899"/>
    <n v="3"/>
    <x v="4"/>
  </r>
  <r>
    <s v="L0468"/>
    <s v="Meena George"/>
    <n v="60"/>
    <s v="F"/>
    <x v="2"/>
    <n v="637456"/>
    <n v="1484244"/>
    <n v="9.39"/>
    <n v="36"/>
    <n v="792"/>
    <x v="1"/>
    <x v="0"/>
    <x v="131"/>
    <x v="1"/>
    <n v="47468.4302036925"/>
    <n v="1708863.4873329301"/>
    <n v="224619.48733293009"/>
    <n v="6"/>
    <x v="4"/>
  </r>
  <r>
    <s v="L0469"/>
    <s v="Raj Kumar"/>
    <n v="41"/>
    <s v="M"/>
    <x v="0"/>
    <n v="1781951"/>
    <n v="1207184"/>
    <n v="13.03"/>
    <n v="60"/>
    <n v="640"/>
    <x v="2"/>
    <x v="0"/>
    <x v="435"/>
    <x v="2"/>
    <n v="27485.688370998381"/>
    <n v="1649141.3022599029"/>
    <n v="441957.30225990294"/>
    <n v="5"/>
    <x v="3"/>
  </r>
  <r>
    <s v="L0470"/>
    <s v="Isha Verma"/>
    <n v="47"/>
    <s v="F"/>
    <x v="0"/>
    <n v="1500499"/>
    <n v="1240254"/>
    <n v="13.73"/>
    <n v="48"/>
    <n v="664"/>
    <x v="3"/>
    <x v="0"/>
    <x v="436"/>
    <x v="1"/>
    <n v="33724.03059808023"/>
    <n v="1618753.4687078511"/>
    <n v="378499.46870785113"/>
    <n v="2"/>
    <x v="0"/>
  </r>
  <r>
    <s v="L0471"/>
    <s v="Arjun Mehta"/>
    <n v="31"/>
    <s v="M"/>
    <x v="0"/>
    <n v="708927"/>
    <n v="1773015"/>
    <n v="10.32"/>
    <n v="36"/>
    <n v="662"/>
    <x v="3"/>
    <x v="1"/>
    <x v="437"/>
    <x v="2"/>
    <n v="57476.951271122132"/>
    <n v="2069170.2457603968"/>
    <n v="296155.24576039682"/>
    <n v="3"/>
    <x v="0"/>
  </r>
  <r>
    <s v="L0472"/>
    <s v="Rohit Khanna"/>
    <n v="51"/>
    <s v="M"/>
    <x v="0"/>
    <n v="336636"/>
    <n v="1816922"/>
    <n v="7.72"/>
    <n v="84"/>
    <n v="695"/>
    <x v="0"/>
    <x v="1"/>
    <x v="438"/>
    <x v="3"/>
    <n v="28066.140919549594"/>
    <n v="2357555.837242166"/>
    <n v="540633.83724216605"/>
    <n v="6"/>
    <x v="0"/>
  </r>
  <r>
    <s v="L0473"/>
    <s v="Tanya Rao"/>
    <n v="34"/>
    <s v="M"/>
    <x v="2"/>
    <n v="1881925"/>
    <n v="1940036"/>
    <n v="7.53"/>
    <n v="60"/>
    <n v="730"/>
    <x v="2"/>
    <x v="1"/>
    <x v="439"/>
    <x v="2"/>
    <n v="38902.00454981903"/>
    <n v="2334120.2729891418"/>
    <n v="394084.27298914175"/>
    <n v="1"/>
    <x v="1"/>
  </r>
  <r>
    <s v="L0474"/>
    <s v="Rohit Khanna"/>
    <n v="38"/>
    <s v="M"/>
    <x v="2"/>
    <n v="1714129"/>
    <n v="1496529"/>
    <n v="10.52"/>
    <n v="120"/>
    <n v="656"/>
    <x v="0"/>
    <x v="1"/>
    <x v="116"/>
    <x v="3"/>
    <n v="20210.176544146787"/>
    <n v="2425221.1852976144"/>
    <n v="928692.18529761443"/>
    <n v="2"/>
    <x v="0"/>
  </r>
  <r>
    <s v="L0475"/>
    <s v="Mohit Jain"/>
    <n v="36"/>
    <s v="M"/>
    <x v="2"/>
    <n v="449942"/>
    <n v="1346357"/>
    <n v="9.36"/>
    <n v="60"/>
    <n v="712"/>
    <x v="3"/>
    <x v="1"/>
    <x v="440"/>
    <x v="1"/>
    <n v="28183.97815383894"/>
    <n v="1691038.6892303363"/>
    <n v="344681.68923033634"/>
    <n v="3"/>
    <x v="1"/>
  </r>
  <r>
    <s v="L0476"/>
    <s v="Rohit Khanna"/>
    <n v="57"/>
    <s v="M"/>
    <x v="0"/>
    <n v="1633802"/>
    <n v="663943"/>
    <n v="7.86"/>
    <n v="120"/>
    <n v="765"/>
    <x v="1"/>
    <x v="1"/>
    <x v="441"/>
    <x v="1"/>
    <n v="8006.4288067800589"/>
    <n v="960771.45681360713"/>
    <n v="296828.45681360713"/>
    <n v="6"/>
    <x v="4"/>
  </r>
  <r>
    <s v="L0477"/>
    <s v="Deepika Joshi"/>
    <n v="39"/>
    <s v="F"/>
    <x v="0"/>
    <n v="1272294"/>
    <n v="1137709"/>
    <n v="10.82"/>
    <n v="120"/>
    <n v="659"/>
    <x v="0"/>
    <x v="0"/>
    <x v="81"/>
    <x v="1"/>
    <n v="15556.246038160076"/>
    <n v="1866749.524579209"/>
    <n v="729040.52457920904"/>
    <n v="5"/>
    <x v="0"/>
  </r>
  <r>
    <s v="L0478"/>
    <s v="Rina Kapoor"/>
    <n v="33"/>
    <s v="M"/>
    <x v="2"/>
    <n v="557162"/>
    <n v="520408"/>
    <n v="8.01"/>
    <n v="60"/>
    <n v="834"/>
    <x v="1"/>
    <x v="1"/>
    <x v="442"/>
    <x v="2"/>
    <n v="10554.488565315654"/>
    <n v="633269.31391893921"/>
    <n v="112861.31391893921"/>
    <n v="5"/>
    <x v="2"/>
  </r>
  <r>
    <s v="L0479"/>
    <s v="Aarav Patel"/>
    <n v="39"/>
    <s v="M"/>
    <x v="2"/>
    <n v="1857242"/>
    <n v="1158713"/>
    <n v="11.33"/>
    <n v="84"/>
    <n v="697"/>
    <x v="3"/>
    <x v="0"/>
    <x v="141"/>
    <x v="3"/>
    <n v="20041.609491728301"/>
    <n v="1683495.1973051773"/>
    <n v="524782.19730517734"/>
    <n v="5"/>
    <x v="0"/>
  </r>
  <r>
    <s v="L0480"/>
    <s v="Neha Sharma"/>
    <n v="46"/>
    <s v="M"/>
    <x v="2"/>
    <n v="356169"/>
    <n v="1132001"/>
    <n v="12.75"/>
    <n v="120"/>
    <n v="679"/>
    <x v="1"/>
    <x v="1"/>
    <x v="443"/>
    <x v="3"/>
    <n v="16735.481115307277"/>
    <n v="2008257.7338368732"/>
    <n v="876256.7338368732"/>
    <n v="6"/>
    <x v="0"/>
  </r>
  <r>
    <s v="L0481"/>
    <s v="Rohan Nair"/>
    <n v="28"/>
    <s v="M"/>
    <x v="0"/>
    <n v="1229813"/>
    <n v="1503928"/>
    <n v="10.79"/>
    <n v="96"/>
    <n v="656"/>
    <x v="2"/>
    <x v="1"/>
    <x v="444"/>
    <x v="1"/>
    <n v="23454.333739353202"/>
    <n v="2251616.0389779075"/>
    <n v="747688.0389779075"/>
    <n v="7"/>
    <x v="0"/>
  </r>
  <r>
    <s v="L0482"/>
    <s v="Arjun Mehta"/>
    <n v="57"/>
    <s v="M"/>
    <x v="2"/>
    <n v="795529"/>
    <n v="1852541"/>
    <n v="11.23"/>
    <n v="96"/>
    <n v="841"/>
    <x v="1"/>
    <x v="1"/>
    <x v="445"/>
    <x v="2"/>
    <n v="29330.814162755079"/>
    <n v="2815758.1596244876"/>
    <n v="963217.15962448763"/>
    <n v="3"/>
    <x v="2"/>
  </r>
  <r>
    <s v="L0483"/>
    <s v="Raj Kumar"/>
    <n v="28"/>
    <s v="M"/>
    <x v="1"/>
    <n v="1473929"/>
    <n v="516318"/>
    <n v="14.13"/>
    <n v="60"/>
    <n v="817"/>
    <x v="1"/>
    <x v="1"/>
    <x v="421"/>
    <x v="3"/>
    <n v="12048.643300707221"/>
    <n v="722918.59804243327"/>
    <n v="206600.59804243327"/>
    <n v="7"/>
    <x v="2"/>
  </r>
  <r>
    <s v="L0484"/>
    <s v="Mohit Jain"/>
    <n v="38"/>
    <s v="F"/>
    <x v="2"/>
    <n v="326356"/>
    <n v="1071574"/>
    <n v="9.59"/>
    <n v="60"/>
    <n v="708"/>
    <x v="1"/>
    <x v="0"/>
    <x v="446"/>
    <x v="1"/>
    <n v="22552.207828190469"/>
    <n v="1353132.4696914281"/>
    <n v="281558.46969142812"/>
    <n v="6"/>
    <x v="1"/>
  </r>
  <r>
    <s v="L0485"/>
    <s v="Rohan Nair"/>
    <n v="34"/>
    <s v="F"/>
    <x v="0"/>
    <n v="365911"/>
    <n v="1691571"/>
    <n v="14.83"/>
    <n v="96"/>
    <n v="754"/>
    <x v="0"/>
    <x v="1"/>
    <x v="286"/>
    <x v="0"/>
    <n v="30189.751694831371"/>
    <n v="2898216.1627038117"/>
    <n v="1206645.1627038117"/>
    <n v="4"/>
    <x v="4"/>
  </r>
  <r>
    <s v="L0486"/>
    <s v="Meena George"/>
    <n v="46"/>
    <s v="F"/>
    <x v="1"/>
    <n v="1038028"/>
    <n v="1888819"/>
    <n v="13.61"/>
    <n v="72"/>
    <n v="683"/>
    <x v="2"/>
    <x v="1"/>
    <x v="447"/>
    <x v="2"/>
    <n v="38527.164347531543"/>
    <n v="2773955.8330222713"/>
    <n v="885136.83302227128"/>
    <n v="7"/>
    <x v="0"/>
  </r>
  <r>
    <s v="L0487"/>
    <s v="Arjun Mehta"/>
    <n v="51"/>
    <s v="F"/>
    <x v="1"/>
    <n v="1594789"/>
    <n v="1209176"/>
    <n v="10.11"/>
    <n v="120"/>
    <n v="688"/>
    <x v="2"/>
    <x v="1"/>
    <x v="448"/>
    <x v="1"/>
    <n v="16053.095369678622"/>
    <n v="1926371.4443614346"/>
    <n v="717195.44436143455"/>
    <n v="7"/>
    <x v="0"/>
  </r>
  <r>
    <s v="L0488"/>
    <s v="Meena George"/>
    <n v="30"/>
    <s v="M"/>
    <x v="0"/>
    <n v="1441244"/>
    <n v="642329"/>
    <n v="8.01"/>
    <n v="84"/>
    <n v="815"/>
    <x v="3"/>
    <x v="1"/>
    <x v="449"/>
    <x v="1"/>
    <n v="10014.67797770005"/>
    <n v="841232.95012680418"/>
    <n v="198903.95012680418"/>
    <n v="4"/>
    <x v="2"/>
  </r>
  <r>
    <s v="L0489"/>
    <s v="Amit Yadav"/>
    <n v="56"/>
    <s v="M"/>
    <x v="0"/>
    <n v="624635"/>
    <n v="421005"/>
    <n v="10.28"/>
    <n v="96"/>
    <n v="605"/>
    <x v="2"/>
    <x v="1"/>
    <x v="399"/>
    <x v="0"/>
    <n v="6450.9438947151921"/>
    <n v="619290.61389265838"/>
    <n v="198285.61389265838"/>
    <n v="2"/>
    <x v="3"/>
  </r>
  <r>
    <s v="L0490"/>
    <s v="Amit Yadav"/>
    <n v="37"/>
    <s v="F"/>
    <x v="0"/>
    <n v="1436043"/>
    <n v="593573"/>
    <n v="12.77"/>
    <n v="72"/>
    <n v="704"/>
    <x v="0"/>
    <x v="0"/>
    <x v="450"/>
    <x v="3"/>
    <n v="11843.513781525278"/>
    <n v="852732.99226982007"/>
    <n v="259159.99226982007"/>
    <n v="2"/>
    <x v="1"/>
  </r>
  <r>
    <s v="L0491"/>
    <s v="Isha Verma"/>
    <n v="51"/>
    <s v="F"/>
    <x v="2"/>
    <n v="1776881"/>
    <n v="1992320"/>
    <n v="13.15"/>
    <n v="48"/>
    <n v="745"/>
    <x v="2"/>
    <x v="0"/>
    <x v="451"/>
    <x v="2"/>
    <n v="53597.401638471601"/>
    <n v="2572675.2786466368"/>
    <n v="580355.27864663675"/>
    <n v="1"/>
    <x v="1"/>
  </r>
  <r>
    <s v="L0492"/>
    <s v="Aditya Sharma"/>
    <n v="39"/>
    <s v="F"/>
    <x v="0"/>
    <n v="603092"/>
    <n v="706087"/>
    <n v="9.32"/>
    <n v="96"/>
    <n v="809"/>
    <x v="0"/>
    <x v="1"/>
    <x v="452"/>
    <x v="2"/>
    <n v="10461.908562987754"/>
    <n v="1004343.2220468244"/>
    <n v="298256.2220468244"/>
    <n v="2"/>
    <x v="2"/>
  </r>
  <r>
    <s v="L0493"/>
    <s v="Pooja Reddy"/>
    <n v="38"/>
    <s v="M"/>
    <x v="0"/>
    <n v="1871569"/>
    <n v="783602"/>
    <n v="11.02"/>
    <n v="72"/>
    <n v="687"/>
    <x v="1"/>
    <x v="1"/>
    <x v="146"/>
    <x v="0"/>
    <n v="14923.170655754177"/>
    <n v="1074468.2872143006"/>
    <n v="290866.2872143006"/>
    <n v="5"/>
    <x v="0"/>
  </r>
  <r>
    <s v="L0494"/>
    <s v="Vikram Das"/>
    <n v="60"/>
    <s v="M"/>
    <x v="1"/>
    <n v="632522"/>
    <n v="1769463"/>
    <n v="7.61"/>
    <n v="36"/>
    <n v="636"/>
    <x v="0"/>
    <x v="0"/>
    <x v="12"/>
    <x v="0"/>
    <n v="55130.73858825527"/>
    <n v="1984706.5891771896"/>
    <n v="215243.58917718963"/>
    <n v="4"/>
    <x v="3"/>
  </r>
  <r>
    <s v="L0495"/>
    <s v="Pooja Reddy"/>
    <n v="49"/>
    <s v="M"/>
    <x v="1"/>
    <n v="831241"/>
    <n v="1537761"/>
    <n v="9.7100000000000009"/>
    <n v="96"/>
    <n v="834"/>
    <x v="2"/>
    <x v="1"/>
    <x v="436"/>
    <x v="1"/>
    <n v="23098.936756414823"/>
    <n v="2217497.9286158229"/>
    <n v="679736.92861582292"/>
    <n v="2"/>
    <x v="2"/>
  </r>
  <r>
    <s v="L0496"/>
    <s v="Pooja Reddy"/>
    <n v="26"/>
    <s v="F"/>
    <x v="0"/>
    <n v="1794321"/>
    <n v="1297848"/>
    <n v="14.95"/>
    <n v="36"/>
    <n v="831"/>
    <x v="0"/>
    <x v="1"/>
    <x v="453"/>
    <x v="2"/>
    <n v="44958.555685151572"/>
    <n v="1618508.0046654567"/>
    <n v="320660.00466545671"/>
    <n v="4"/>
    <x v="2"/>
  </r>
  <r>
    <s v="L0497"/>
    <s v="Arjun Mehta"/>
    <n v="47"/>
    <s v="M"/>
    <x v="0"/>
    <n v="936518"/>
    <n v="968429"/>
    <n v="8.6"/>
    <n v="84"/>
    <n v="746"/>
    <x v="0"/>
    <x v="1"/>
    <x v="454"/>
    <x v="0"/>
    <n v="15385.255859354438"/>
    <n v="1292361.4921857729"/>
    <n v="323932.49218577286"/>
    <n v="7"/>
    <x v="1"/>
  </r>
  <r>
    <s v="L0498"/>
    <s v="Sahil Gupta"/>
    <n v="36"/>
    <s v="F"/>
    <x v="2"/>
    <n v="965638"/>
    <n v="1838044"/>
    <n v="14.55"/>
    <n v="60"/>
    <n v="778"/>
    <x v="2"/>
    <x v="1"/>
    <x v="455"/>
    <x v="3"/>
    <n v="43293.97442095005"/>
    <n v="2597638.465257003"/>
    <n v="759594.46525700297"/>
    <n v="4"/>
    <x v="4"/>
  </r>
  <r>
    <s v="L0499"/>
    <s v="Aarav Patel"/>
    <n v="60"/>
    <s v="M"/>
    <x v="2"/>
    <n v="1409008"/>
    <n v="723997"/>
    <n v="13.25"/>
    <n v="72"/>
    <n v="850"/>
    <x v="1"/>
    <x v="1"/>
    <x v="456"/>
    <x v="3"/>
    <n v="14629.295518800178"/>
    <n v="1053309.2773536127"/>
    <n v="329312.27735361271"/>
    <n v="2"/>
    <x v="2"/>
  </r>
  <r>
    <s v="L0500"/>
    <s v="Pooja Reddy"/>
    <n v="48"/>
    <s v="F"/>
    <x v="0"/>
    <n v="1786991"/>
    <n v="1194006"/>
    <n v="11.02"/>
    <n v="60"/>
    <n v="647"/>
    <x v="0"/>
    <x v="1"/>
    <x v="457"/>
    <x v="3"/>
    <n v="25972.494417184855"/>
    <n v="1558349.6650310913"/>
    <n v="364343.66503109131"/>
    <n v="5"/>
    <x v="3"/>
  </r>
  <r>
    <s v="L0501"/>
    <s v="Raj Kumar"/>
    <n v="55"/>
    <s v="F"/>
    <x v="0"/>
    <n v="463624"/>
    <n v="977914"/>
    <n v="12.98"/>
    <n v="72"/>
    <n v="828"/>
    <x v="3"/>
    <x v="1"/>
    <x v="458"/>
    <x v="2"/>
    <n v="19620.427427255396"/>
    <n v="1412670.7747623886"/>
    <n v="434756.77476238855"/>
    <n v="6"/>
    <x v="2"/>
  </r>
  <r>
    <s v="L0502"/>
    <s v="Arjun Mehta"/>
    <n v="33"/>
    <s v="F"/>
    <x v="1"/>
    <n v="1775586"/>
    <n v="502871"/>
    <n v="12.51"/>
    <n v="84"/>
    <n v="634"/>
    <x v="1"/>
    <x v="1"/>
    <x v="459"/>
    <x v="1"/>
    <n v="9014.782970360211"/>
    <n v="757241.76951025776"/>
    <n v="254370.76951025776"/>
    <n v="5"/>
    <x v="3"/>
  </r>
  <r>
    <s v="L0503"/>
    <s v="Rina Kapoor"/>
    <n v="53"/>
    <s v="F"/>
    <x v="2"/>
    <n v="722689"/>
    <n v="407836"/>
    <n v="9.1"/>
    <n v="96"/>
    <n v="633"/>
    <x v="0"/>
    <x v="0"/>
    <x v="460"/>
    <x v="3"/>
    <n v="5996.0586494519648"/>
    <n v="575621.63034738856"/>
    <n v="167785.63034738856"/>
    <n v="3"/>
    <x v="3"/>
  </r>
  <r>
    <s v="L0504"/>
    <s v="Raj Kumar"/>
    <n v="46"/>
    <s v="M"/>
    <x v="2"/>
    <n v="735990"/>
    <n v="288904"/>
    <n v="12.45"/>
    <n v="48"/>
    <n v="812"/>
    <x v="2"/>
    <x v="1"/>
    <x v="266"/>
    <x v="2"/>
    <n v="7671.9388856747246"/>
    <n v="368253.06651238678"/>
    <n v="79349.06651238678"/>
    <n v="3"/>
    <x v="2"/>
  </r>
  <r>
    <s v="L0505"/>
    <s v="Aarav Patel"/>
    <n v="28"/>
    <s v="F"/>
    <x v="2"/>
    <n v="1979090"/>
    <n v="933013"/>
    <n v="13.69"/>
    <n v="36"/>
    <n v="761"/>
    <x v="2"/>
    <x v="0"/>
    <x v="461"/>
    <x v="2"/>
    <n v="31747.874922878"/>
    <n v="1142923.497223608"/>
    <n v="209910.49722360796"/>
    <n v="6"/>
    <x v="4"/>
  </r>
  <r>
    <s v="L0506"/>
    <s v="Arjun Mehta"/>
    <n v="31"/>
    <s v="M"/>
    <x v="2"/>
    <n v="1501177"/>
    <n v="230706"/>
    <n v="8.75"/>
    <n v="72"/>
    <n v="742"/>
    <x v="1"/>
    <x v="1"/>
    <x v="462"/>
    <x v="2"/>
    <n v="4130.0319722454688"/>
    <n v="297362.30200167373"/>
    <n v="66656.302001673728"/>
    <n v="6"/>
    <x v="1"/>
  </r>
  <r>
    <s v="L0507"/>
    <s v="Meena George"/>
    <n v="31"/>
    <s v="M"/>
    <x v="0"/>
    <n v="813461"/>
    <n v="1033886"/>
    <n v="13.57"/>
    <n v="96"/>
    <n v="656"/>
    <x v="0"/>
    <x v="1"/>
    <x v="463"/>
    <x v="2"/>
    <n v="17708.069901791834"/>
    <n v="1699974.710572016"/>
    <n v="666088.71057201596"/>
    <n v="4"/>
    <x v="0"/>
  </r>
  <r>
    <s v="L0508"/>
    <s v="Amit Yadav"/>
    <n v="32"/>
    <s v="M"/>
    <x v="1"/>
    <n v="315875"/>
    <n v="1980101"/>
    <n v="7.75"/>
    <n v="96"/>
    <n v="832"/>
    <x v="2"/>
    <x v="1"/>
    <x v="464"/>
    <x v="1"/>
    <n v="27741.103934435563"/>
    <n v="2663145.9777058139"/>
    <n v="683044.97770581394"/>
    <n v="5"/>
    <x v="2"/>
  </r>
  <r>
    <s v="L0509"/>
    <s v="Aditya Sharma"/>
    <n v="30"/>
    <s v="M"/>
    <x v="0"/>
    <n v="1861064"/>
    <n v="1703927"/>
    <n v="8.58"/>
    <n v="96"/>
    <n v="683"/>
    <x v="0"/>
    <x v="0"/>
    <x v="465"/>
    <x v="2"/>
    <n v="24593.195029304279"/>
    <n v="2360946.7228132109"/>
    <n v="657019.72281321092"/>
    <n v="1"/>
    <x v="0"/>
  </r>
  <r>
    <s v="L0510"/>
    <s v="Aarav Patel"/>
    <n v="53"/>
    <s v="F"/>
    <x v="2"/>
    <n v="1768396"/>
    <n v="837217"/>
    <n v="9.69"/>
    <n v="96"/>
    <n v="714"/>
    <x v="1"/>
    <x v="1"/>
    <x v="466"/>
    <x v="1"/>
    <n v="12567.152952817838"/>
    <n v="1206446.6834705125"/>
    <n v="369229.68347051251"/>
    <n v="4"/>
    <x v="1"/>
  </r>
  <r>
    <s v="L0511"/>
    <s v="Deepika Joshi"/>
    <n v="50"/>
    <s v="F"/>
    <x v="2"/>
    <n v="995576"/>
    <n v="1130048"/>
    <n v="7.56"/>
    <n v="84"/>
    <n v="803"/>
    <x v="1"/>
    <x v="1"/>
    <x v="467"/>
    <x v="1"/>
    <n v="17366.470288953493"/>
    <n v="1458783.5042720933"/>
    <n v="328735.5042720933"/>
    <n v="2"/>
    <x v="2"/>
  </r>
  <r>
    <s v="L0512"/>
    <s v="Rina Kapoor"/>
    <n v="30"/>
    <s v="M"/>
    <x v="2"/>
    <n v="531941"/>
    <n v="940228"/>
    <n v="8.57"/>
    <n v="96"/>
    <n v="600"/>
    <x v="3"/>
    <x v="1"/>
    <x v="468"/>
    <x v="3"/>
    <n v="13565.704877494698"/>
    <n v="1302307.6682394911"/>
    <n v="362079.66823949106"/>
    <n v="3"/>
    <x v="3"/>
  </r>
  <r>
    <s v="L0513"/>
    <s v="Meena George"/>
    <n v="57"/>
    <s v="M"/>
    <x v="2"/>
    <n v="1491229"/>
    <n v="1611643"/>
    <n v="7.74"/>
    <n v="96"/>
    <n v="724"/>
    <x v="2"/>
    <x v="0"/>
    <x v="67"/>
    <x v="3"/>
    <n v="22570.880110453909"/>
    <n v="2166804.4906035755"/>
    <n v="555161.49060357548"/>
    <n v="4"/>
    <x v="1"/>
  </r>
  <r>
    <s v="L0514"/>
    <s v="Vikram Das"/>
    <n v="26"/>
    <s v="M"/>
    <x v="1"/>
    <n v="545153"/>
    <n v="1596986"/>
    <n v="9.99"/>
    <n v="72"/>
    <n v="624"/>
    <x v="1"/>
    <x v="1"/>
    <x v="469"/>
    <x v="0"/>
    <n v="29577.450888888739"/>
    <n v="2129576.4639999894"/>
    <n v="532590.46399998944"/>
    <n v="4"/>
    <x v="3"/>
  </r>
  <r>
    <s v="L0515"/>
    <s v="Rina Kapoor"/>
    <n v="45"/>
    <s v="M"/>
    <x v="2"/>
    <n v="1233182"/>
    <n v="1734860"/>
    <n v="8.11"/>
    <n v="60"/>
    <n v="842"/>
    <x v="3"/>
    <x v="0"/>
    <x v="470"/>
    <x v="3"/>
    <n v="35268.106814436302"/>
    <n v="2116086.4088661782"/>
    <n v="381226.40886617824"/>
    <n v="7"/>
    <x v="2"/>
  </r>
  <r>
    <s v="L0516"/>
    <s v="Rohit Khanna"/>
    <n v="39"/>
    <s v="M"/>
    <x v="0"/>
    <n v="1816534"/>
    <n v="1926760"/>
    <n v="7.52"/>
    <n v="36"/>
    <n v="620"/>
    <x v="2"/>
    <x v="0"/>
    <x v="286"/>
    <x v="0"/>
    <n v="59951.91650888935"/>
    <n v="2158268.9943200164"/>
    <n v="231508.99432001635"/>
    <n v="4"/>
    <x v="3"/>
  </r>
  <r>
    <s v="L0517"/>
    <s v="Rina Kapoor"/>
    <n v="52"/>
    <s v="F"/>
    <x v="0"/>
    <n v="1281118"/>
    <n v="373045"/>
    <n v="7.96"/>
    <n v="48"/>
    <n v="830"/>
    <x v="1"/>
    <x v="1"/>
    <x v="471"/>
    <x v="2"/>
    <n v="9100.1159123155539"/>
    <n v="436805.56379114662"/>
    <n v="63760.563791146618"/>
    <n v="3"/>
    <x v="2"/>
  </r>
  <r>
    <s v="L0518"/>
    <s v="Mohit Jain"/>
    <n v="36"/>
    <s v="M"/>
    <x v="2"/>
    <n v="1061800"/>
    <n v="1341845"/>
    <n v="10.85"/>
    <n v="72"/>
    <n v="651"/>
    <x v="1"/>
    <x v="1"/>
    <x v="472"/>
    <x v="0"/>
    <n v="25437.810865605086"/>
    <n v="1831522.3823235661"/>
    <n v="489677.38232356613"/>
    <n v="4"/>
    <x v="0"/>
  </r>
  <r>
    <s v="L0519"/>
    <s v="Sneha Pillai"/>
    <n v="29"/>
    <s v="M"/>
    <x v="2"/>
    <n v="325439"/>
    <n v="520913"/>
    <n v="13.23"/>
    <n v="48"/>
    <n v="795"/>
    <x v="2"/>
    <x v="1"/>
    <x v="473"/>
    <x v="1"/>
    <n v="14034.32936381513"/>
    <n v="673647.80946312624"/>
    <n v="152734.80946312624"/>
    <n v="3"/>
    <x v="4"/>
  </r>
  <r>
    <s v="L0520"/>
    <s v="Neha Sharma"/>
    <n v="51"/>
    <s v="F"/>
    <x v="2"/>
    <n v="540010"/>
    <n v="1372618"/>
    <n v="13.39"/>
    <n v="120"/>
    <n v="713"/>
    <x v="3"/>
    <x v="1"/>
    <x v="157"/>
    <x v="0"/>
    <n v="20811.61233091816"/>
    <n v="2497393.4797101794"/>
    <n v="1124775.4797101794"/>
    <n v="1"/>
    <x v="1"/>
  </r>
  <r>
    <s v="L0521"/>
    <s v="Rohit Khanna"/>
    <n v="32"/>
    <s v="F"/>
    <x v="2"/>
    <n v="624279"/>
    <n v="781808"/>
    <n v="14.35"/>
    <n v="84"/>
    <n v="827"/>
    <x v="1"/>
    <x v="1"/>
    <x v="474"/>
    <x v="1"/>
    <n v="14802.665992804434"/>
    <n v="1243423.9433955725"/>
    <n v="461615.94339557248"/>
    <n v="2"/>
    <x v="2"/>
  </r>
  <r>
    <s v="L0522"/>
    <s v="Priya Singh"/>
    <n v="27"/>
    <s v="F"/>
    <x v="1"/>
    <n v="1734333"/>
    <n v="1295926"/>
    <n v="12.07"/>
    <n v="36"/>
    <n v="706"/>
    <x v="2"/>
    <x v="1"/>
    <x v="420"/>
    <x v="1"/>
    <n v="43086.627701009849"/>
    <n v="1551118.5972363546"/>
    <n v="255192.5972363546"/>
    <n v="3"/>
    <x v="1"/>
  </r>
  <r>
    <s v="L0523"/>
    <s v="Amit Yadav"/>
    <n v="30"/>
    <s v="F"/>
    <x v="0"/>
    <n v="1205066"/>
    <n v="672204"/>
    <n v="7.63"/>
    <n v="72"/>
    <n v="705"/>
    <x v="1"/>
    <x v="1"/>
    <x v="475"/>
    <x v="3"/>
    <n v="11664.844314197118"/>
    <n v="839868.79062219255"/>
    <n v="167664.79062219255"/>
    <n v="1"/>
    <x v="1"/>
  </r>
  <r>
    <s v="L0524"/>
    <s v="Meena George"/>
    <n v="49"/>
    <s v="M"/>
    <x v="2"/>
    <n v="995603"/>
    <n v="1821210"/>
    <n v="14.55"/>
    <n v="60"/>
    <n v="654"/>
    <x v="0"/>
    <x v="1"/>
    <x v="64"/>
    <x v="0"/>
    <n v="42897.460101705088"/>
    <n v="2573847.6061023055"/>
    <n v="752637.60610230546"/>
    <n v="3"/>
    <x v="0"/>
  </r>
  <r>
    <s v="L0525"/>
    <s v="Tanya Rao"/>
    <n v="36"/>
    <s v="M"/>
    <x v="0"/>
    <n v="677840"/>
    <n v="1134686"/>
    <n v="10.25"/>
    <n v="72"/>
    <n v="762"/>
    <x v="2"/>
    <x v="1"/>
    <x v="476"/>
    <x v="2"/>
    <n v="21164.340550914731"/>
    <n v="1523832.5196658606"/>
    <n v="389146.51966586057"/>
    <n v="5"/>
    <x v="4"/>
  </r>
  <r>
    <s v="L0526"/>
    <s v="Raj Kumar"/>
    <n v="28"/>
    <s v="F"/>
    <x v="2"/>
    <n v="514097"/>
    <n v="1610099"/>
    <n v="13.26"/>
    <n v="96"/>
    <n v="721"/>
    <x v="1"/>
    <x v="1"/>
    <x v="477"/>
    <x v="2"/>
    <n v="27296.040606213843"/>
    <n v="2620419.8981965287"/>
    <n v="1010320.8981965287"/>
    <n v="6"/>
    <x v="1"/>
  </r>
  <r>
    <s v="L0527"/>
    <s v="Kiran Menon"/>
    <n v="58"/>
    <s v="F"/>
    <x v="0"/>
    <n v="1116816"/>
    <n v="1075512"/>
    <n v="8.39"/>
    <n v="60"/>
    <n v="699"/>
    <x v="2"/>
    <x v="1"/>
    <x v="478"/>
    <x v="1"/>
    <n v="22008.800348722354"/>
    <n v="1320528.0209233412"/>
    <n v="245016.02092334116"/>
    <n v="5"/>
    <x v="0"/>
  </r>
  <r>
    <s v="L0528"/>
    <s v="Deepika Joshi"/>
    <n v="34"/>
    <s v="F"/>
    <x v="1"/>
    <n v="410032"/>
    <n v="228565"/>
    <n v="9.02"/>
    <n v="36"/>
    <n v="721"/>
    <x v="1"/>
    <x v="1"/>
    <x v="479"/>
    <x v="1"/>
    <n v="7270.4336237995794"/>
    <n v="261735.61045678487"/>
    <n v="33170.610456784867"/>
    <n v="3"/>
    <x v="1"/>
  </r>
  <r>
    <s v="L0529"/>
    <s v="Isha Verma"/>
    <n v="40"/>
    <s v="F"/>
    <x v="1"/>
    <n v="1947537"/>
    <n v="792992"/>
    <n v="8.36"/>
    <n v="36"/>
    <n v="792"/>
    <x v="3"/>
    <x v="1"/>
    <x v="480"/>
    <x v="0"/>
    <n v="24981.393890012801"/>
    <n v="899330.18004046089"/>
    <n v="106338.18004046089"/>
    <n v="7"/>
    <x v="4"/>
  </r>
  <r>
    <s v="L0530"/>
    <s v="Rohan Nair"/>
    <n v="39"/>
    <s v="F"/>
    <x v="0"/>
    <n v="533014"/>
    <n v="1757115"/>
    <n v="12.86"/>
    <n v="36"/>
    <n v="778"/>
    <x v="2"/>
    <x v="0"/>
    <x v="173"/>
    <x v="0"/>
    <n v="59085.730918769375"/>
    <n v="2127086.3130756975"/>
    <n v="369971.31307569752"/>
    <n v="1"/>
    <x v="4"/>
  </r>
  <r>
    <s v="L0531"/>
    <s v="Isha Verma"/>
    <n v="39"/>
    <s v="F"/>
    <x v="1"/>
    <n v="1097834"/>
    <n v="359168"/>
    <n v="8.39"/>
    <n v="36"/>
    <n v="648"/>
    <x v="0"/>
    <x v="0"/>
    <x v="323"/>
    <x v="1"/>
    <n v="11319.7512241896"/>
    <n v="407511.04407082562"/>
    <n v="48343.044070825621"/>
    <n v="5"/>
    <x v="3"/>
  </r>
  <r>
    <s v="L0532"/>
    <s v="Priya Singh"/>
    <n v="48"/>
    <s v="F"/>
    <x v="0"/>
    <n v="1842882"/>
    <n v="751473"/>
    <n v="7.91"/>
    <n v="72"/>
    <n v="637"/>
    <x v="0"/>
    <x v="1"/>
    <x v="481"/>
    <x v="2"/>
    <n v="13142.758197336934"/>
    <n v="946278.59020825929"/>
    <n v="194805.59020825929"/>
    <n v="4"/>
    <x v="3"/>
  </r>
  <r>
    <s v="L0533"/>
    <s v="Kiran Menon"/>
    <n v="41"/>
    <s v="M"/>
    <x v="0"/>
    <n v="714272"/>
    <n v="1889958"/>
    <n v="12.63"/>
    <n v="72"/>
    <n v="713"/>
    <x v="3"/>
    <x v="0"/>
    <x v="482"/>
    <x v="1"/>
    <n v="37571.142857774947"/>
    <n v="2705122.2857597964"/>
    <n v="815164.28575979639"/>
    <n v="1"/>
    <x v="1"/>
  </r>
  <r>
    <s v="L0534"/>
    <s v="Raj Kumar"/>
    <n v="40"/>
    <s v="M"/>
    <x v="0"/>
    <n v="1637279"/>
    <n v="1528074"/>
    <n v="10.71"/>
    <n v="120"/>
    <n v="611"/>
    <x v="1"/>
    <x v="0"/>
    <x v="483"/>
    <x v="0"/>
    <n v="20799.161672066337"/>
    <n v="2495899.4006479606"/>
    <n v="967825.4006479606"/>
    <n v="7"/>
    <x v="3"/>
  </r>
  <r>
    <s v="L0535"/>
    <s v="Mohit Jain"/>
    <n v="27"/>
    <s v="F"/>
    <x v="1"/>
    <n v="1605940"/>
    <n v="876720"/>
    <n v="7.53"/>
    <n v="120"/>
    <n v="757"/>
    <x v="3"/>
    <x v="0"/>
    <x v="484"/>
    <x v="0"/>
    <n v="10420.553972704864"/>
    <n v="1250466.4767245837"/>
    <n v="373746.47672458366"/>
    <n v="3"/>
    <x v="4"/>
  </r>
  <r>
    <s v="L0536"/>
    <s v="Neha Sharma"/>
    <n v="39"/>
    <s v="F"/>
    <x v="1"/>
    <n v="961227"/>
    <n v="988303"/>
    <n v="9.66"/>
    <n v="36"/>
    <n v="709"/>
    <x v="3"/>
    <x v="1"/>
    <x v="485"/>
    <x v="3"/>
    <n v="31732.229905363041"/>
    <n v="1142360.2765930695"/>
    <n v="154057.27659306955"/>
    <n v="5"/>
    <x v="1"/>
  </r>
  <r>
    <s v="L0537"/>
    <s v="Aditya Sharma"/>
    <n v="45"/>
    <s v="M"/>
    <x v="2"/>
    <n v="604893"/>
    <n v="557664"/>
    <n v="11.13"/>
    <n v="84"/>
    <n v="727"/>
    <x v="0"/>
    <x v="1"/>
    <x v="486"/>
    <x v="1"/>
    <n v="9586.7269829382676"/>
    <n v="805285.06656681444"/>
    <n v="247621.06656681444"/>
    <n v="6"/>
    <x v="1"/>
  </r>
  <r>
    <s v="L0538"/>
    <s v="Isha Verma"/>
    <n v="33"/>
    <s v="M"/>
    <x v="0"/>
    <n v="594891"/>
    <n v="1592601"/>
    <n v="11.8"/>
    <n v="48"/>
    <n v="653"/>
    <x v="3"/>
    <x v="1"/>
    <x v="487"/>
    <x v="1"/>
    <n v="41783.072452892149"/>
    <n v="2005587.4777388233"/>
    <n v="412986.47773882328"/>
    <n v="2"/>
    <x v="0"/>
  </r>
  <r>
    <s v="L0539"/>
    <s v="Aditya Sharma"/>
    <n v="48"/>
    <s v="F"/>
    <x v="1"/>
    <n v="1813400"/>
    <n v="562738"/>
    <n v="10.29"/>
    <n v="96"/>
    <n v="608"/>
    <x v="3"/>
    <x v="1"/>
    <x v="488"/>
    <x v="2"/>
    <n v="8625.6738275776988"/>
    <n v="828064.68744745909"/>
    <n v="265326.68744745909"/>
    <n v="7"/>
    <x v="3"/>
  </r>
  <r>
    <s v="L0540"/>
    <s v="Neha Sharma"/>
    <n v="40"/>
    <s v="F"/>
    <x v="0"/>
    <n v="1588282"/>
    <n v="1290545"/>
    <n v="11.59"/>
    <n v="84"/>
    <n v="697"/>
    <x v="1"/>
    <x v="1"/>
    <x v="489"/>
    <x v="2"/>
    <n v="22499.651002867722"/>
    <n v="1889970.6842408886"/>
    <n v="599425.68424088857"/>
    <n v="2"/>
    <x v="0"/>
  </r>
  <r>
    <s v="L0541"/>
    <s v="Sahil Gupta"/>
    <n v="33"/>
    <s v="F"/>
    <x v="0"/>
    <n v="1286985"/>
    <n v="267961"/>
    <n v="14.25"/>
    <n v="96"/>
    <n v="603"/>
    <x v="1"/>
    <x v="1"/>
    <x v="490"/>
    <x v="0"/>
    <n v="4693.0900210421478"/>
    <n v="450536.64202004619"/>
    <n v="182575.64202004619"/>
    <n v="4"/>
    <x v="3"/>
  </r>
  <r>
    <s v="L0542"/>
    <s v="Aarav Patel"/>
    <n v="27"/>
    <s v="M"/>
    <x v="0"/>
    <n v="1924743"/>
    <n v="1080016"/>
    <n v="13.81"/>
    <n v="60"/>
    <n v="838"/>
    <x v="1"/>
    <x v="0"/>
    <x v="491"/>
    <x v="0"/>
    <n v="25023.825120134876"/>
    <n v="1501429.5072080926"/>
    <n v="421413.5072080926"/>
    <n v="4"/>
    <x v="2"/>
  </r>
  <r>
    <s v="L0543"/>
    <s v="Isha Verma"/>
    <n v="31"/>
    <s v="F"/>
    <x v="2"/>
    <n v="1497200"/>
    <n v="755827"/>
    <n v="14.65"/>
    <n v="120"/>
    <n v="809"/>
    <x v="3"/>
    <x v="1"/>
    <x v="24"/>
    <x v="1"/>
    <n v="12032.640179968814"/>
    <n v="1443916.8215962576"/>
    <n v="688089.82159625762"/>
    <n v="7"/>
    <x v="2"/>
  </r>
  <r>
    <s v="L0544"/>
    <s v="Mohit Jain"/>
    <n v="48"/>
    <s v="F"/>
    <x v="1"/>
    <n v="708864"/>
    <n v="1855830"/>
    <n v="13.1"/>
    <n v="96"/>
    <n v="705"/>
    <x v="0"/>
    <x v="1"/>
    <x v="492"/>
    <x v="3"/>
    <n v="31295.306715817227"/>
    <n v="3004349.444718454"/>
    <n v="1148519.444718454"/>
    <n v="5"/>
    <x v="1"/>
  </r>
  <r>
    <s v="L0545"/>
    <s v="Rohit Khanna"/>
    <n v="28"/>
    <s v="M"/>
    <x v="0"/>
    <n v="1966476"/>
    <n v="1573366"/>
    <n v="9.33"/>
    <n v="36"/>
    <n v="765"/>
    <x v="0"/>
    <x v="1"/>
    <x v="475"/>
    <x v="2"/>
    <n v="50274.615575667747"/>
    <n v="1809886.160724039"/>
    <n v="236520.16072403896"/>
    <n v="1"/>
    <x v="4"/>
  </r>
  <r>
    <s v="L0546"/>
    <s v="Vikram Das"/>
    <n v="43"/>
    <s v="M"/>
    <x v="0"/>
    <n v="684353"/>
    <n v="914725"/>
    <n v="8.41"/>
    <n v="60"/>
    <n v="608"/>
    <x v="3"/>
    <x v="1"/>
    <x v="493"/>
    <x v="3"/>
    <n v="18727.331438834164"/>
    <n v="1123639.88633005"/>
    <n v="208914.88633004995"/>
    <n v="3"/>
    <x v="3"/>
  </r>
  <r>
    <s v="L0547"/>
    <s v="Isha Verma"/>
    <n v="41"/>
    <s v="M"/>
    <x v="0"/>
    <n v="1136388"/>
    <n v="1104693"/>
    <n v="10.11"/>
    <n v="96"/>
    <n v="769"/>
    <x v="0"/>
    <x v="1"/>
    <x v="494"/>
    <x v="2"/>
    <n v="16827.160135794547"/>
    <n v="1615407.3730362765"/>
    <n v="510714.37303627655"/>
    <n v="2"/>
    <x v="4"/>
  </r>
  <r>
    <s v="L0548"/>
    <s v="Deepika Joshi"/>
    <n v="48"/>
    <s v="F"/>
    <x v="1"/>
    <n v="1852709"/>
    <n v="1650559"/>
    <n v="10.02"/>
    <n v="60"/>
    <n v="621"/>
    <x v="2"/>
    <x v="1"/>
    <x v="495"/>
    <x v="3"/>
    <n v="35085.74592653018"/>
    <n v="2105144.7555918107"/>
    <n v="454585.75559181068"/>
    <n v="7"/>
    <x v="3"/>
  </r>
  <r>
    <s v="L0549"/>
    <s v="Kiran Menon"/>
    <n v="59"/>
    <s v="M"/>
    <x v="1"/>
    <n v="817559"/>
    <n v="1401290"/>
    <n v="13.81"/>
    <n v="36"/>
    <n v="795"/>
    <x v="1"/>
    <x v="1"/>
    <x v="496"/>
    <x v="2"/>
    <n v="47763.559755250324"/>
    <n v="1719488.1511890118"/>
    <n v="318198.15118901175"/>
    <n v="3"/>
    <x v="4"/>
  </r>
  <r>
    <s v="L0550"/>
    <s v="Deepika Joshi"/>
    <n v="41"/>
    <s v="M"/>
    <x v="0"/>
    <n v="1827755"/>
    <n v="1185869"/>
    <n v="10.84"/>
    <n v="60"/>
    <n v="696"/>
    <x v="0"/>
    <x v="1"/>
    <x v="497"/>
    <x v="2"/>
    <n v="25689.141894910543"/>
    <n v="1541348.5136946326"/>
    <n v="355479.51369463257"/>
    <n v="6"/>
    <x v="0"/>
  </r>
  <r>
    <s v="L0551"/>
    <s v="Raj Kumar"/>
    <n v="43"/>
    <s v="F"/>
    <x v="1"/>
    <n v="1417387"/>
    <n v="940555"/>
    <n v="10.1"/>
    <n v="84"/>
    <n v="813"/>
    <x v="0"/>
    <x v="1"/>
    <x v="498"/>
    <x v="3"/>
    <n v="15662.967706868141"/>
    <n v="1315689.287376924"/>
    <n v="375134.28737692395"/>
    <n v="5"/>
    <x v="2"/>
  </r>
  <r>
    <s v="L0552"/>
    <s v="Tanya Rao"/>
    <n v="57"/>
    <s v="F"/>
    <x v="2"/>
    <n v="1100317"/>
    <n v="1160846"/>
    <n v="13.67"/>
    <n v="120"/>
    <n v="689"/>
    <x v="0"/>
    <x v="1"/>
    <x v="499"/>
    <x v="1"/>
    <n v="17794.426021588002"/>
    <n v="2135331.1225905605"/>
    <n v="974485.12259056047"/>
    <n v="2"/>
    <x v="0"/>
  </r>
  <r>
    <s v="L0553"/>
    <s v="Isha Verma"/>
    <n v="36"/>
    <s v="F"/>
    <x v="2"/>
    <n v="1696873"/>
    <n v="850956"/>
    <n v="10.65"/>
    <n v="72"/>
    <n v="801"/>
    <x v="2"/>
    <x v="0"/>
    <x v="500"/>
    <x v="3"/>
    <n v="16045.026837981111"/>
    <n v="1155241.9323346401"/>
    <n v="304285.93233464006"/>
    <n v="2"/>
    <x v="2"/>
  </r>
  <r>
    <s v="L0554"/>
    <s v="Meena George"/>
    <n v="42"/>
    <s v="F"/>
    <x v="0"/>
    <n v="677323"/>
    <n v="1575607"/>
    <n v="11.37"/>
    <n v="96"/>
    <n v="602"/>
    <x v="2"/>
    <x v="1"/>
    <x v="217"/>
    <x v="1"/>
    <n v="25065.83407770349"/>
    <n v="2406320.071459535"/>
    <n v="830713.07145953504"/>
    <n v="4"/>
    <x v="3"/>
  </r>
  <r>
    <s v="L0555"/>
    <s v="Deepika Joshi"/>
    <n v="59"/>
    <s v="M"/>
    <x v="0"/>
    <n v="409655"/>
    <n v="619137"/>
    <n v="14.68"/>
    <n v="96"/>
    <n v="756"/>
    <x v="2"/>
    <x v="1"/>
    <x v="383"/>
    <x v="0"/>
    <n v="10996.316455152912"/>
    <n v="1055646.3796946795"/>
    <n v="436509.37969467952"/>
    <n v="6"/>
    <x v="4"/>
  </r>
  <r>
    <s v="L0556"/>
    <s v="Priya Singh"/>
    <n v="33"/>
    <s v="F"/>
    <x v="0"/>
    <n v="1828497"/>
    <n v="815527"/>
    <n v="10.42"/>
    <n v="96"/>
    <n v="805"/>
    <x v="0"/>
    <x v="1"/>
    <x v="501"/>
    <x v="1"/>
    <n v="12556.920024773653"/>
    <n v="1205464.3223782708"/>
    <n v="389937.32237827079"/>
    <n v="6"/>
    <x v="2"/>
  </r>
  <r>
    <s v="L0557"/>
    <s v="Mohit Jain"/>
    <n v="52"/>
    <s v="F"/>
    <x v="0"/>
    <n v="450978"/>
    <n v="805319"/>
    <n v="12.98"/>
    <n v="120"/>
    <n v="717"/>
    <x v="0"/>
    <x v="1"/>
    <x v="502"/>
    <x v="3"/>
    <n v="12014.779508608981"/>
    <n v="1441773.5410330778"/>
    <n v="636454.54103307775"/>
    <n v="4"/>
    <x v="1"/>
  </r>
  <r>
    <s v="L0558"/>
    <s v="Rina Kapoor"/>
    <n v="43"/>
    <s v="M"/>
    <x v="1"/>
    <n v="1402375"/>
    <n v="827916"/>
    <n v="7.64"/>
    <n v="72"/>
    <n v="691"/>
    <x v="3"/>
    <x v="1"/>
    <x v="503"/>
    <x v="1"/>
    <n v="14370.953213285529"/>
    <n v="1034708.6313565581"/>
    <n v="206792.63135655806"/>
    <n v="7"/>
    <x v="0"/>
  </r>
  <r>
    <s v="L0559"/>
    <s v="Vikram Das"/>
    <n v="36"/>
    <s v="F"/>
    <x v="2"/>
    <n v="1826589"/>
    <n v="1961682"/>
    <n v="12.11"/>
    <n v="36"/>
    <n v="681"/>
    <x v="2"/>
    <x v="1"/>
    <x v="504"/>
    <x v="1"/>
    <n v="65259.024935977781"/>
    <n v="2349324.8976952001"/>
    <n v="387642.89769520005"/>
    <n v="5"/>
    <x v="0"/>
  </r>
  <r>
    <s v="L0560"/>
    <s v="Priya Singh"/>
    <n v="43"/>
    <s v="F"/>
    <x v="2"/>
    <n v="1919613"/>
    <n v="230448"/>
    <n v="11.27"/>
    <n v="120"/>
    <n v="723"/>
    <x v="0"/>
    <x v="1"/>
    <x v="505"/>
    <x v="3"/>
    <n v="3209.7440128888838"/>
    <n v="385169.28154666605"/>
    <n v="154721.28154666605"/>
    <n v="4"/>
    <x v="1"/>
  </r>
  <r>
    <s v="L0561"/>
    <s v="Arjun Mehta"/>
    <n v="44"/>
    <s v="F"/>
    <x v="2"/>
    <n v="919530"/>
    <n v="287107"/>
    <n v="10.49"/>
    <n v="60"/>
    <n v="737"/>
    <x v="0"/>
    <x v="1"/>
    <x v="506"/>
    <x v="0"/>
    <n v="6169.6270805339091"/>
    <n v="370177.62483203452"/>
    <n v="83070.624832034518"/>
    <n v="3"/>
    <x v="1"/>
  </r>
  <r>
    <s v="L0562"/>
    <s v="Isha Verma"/>
    <n v="58"/>
    <s v="M"/>
    <x v="0"/>
    <n v="896440"/>
    <n v="1268125"/>
    <n v="10.23"/>
    <n v="72"/>
    <n v="617"/>
    <x v="0"/>
    <x v="1"/>
    <x v="471"/>
    <x v="0"/>
    <n v="23640.427488583515"/>
    <n v="1702110.7791780131"/>
    <n v="433985.77917801309"/>
    <n v="3"/>
    <x v="3"/>
  </r>
  <r>
    <s v="L0563"/>
    <s v="Sahil Gupta"/>
    <n v="47"/>
    <s v="F"/>
    <x v="1"/>
    <n v="1373837"/>
    <n v="813669"/>
    <n v="11.44"/>
    <n v="96"/>
    <n v="670"/>
    <x v="2"/>
    <x v="1"/>
    <x v="507"/>
    <x v="0"/>
    <n v="12975.357102887823"/>
    <n v="1245634.2818772311"/>
    <n v="431965.28187723109"/>
    <n v="7"/>
    <x v="0"/>
  </r>
  <r>
    <s v="L0564"/>
    <s v="Tanya Rao"/>
    <n v="31"/>
    <s v="M"/>
    <x v="2"/>
    <n v="1077781"/>
    <n v="766453"/>
    <n v="8.23"/>
    <n v="36"/>
    <n v="820"/>
    <x v="2"/>
    <x v="1"/>
    <x v="508"/>
    <x v="3"/>
    <n v="24099.257763632984"/>
    <n v="867573.27949078742"/>
    <n v="101120.27949078742"/>
    <n v="6"/>
    <x v="2"/>
  </r>
  <r>
    <s v="L0565"/>
    <s v="Mohit Jain"/>
    <n v="38"/>
    <s v="M"/>
    <x v="1"/>
    <n v="1062346"/>
    <n v="1300028"/>
    <n v="9.41"/>
    <n v="36"/>
    <n v="733"/>
    <x v="2"/>
    <x v="1"/>
    <x v="509"/>
    <x v="0"/>
    <n v="41589.059660374704"/>
    <n v="1497206.1477734894"/>
    <n v="197178.14777348936"/>
    <n v="4"/>
    <x v="1"/>
  </r>
  <r>
    <s v="L0566"/>
    <s v="Neha Sharma"/>
    <n v="59"/>
    <s v="M"/>
    <x v="0"/>
    <n v="1574081"/>
    <n v="282217"/>
    <n v="10.41"/>
    <n v="48"/>
    <n v="641"/>
    <x v="3"/>
    <x v="0"/>
    <x v="510"/>
    <x v="1"/>
    <n v="7213.4487265862736"/>
    <n v="346245.53887614113"/>
    <n v="64028.53887614113"/>
    <n v="2"/>
    <x v="3"/>
  </r>
  <r>
    <s v="L0567"/>
    <s v="Rohit Khanna"/>
    <n v="45"/>
    <s v="M"/>
    <x v="0"/>
    <n v="968174"/>
    <n v="209122"/>
    <n v="14.27"/>
    <n v="60"/>
    <n v="782"/>
    <x v="1"/>
    <x v="1"/>
    <x v="511"/>
    <x v="0"/>
    <n v="4895.2251679683495"/>
    <n v="293713.51007810095"/>
    <n v="84591.510078100953"/>
    <n v="2"/>
    <x v="4"/>
  </r>
  <r>
    <s v="L0568"/>
    <s v="Sneha Pillai"/>
    <n v="56"/>
    <s v="F"/>
    <x v="2"/>
    <n v="1275864"/>
    <n v="378351"/>
    <n v="8.0399999999999991"/>
    <n v="60"/>
    <n v="749"/>
    <x v="3"/>
    <x v="1"/>
    <x v="334"/>
    <x v="0"/>
    <n v="7678.8390153859682"/>
    <n v="460730.3409231581"/>
    <n v="82379.340923158103"/>
    <n v="6"/>
    <x v="1"/>
  </r>
  <r>
    <s v="L0569"/>
    <s v="Sahil Gupta"/>
    <n v="41"/>
    <s v="F"/>
    <x v="1"/>
    <n v="1582421"/>
    <n v="286543"/>
    <n v="12.54"/>
    <n v="36"/>
    <n v="792"/>
    <x v="3"/>
    <x v="1"/>
    <x v="512"/>
    <x v="0"/>
    <n v="9591.4006914444672"/>
    <n v="345290.4248920008"/>
    <n v="58747.424892000796"/>
    <n v="1"/>
    <x v="4"/>
  </r>
  <r>
    <s v="L0570"/>
    <s v="Sneha Pillai"/>
    <n v="32"/>
    <s v="F"/>
    <x v="0"/>
    <n v="1463439"/>
    <n v="1312851"/>
    <n v="9.6300000000000008"/>
    <n v="72"/>
    <n v="635"/>
    <x v="0"/>
    <x v="0"/>
    <x v="513"/>
    <x v="0"/>
    <n v="24077.421602775274"/>
    <n v="1733574.3553998198"/>
    <n v="420723.35539981979"/>
    <n v="6"/>
    <x v="3"/>
  </r>
  <r>
    <s v="L0571"/>
    <s v="Mohit Jain"/>
    <n v="29"/>
    <s v="M"/>
    <x v="1"/>
    <n v="1563551"/>
    <n v="546903"/>
    <n v="10.29"/>
    <n v="84"/>
    <n v="680"/>
    <x v="1"/>
    <x v="1"/>
    <x v="32"/>
    <x v="3"/>
    <n v="9161.3963760055885"/>
    <n v="769557.29558446945"/>
    <n v="222654.29558446945"/>
    <n v="3"/>
    <x v="0"/>
  </r>
  <r>
    <s v="L0572"/>
    <s v="Rohit Khanna"/>
    <n v="37"/>
    <s v="F"/>
    <x v="2"/>
    <n v="1088910"/>
    <n v="1406059"/>
    <n v="14.91"/>
    <n v="96"/>
    <n v="629"/>
    <x v="3"/>
    <x v="1"/>
    <x v="514"/>
    <x v="3"/>
    <n v="25159.124238100096"/>
    <n v="2415275.9268576093"/>
    <n v="1009216.9268576093"/>
    <n v="4"/>
    <x v="3"/>
  </r>
  <r>
    <s v="L0573"/>
    <s v="Tanya Rao"/>
    <n v="25"/>
    <s v="M"/>
    <x v="1"/>
    <n v="1585909"/>
    <n v="556614"/>
    <n v="10.33"/>
    <n v="48"/>
    <n v="629"/>
    <x v="2"/>
    <x v="0"/>
    <x v="515"/>
    <x v="0"/>
    <n v="14205.545033289678"/>
    <n v="681866.16159790452"/>
    <n v="125252.16159790452"/>
    <n v="7"/>
    <x v="3"/>
  </r>
  <r>
    <s v="L0574"/>
    <s v="Isha Verma"/>
    <n v="57"/>
    <s v="M"/>
    <x v="2"/>
    <n v="544554"/>
    <n v="1786855"/>
    <n v="8.58"/>
    <n v="96"/>
    <n v="761"/>
    <x v="0"/>
    <x v="1"/>
    <x v="516"/>
    <x v="0"/>
    <n v="25790.115130570437"/>
    <n v="2475851.0525347618"/>
    <n v="688996.05253476184"/>
    <n v="5"/>
    <x v="4"/>
  </r>
  <r>
    <s v="L0575"/>
    <s v="Rina Kapoor"/>
    <n v="35"/>
    <s v="F"/>
    <x v="1"/>
    <n v="852146"/>
    <n v="926482"/>
    <n v="8.86"/>
    <n v="60"/>
    <n v="662"/>
    <x v="2"/>
    <x v="1"/>
    <x v="22"/>
    <x v="2"/>
    <n v="19169.352441917908"/>
    <n v="1150161.1465150744"/>
    <n v="223679.14651507442"/>
    <n v="1"/>
    <x v="0"/>
  </r>
  <r>
    <s v="L0576"/>
    <s v="Rohan Nair"/>
    <n v="44"/>
    <s v="M"/>
    <x v="2"/>
    <n v="837783"/>
    <n v="1694695"/>
    <n v="8.3000000000000007"/>
    <n v="60"/>
    <n v="665"/>
    <x v="0"/>
    <x v="1"/>
    <x v="517"/>
    <x v="0"/>
    <n v="34606.135963137101"/>
    <n v="2076368.1577882261"/>
    <n v="381673.15778822615"/>
    <n v="3"/>
    <x v="0"/>
  </r>
  <r>
    <s v="L0577"/>
    <s v="Aditya Sharma"/>
    <n v="44"/>
    <s v="M"/>
    <x v="1"/>
    <n v="1068786"/>
    <n v="1530668"/>
    <n v="9.9"/>
    <n v="120"/>
    <n v="625"/>
    <x v="0"/>
    <x v="1"/>
    <x v="428"/>
    <x v="1"/>
    <n v="20143.224182757756"/>
    <n v="2417186.9019309306"/>
    <n v="886518.90193093056"/>
    <n v="6"/>
    <x v="3"/>
  </r>
  <r>
    <s v="L0578"/>
    <s v="Vikram Das"/>
    <n v="33"/>
    <s v="F"/>
    <x v="1"/>
    <n v="466822"/>
    <n v="388036"/>
    <n v="9.2200000000000006"/>
    <n v="48"/>
    <n v="651"/>
    <x v="3"/>
    <x v="1"/>
    <x v="518"/>
    <x v="3"/>
    <n v="9696.8788054686447"/>
    <n v="465450.18266249495"/>
    <n v="77414.182662494946"/>
    <n v="6"/>
    <x v="0"/>
  </r>
  <r>
    <s v="L0579"/>
    <s v="Rohan Nair"/>
    <n v="40"/>
    <s v="F"/>
    <x v="0"/>
    <n v="1695820"/>
    <n v="350238"/>
    <n v="12.41"/>
    <n v="96"/>
    <n v="641"/>
    <x v="2"/>
    <x v="0"/>
    <x v="519"/>
    <x v="0"/>
    <n v="5771.5548350956951"/>
    <n v="554069.2641691867"/>
    <n v="203831.2641691867"/>
    <n v="5"/>
    <x v="3"/>
  </r>
  <r>
    <s v="L0580"/>
    <s v="Raj Kumar"/>
    <n v="43"/>
    <s v="M"/>
    <x v="0"/>
    <n v="1382704"/>
    <n v="1297152"/>
    <n v="12.49"/>
    <n v="120"/>
    <n v="619"/>
    <x v="2"/>
    <x v="1"/>
    <x v="520"/>
    <x v="3"/>
    <n v="18979.639499270379"/>
    <n v="2277556.7399124457"/>
    <n v="980404.73991244566"/>
    <n v="7"/>
    <x v="3"/>
  </r>
  <r>
    <s v="L0581"/>
    <s v="Sahil Gupta"/>
    <n v="44"/>
    <s v="M"/>
    <x v="2"/>
    <n v="853719"/>
    <n v="312665"/>
    <n v="10.199999999999999"/>
    <n v="120"/>
    <n v="767"/>
    <x v="1"/>
    <x v="1"/>
    <x v="520"/>
    <x v="3"/>
    <n v="4166.5965889852405"/>
    <n v="499991.59067822888"/>
    <n v="187326.59067822888"/>
    <n v="7"/>
    <x v="4"/>
  </r>
  <r>
    <s v="L0582"/>
    <s v="Priya Singh"/>
    <n v="59"/>
    <s v="F"/>
    <x v="2"/>
    <n v="1748967"/>
    <n v="372501"/>
    <n v="11.08"/>
    <n v="36"/>
    <n v="847"/>
    <x v="0"/>
    <x v="1"/>
    <x v="521"/>
    <x v="2"/>
    <n v="12209.321936514651"/>
    <n v="439535.58971452742"/>
    <n v="67034.589714527421"/>
    <n v="3"/>
    <x v="2"/>
  </r>
  <r>
    <s v="L0583"/>
    <s v="Arjun Mehta"/>
    <n v="38"/>
    <s v="M"/>
    <x v="0"/>
    <n v="462515"/>
    <n v="1592866"/>
    <n v="14.35"/>
    <n v="36"/>
    <n v="693"/>
    <x v="1"/>
    <x v="1"/>
    <x v="522"/>
    <x v="1"/>
    <n v="54711.55062622363"/>
    <n v="1969615.8225440506"/>
    <n v="376749.82254405064"/>
    <n v="5"/>
    <x v="0"/>
  </r>
  <r>
    <s v="L0584"/>
    <s v="Vikram Das"/>
    <n v="42"/>
    <s v="M"/>
    <x v="2"/>
    <n v="1675948"/>
    <n v="1074246"/>
    <n v="14.79"/>
    <n v="96"/>
    <n v="729"/>
    <x v="2"/>
    <x v="1"/>
    <x v="523"/>
    <x v="2"/>
    <n v="19147.460768555953"/>
    <n v="1838156.2337813715"/>
    <n v="763910.2337813715"/>
    <n v="5"/>
    <x v="1"/>
  </r>
  <r>
    <s v="L0585"/>
    <s v="Vikram Das"/>
    <n v="36"/>
    <s v="M"/>
    <x v="2"/>
    <n v="1243579"/>
    <n v="865028"/>
    <n v="9.1999999999999993"/>
    <n v="120"/>
    <n v="740"/>
    <x v="3"/>
    <x v="1"/>
    <x v="524"/>
    <x v="3"/>
    <n v="11051.658291239466"/>
    <n v="1326198.9949487359"/>
    <n v="461170.99494873593"/>
    <n v="3"/>
    <x v="1"/>
  </r>
  <r>
    <s v="L0586"/>
    <s v="Raj Kumar"/>
    <n v="57"/>
    <s v="M"/>
    <x v="1"/>
    <n v="1523038"/>
    <n v="560284"/>
    <n v="10.66"/>
    <n v="84"/>
    <n v="749"/>
    <x v="2"/>
    <x v="1"/>
    <x v="252"/>
    <x v="3"/>
    <n v="9493.5588792151666"/>
    <n v="797458.94585407397"/>
    <n v="237174.94585407397"/>
    <n v="6"/>
    <x v="1"/>
  </r>
  <r>
    <s v="L0587"/>
    <s v="Vikram Das"/>
    <n v="31"/>
    <s v="F"/>
    <x v="2"/>
    <n v="1684853"/>
    <n v="797609"/>
    <n v="8.2200000000000006"/>
    <n v="48"/>
    <n v="822"/>
    <x v="2"/>
    <x v="1"/>
    <x v="525"/>
    <x v="1"/>
    <n v="19554.439483996059"/>
    <n v="938613.09523181082"/>
    <n v="141004.09523181082"/>
    <n v="1"/>
    <x v="2"/>
  </r>
  <r>
    <s v="L0588"/>
    <s v="Aditya Sharma"/>
    <n v="49"/>
    <s v="M"/>
    <x v="0"/>
    <n v="1073994"/>
    <n v="333117"/>
    <n v="12.3"/>
    <n v="72"/>
    <n v="603"/>
    <x v="1"/>
    <x v="1"/>
    <x v="526"/>
    <x v="1"/>
    <n v="6564.5870972890316"/>
    <n v="472650.27100481029"/>
    <n v="139533.27100481029"/>
    <n v="3"/>
    <x v="3"/>
  </r>
  <r>
    <s v="L0589"/>
    <s v="Priya Singh"/>
    <n v="35"/>
    <s v="F"/>
    <x v="0"/>
    <n v="1532742"/>
    <n v="632542"/>
    <n v="13.97"/>
    <n v="120"/>
    <n v="845"/>
    <x v="2"/>
    <x v="0"/>
    <x v="316"/>
    <x v="0"/>
    <n v="9809.8476233419133"/>
    <n v="1177181.7148010295"/>
    <n v="544639.71480102954"/>
    <n v="2"/>
    <x v="2"/>
  </r>
  <r>
    <s v="L0590"/>
    <s v="Deepika Joshi"/>
    <n v="34"/>
    <s v="M"/>
    <x v="2"/>
    <n v="1966683"/>
    <n v="390499"/>
    <n v="9.11"/>
    <n v="48"/>
    <n v="836"/>
    <x v="3"/>
    <x v="1"/>
    <x v="402"/>
    <x v="1"/>
    <n v="9737.9934199423224"/>
    <n v="467423.68415723147"/>
    <n v="76924.684157231473"/>
    <n v="4"/>
    <x v="2"/>
  </r>
  <r>
    <s v="L0591"/>
    <s v="Kiran Menon"/>
    <n v="34"/>
    <s v="M"/>
    <x v="0"/>
    <n v="1934440"/>
    <n v="519852"/>
    <n v="7.92"/>
    <n v="120"/>
    <n v="842"/>
    <x v="1"/>
    <x v="1"/>
    <x v="254"/>
    <x v="2"/>
    <n v="6285.2855129886257"/>
    <n v="754234.26155863504"/>
    <n v="234382.26155863504"/>
    <n v="1"/>
    <x v="2"/>
  </r>
  <r>
    <s v="L0592"/>
    <s v="Rina Kapoor"/>
    <n v="28"/>
    <s v="F"/>
    <x v="0"/>
    <n v="1835876"/>
    <n v="454872"/>
    <n v="14.61"/>
    <n v="96"/>
    <n v="717"/>
    <x v="0"/>
    <x v="0"/>
    <x v="144"/>
    <x v="2"/>
    <n v="8060.5343654867411"/>
    <n v="773811.2990867272"/>
    <n v="318939.2990867272"/>
    <n v="4"/>
    <x v="1"/>
  </r>
  <r>
    <s v="L0593"/>
    <s v="Isha Verma"/>
    <n v="26"/>
    <s v="F"/>
    <x v="1"/>
    <n v="987146"/>
    <n v="411207"/>
    <n v="9.7100000000000009"/>
    <n v="60"/>
    <n v="791"/>
    <x v="0"/>
    <x v="0"/>
    <x v="179"/>
    <x v="1"/>
    <n v="8678.3733681498506"/>
    <n v="520702.40208899102"/>
    <n v="109495.40208899102"/>
    <n v="7"/>
    <x v="4"/>
  </r>
  <r>
    <s v="L0594"/>
    <s v="Aditya Sharma"/>
    <n v="57"/>
    <s v="F"/>
    <x v="1"/>
    <n v="1899022"/>
    <n v="1895464"/>
    <n v="11.29"/>
    <n v="72"/>
    <n v="689"/>
    <x v="1"/>
    <x v="1"/>
    <x v="179"/>
    <x v="0"/>
    <n v="36360.580926456561"/>
    <n v="2617961.8267048723"/>
    <n v="722497.82670487231"/>
    <n v="7"/>
    <x v="0"/>
  </r>
  <r>
    <s v="L0595"/>
    <s v="Isha Verma"/>
    <n v="38"/>
    <s v="F"/>
    <x v="2"/>
    <n v="1033654"/>
    <n v="1372089"/>
    <n v="10.8"/>
    <n v="84"/>
    <n v="848"/>
    <x v="2"/>
    <x v="1"/>
    <x v="520"/>
    <x v="0"/>
    <n v="23349.468366130466"/>
    <n v="1961355.3427549591"/>
    <n v="589266.34275495913"/>
    <n v="7"/>
    <x v="2"/>
  </r>
  <r>
    <s v="L0596"/>
    <s v="Aarav Patel"/>
    <n v="45"/>
    <s v="F"/>
    <x v="2"/>
    <n v="1167675"/>
    <n v="1528301"/>
    <n v="10.6"/>
    <n v="96"/>
    <n v="705"/>
    <x v="1"/>
    <x v="1"/>
    <x v="84"/>
    <x v="0"/>
    <n v="23678.722517670736"/>
    <n v="2273157.3616963904"/>
    <n v="744856.36169639044"/>
    <n v="5"/>
    <x v="1"/>
  </r>
  <r>
    <s v="L0597"/>
    <s v="Rohit Khanna"/>
    <n v="57"/>
    <s v="F"/>
    <x v="2"/>
    <n v="1956980"/>
    <n v="1831783"/>
    <n v="10.220000000000001"/>
    <n v="96"/>
    <n v="844"/>
    <x v="2"/>
    <x v="1"/>
    <x v="527"/>
    <x v="2"/>
    <n v="28009.469245892938"/>
    <n v="2688909.0476057222"/>
    <n v="857126.04760572221"/>
    <n v="5"/>
    <x v="2"/>
  </r>
  <r>
    <s v="L0598"/>
    <s v="Arjun Mehta"/>
    <n v="35"/>
    <s v="M"/>
    <x v="2"/>
    <n v="1884944"/>
    <n v="1251999"/>
    <n v="12.03"/>
    <n v="36"/>
    <n v="679"/>
    <x v="3"/>
    <x v="0"/>
    <x v="528"/>
    <x v="2"/>
    <n v="41602.224334827311"/>
    <n v="1497680.0760537833"/>
    <n v="245681.0760537833"/>
    <n v="7"/>
    <x v="0"/>
  </r>
  <r>
    <s v="L0599"/>
    <s v="Aarav Patel"/>
    <n v="31"/>
    <s v="M"/>
    <x v="0"/>
    <n v="1670942"/>
    <n v="459036"/>
    <n v="7.72"/>
    <n v="84"/>
    <n v="846"/>
    <x v="3"/>
    <x v="1"/>
    <x v="529"/>
    <x v="0"/>
    <n v="7090.7661766142783"/>
    <n v="595624.35883559939"/>
    <n v="136588.35883559939"/>
    <n v="4"/>
    <x v="2"/>
  </r>
  <r>
    <s v="L0600"/>
    <s v="Mohit Jain"/>
    <n v="46"/>
    <s v="F"/>
    <x v="0"/>
    <n v="1182187"/>
    <n v="1862340"/>
    <n v="10.02"/>
    <n v="36"/>
    <n v="722"/>
    <x v="3"/>
    <x v="1"/>
    <x v="530"/>
    <x v="0"/>
    <n v="60109.962075902418"/>
    <n v="2163958.6347324871"/>
    <n v="301618.63473248715"/>
    <n v="7"/>
    <x v="1"/>
  </r>
  <r>
    <s v="L0601"/>
    <s v="Tanya Rao"/>
    <n v="45"/>
    <s v="F"/>
    <x v="0"/>
    <n v="601642"/>
    <n v="1405581"/>
    <n v="9.42"/>
    <n v="36"/>
    <n v="642"/>
    <x v="0"/>
    <x v="1"/>
    <x v="531"/>
    <x v="1"/>
    <n v="44972.360216182424"/>
    <n v="1619004.9677825673"/>
    <n v="213423.96778256726"/>
    <n v="4"/>
    <x v="3"/>
  </r>
  <r>
    <s v="L0602"/>
    <s v="Arjun Mehta"/>
    <n v="27"/>
    <s v="M"/>
    <x v="2"/>
    <n v="839846"/>
    <n v="1780938"/>
    <n v="8.83"/>
    <n v="48"/>
    <n v="629"/>
    <x v="3"/>
    <x v="0"/>
    <x v="532"/>
    <x v="1"/>
    <n v="44175.096582399674"/>
    <n v="2120404.6359551842"/>
    <n v="339466.63595518423"/>
    <n v="4"/>
    <x v="3"/>
  </r>
  <r>
    <s v="L0603"/>
    <s v="Raj Kumar"/>
    <n v="39"/>
    <s v="M"/>
    <x v="1"/>
    <n v="1899520"/>
    <n v="1342671"/>
    <n v="14.85"/>
    <n v="96"/>
    <n v="746"/>
    <x v="3"/>
    <x v="1"/>
    <x v="533"/>
    <x v="2"/>
    <n v="23978.373383499755"/>
    <n v="2301923.8448159765"/>
    <n v="959252.84481597645"/>
    <n v="6"/>
    <x v="1"/>
  </r>
  <r>
    <s v="L0604"/>
    <s v="Mohit Jain"/>
    <n v="55"/>
    <s v="F"/>
    <x v="1"/>
    <n v="1295023"/>
    <n v="1679375"/>
    <n v="11.55"/>
    <n v="96"/>
    <n v="677"/>
    <x v="3"/>
    <x v="1"/>
    <x v="534"/>
    <x v="0"/>
    <n v="26881.096505292797"/>
    <n v="2580585.2645081086"/>
    <n v="901210.26450810861"/>
    <n v="5"/>
    <x v="0"/>
  </r>
  <r>
    <s v="L0605"/>
    <s v="Kiran Menon"/>
    <n v="29"/>
    <s v="M"/>
    <x v="0"/>
    <n v="1168683"/>
    <n v="1089482"/>
    <n v="7.64"/>
    <n v="72"/>
    <n v="737"/>
    <x v="2"/>
    <x v="1"/>
    <x v="535"/>
    <x v="0"/>
    <n v="18911.211824287424"/>
    <n v="1361607.2513486946"/>
    <n v="272125.25134869455"/>
    <n v="7"/>
    <x v="1"/>
  </r>
  <r>
    <s v="L0606"/>
    <s v="Raj Kumar"/>
    <n v="33"/>
    <s v="M"/>
    <x v="1"/>
    <n v="1460368"/>
    <n v="1257952"/>
    <n v="11.54"/>
    <n v="60"/>
    <n v="764"/>
    <x v="1"/>
    <x v="1"/>
    <x v="536"/>
    <x v="1"/>
    <n v="27690.912108075419"/>
    <n v="1661454.7264845253"/>
    <n v="403502.72648452525"/>
    <n v="1"/>
    <x v="4"/>
  </r>
  <r>
    <s v="L0607"/>
    <s v="Rohan Nair"/>
    <n v="28"/>
    <s v="F"/>
    <x v="2"/>
    <n v="1499836"/>
    <n v="1213045"/>
    <n v="12.98"/>
    <n v="120"/>
    <n v="624"/>
    <x v="1"/>
    <x v="1"/>
    <x v="492"/>
    <x v="2"/>
    <n v="18097.757794141926"/>
    <n v="2171730.935297031"/>
    <n v="958685.93529703096"/>
    <n v="5"/>
    <x v="3"/>
  </r>
  <r>
    <s v="L0608"/>
    <s v="Aditya Sharma"/>
    <n v="46"/>
    <s v="F"/>
    <x v="2"/>
    <n v="830709"/>
    <n v="1172468"/>
    <n v="12.11"/>
    <n v="36"/>
    <n v="630"/>
    <x v="1"/>
    <x v="1"/>
    <x v="141"/>
    <x v="1"/>
    <n v="39004.343440290519"/>
    <n v="1404156.3638504588"/>
    <n v="231688.36385045876"/>
    <n v="5"/>
    <x v="3"/>
  </r>
  <r>
    <s v="L0609"/>
    <s v="Mohit Jain"/>
    <n v="28"/>
    <s v="M"/>
    <x v="0"/>
    <n v="1423436"/>
    <n v="1746384"/>
    <n v="8.7200000000000006"/>
    <n v="120"/>
    <n v="698"/>
    <x v="1"/>
    <x v="1"/>
    <x v="537"/>
    <x v="2"/>
    <n v="21858.68553346266"/>
    <n v="2623042.2640155191"/>
    <n v="876658.26401551906"/>
    <n v="4"/>
    <x v="0"/>
  </r>
  <r>
    <s v="L0610"/>
    <s v="Vikram Das"/>
    <n v="33"/>
    <s v="F"/>
    <x v="2"/>
    <n v="1162741"/>
    <n v="420503"/>
    <n v="13.28"/>
    <n v="48"/>
    <n v="623"/>
    <x v="1"/>
    <x v="1"/>
    <x v="538"/>
    <x v="2"/>
    <n v="11339.567910401967"/>
    <n v="544299.25969929446"/>
    <n v="123796.25969929446"/>
    <n v="4"/>
    <x v="3"/>
  </r>
  <r>
    <s v="L0611"/>
    <s v="Pooja Reddy"/>
    <n v="40"/>
    <s v="F"/>
    <x v="1"/>
    <n v="1682578"/>
    <n v="1162545"/>
    <n v="11.86"/>
    <n v="120"/>
    <n v="633"/>
    <x v="0"/>
    <x v="1"/>
    <x v="539"/>
    <x v="1"/>
    <n v="16585.19205606023"/>
    <n v="1990223.0467272275"/>
    <n v="827678.04672722751"/>
    <n v="3"/>
    <x v="3"/>
  </r>
  <r>
    <s v="L0612"/>
    <s v="Rina Kapoor"/>
    <n v="38"/>
    <s v="F"/>
    <x v="0"/>
    <n v="1263667"/>
    <n v="1563876"/>
    <n v="9.92"/>
    <n v="60"/>
    <n v="704"/>
    <x v="1"/>
    <x v="1"/>
    <x v="540"/>
    <x v="1"/>
    <n v="33166.217513627693"/>
    <n v="1989973.0508176615"/>
    <n v="426097.05081766145"/>
    <n v="6"/>
    <x v="1"/>
  </r>
  <r>
    <s v="L0613"/>
    <s v="Priya Singh"/>
    <n v="26"/>
    <s v="F"/>
    <x v="0"/>
    <n v="727567"/>
    <n v="1907590"/>
    <n v="12.35"/>
    <n v="84"/>
    <n v="639"/>
    <x v="0"/>
    <x v="0"/>
    <x v="541"/>
    <x v="1"/>
    <n v="34032.26983442693"/>
    <n v="2858710.6660918621"/>
    <n v="951120.66609186213"/>
    <n v="5"/>
    <x v="3"/>
  </r>
  <r>
    <s v="L0614"/>
    <s v="Arjun Mehta"/>
    <n v="49"/>
    <s v="F"/>
    <x v="0"/>
    <n v="534280"/>
    <n v="1670734"/>
    <n v="8.24"/>
    <n v="72"/>
    <n v="728"/>
    <x v="0"/>
    <x v="1"/>
    <x v="542"/>
    <x v="1"/>
    <n v="29489.555458343799"/>
    <n v="2123247.9930007537"/>
    <n v="452513.99300075369"/>
    <n v="6"/>
    <x v="1"/>
  </r>
  <r>
    <s v="L0615"/>
    <s v="Amit Yadav"/>
    <n v="35"/>
    <s v="F"/>
    <x v="1"/>
    <n v="1365441"/>
    <n v="1156662"/>
    <n v="10.84"/>
    <n v="84"/>
    <n v="771"/>
    <x v="1"/>
    <x v="1"/>
    <x v="543"/>
    <x v="2"/>
    <n v="19707.699363424756"/>
    <n v="1655446.7465276795"/>
    <n v="498784.7465276795"/>
    <n v="3"/>
    <x v="4"/>
  </r>
  <r>
    <s v="L0616"/>
    <s v="Rohan Nair"/>
    <n v="30"/>
    <s v="F"/>
    <x v="1"/>
    <n v="1162005"/>
    <n v="1412662"/>
    <n v="11.82"/>
    <n v="120"/>
    <n v="603"/>
    <x v="1"/>
    <x v="0"/>
    <x v="544"/>
    <x v="1"/>
    <n v="20120.8732763056"/>
    <n v="2414504.7931566718"/>
    <n v="1001842.7931566718"/>
    <n v="6"/>
    <x v="3"/>
  </r>
  <r>
    <s v="L0617"/>
    <s v="Rohit Khanna"/>
    <n v="52"/>
    <s v="F"/>
    <x v="2"/>
    <n v="467685"/>
    <n v="622842"/>
    <n v="9.0299999999999994"/>
    <n v="96"/>
    <n v="711"/>
    <x v="0"/>
    <x v="1"/>
    <x v="545"/>
    <x v="1"/>
    <n v="9134.4580764557795"/>
    <n v="876907.97533975483"/>
    <n v="254065.97533975483"/>
    <n v="7"/>
    <x v="1"/>
  </r>
  <r>
    <s v="L0618"/>
    <s v="Aditya Sharma"/>
    <n v="49"/>
    <s v="F"/>
    <x v="1"/>
    <n v="1235928"/>
    <n v="554481"/>
    <n v="14.69"/>
    <n v="84"/>
    <n v="817"/>
    <x v="2"/>
    <x v="0"/>
    <x v="546"/>
    <x v="1"/>
    <n v="10603.474399877319"/>
    <n v="890691.84958969476"/>
    <n v="336210.84958969476"/>
    <n v="4"/>
    <x v="2"/>
  </r>
  <r>
    <s v="L0619"/>
    <s v="Arjun Mehta"/>
    <n v="29"/>
    <s v="F"/>
    <x v="0"/>
    <n v="644111"/>
    <n v="440057"/>
    <n v="13.46"/>
    <n v="84"/>
    <n v="675"/>
    <x v="3"/>
    <x v="1"/>
    <x v="547"/>
    <x v="2"/>
    <n v="8115.9614240906103"/>
    <n v="681740.75962361123"/>
    <n v="241683.75962361123"/>
    <n v="6"/>
    <x v="0"/>
  </r>
  <r>
    <s v="L0620"/>
    <s v="Rohan Nair"/>
    <n v="49"/>
    <s v="M"/>
    <x v="1"/>
    <n v="1666129"/>
    <n v="571255"/>
    <n v="13.23"/>
    <n v="60"/>
    <n v="752"/>
    <x v="1"/>
    <x v="1"/>
    <x v="548"/>
    <x v="0"/>
    <n v="13065.164838631981"/>
    <n v="783909.89031791885"/>
    <n v="212654.89031791885"/>
    <n v="1"/>
    <x v="4"/>
  </r>
  <r>
    <s v="L0621"/>
    <s v="Sahil Gupta"/>
    <n v="27"/>
    <s v="F"/>
    <x v="1"/>
    <n v="1447925"/>
    <n v="518873"/>
    <n v="10.8"/>
    <n v="60"/>
    <n v="765"/>
    <x v="0"/>
    <x v="1"/>
    <x v="549"/>
    <x v="1"/>
    <n v="11229.871981343698"/>
    <n v="673792.31888062193"/>
    <n v="154919.31888062193"/>
    <n v="2"/>
    <x v="4"/>
  </r>
  <r>
    <s v="L0622"/>
    <s v="Tanya Rao"/>
    <n v="47"/>
    <s v="F"/>
    <x v="2"/>
    <n v="1693750"/>
    <n v="1083714"/>
    <n v="9.16"/>
    <n v="120"/>
    <n v="697"/>
    <x v="1"/>
    <x v="1"/>
    <x v="550"/>
    <x v="1"/>
    <n v="13822.047066876083"/>
    <n v="1658645.6480251299"/>
    <n v="574931.64802512992"/>
    <n v="4"/>
    <x v="0"/>
  </r>
  <r>
    <s v="L0623"/>
    <s v="Deepika Joshi"/>
    <n v="39"/>
    <s v="M"/>
    <x v="2"/>
    <n v="326923"/>
    <n v="355347"/>
    <n v="12.98"/>
    <n v="84"/>
    <n v="846"/>
    <x v="0"/>
    <x v="1"/>
    <x v="33"/>
    <x v="3"/>
    <n v="6460.596472409492"/>
    <n v="542690.10368239728"/>
    <n v="187343.10368239728"/>
    <n v="6"/>
    <x v="2"/>
  </r>
  <r>
    <s v="L0624"/>
    <s v="Aarav Patel"/>
    <n v="27"/>
    <s v="M"/>
    <x v="2"/>
    <n v="697644"/>
    <n v="1960285"/>
    <n v="10.62"/>
    <n v="84"/>
    <n v="745"/>
    <x v="3"/>
    <x v="1"/>
    <x v="551"/>
    <x v="3"/>
    <n v="33174.470398096455"/>
    <n v="2786655.5134401023"/>
    <n v="826370.51344010234"/>
    <n v="4"/>
    <x v="1"/>
  </r>
  <r>
    <s v="L0625"/>
    <s v="Tanya Rao"/>
    <n v="26"/>
    <s v="M"/>
    <x v="2"/>
    <n v="581185"/>
    <n v="1344024"/>
    <n v="13.01"/>
    <n v="84"/>
    <n v="741"/>
    <x v="1"/>
    <x v="1"/>
    <x v="552"/>
    <x v="0"/>
    <n v="24457.742852719231"/>
    <n v="2054450.3996284155"/>
    <n v="710426.39962841547"/>
    <n v="7"/>
    <x v="1"/>
  </r>
  <r>
    <s v="L0626"/>
    <s v="Raj Kumar"/>
    <n v="25"/>
    <s v="F"/>
    <x v="1"/>
    <n v="1083962"/>
    <n v="205607"/>
    <n v="10.85"/>
    <n v="48"/>
    <n v="812"/>
    <x v="3"/>
    <x v="1"/>
    <x v="203"/>
    <x v="1"/>
    <n v="5299.0554549835133"/>
    <n v="254354.66183920862"/>
    <n v="48747.661839208624"/>
    <n v="2"/>
    <x v="2"/>
  </r>
  <r>
    <s v="L0627"/>
    <s v="Rohit Khanna"/>
    <n v="28"/>
    <s v="F"/>
    <x v="2"/>
    <n v="1237289"/>
    <n v="423945"/>
    <n v="11.36"/>
    <n v="96"/>
    <n v="719"/>
    <x v="0"/>
    <x v="1"/>
    <x v="553"/>
    <x v="3"/>
    <n v="6742.1048168163125"/>
    <n v="647242.06241436605"/>
    <n v="223297.06241436605"/>
    <n v="3"/>
    <x v="1"/>
  </r>
  <r>
    <s v="L0628"/>
    <s v="Tanya Rao"/>
    <n v="59"/>
    <s v="M"/>
    <x v="2"/>
    <n v="1783813"/>
    <n v="678095"/>
    <n v="7.64"/>
    <n v="84"/>
    <n v="601"/>
    <x v="1"/>
    <x v="1"/>
    <x v="554"/>
    <x v="1"/>
    <n v="10447.723578240155"/>
    <n v="877608.78057217295"/>
    <n v="199513.78057217295"/>
    <n v="5"/>
    <x v="3"/>
  </r>
  <r>
    <s v="L0629"/>
    <s v="Neha Sharma"/>
    <n v="33"/>
    <s v="M"/>
    <x v="1"/>
    <n v="1127441"/>
    <n v="835752"/>
    <n v="7.7"/>
    <n v="60"/>
    <n v="708"/>
    <x v="1"/>
    <x v="1"/>
    <x v="555"/>
    <x v="1"/>
    <n v="16826.298341869027"/>
    <n v="1009577.9005121416"/>
    <n v="173825.90051214164"/>
    <n v="1"/>
    <x v="1"/>
  </r>
  <r>
    <s v="L0630"/>
    <s v="Sahil Gupta"/>
    <n v="37"/>
    <s v="M"/>
    <x v="1"/>
    <n v="763793"/>
    <n v="832598"/>
    <n v="11.05"/>
    <n v="48"/>
    <n v="617"/>
    <x v="2"/>
    <x v="1"/>
    <x v="545"/>
    <x v="2"/>
    <n v="21539.152764455808"/>
    <n v="1033879.3326938788"/>
    <n v="201281.33269387879"/>
    <n v="7"/>
    <x v="3"/>
  </r>
  <r>
    <s v="L0631"/>
    <s v="Meena George"/>
    <n v="27"/>
    <s v="F"/>
    <x v="0"/>
    <n v="685569"/>
    <n v="1200144"/>
    <n v="13.57"/>
    <n v="60"/>
    <n v="708"/>
    <x v="0"/>
    <x v="0"/>
    <x v="556"/>
    <x v="0"/>
    <n v="27658.428134956303"/>
    <n v="1659505.6880973782"/>
    <n v="459361.68809737824"/>
    <n v="2"/>
    <x v="1"/>
  </r>
  <r>
    <s v="L0632"/>
    <s v="Amit Yadav"/>
    <n v="59"/>
    <s v="F"/>
    <x v="2"/>
    <n v="1726699"/>
    <n v="333780"/>
    <n v="14.85"/>
    <n v="72"/>
    <n v="677"/>
    <x v="3"/>
    <x v="1"/>
    <x v="557"/>
    <x v="0"/>
    <n v="7030.6212838764377"/>
    <n v="506204.73243910354"/>
    <n v="172424.73243910354"/>
    <n v="7"/>
    <x v="0"/>
  </r>
  <r>
    <s v="L0633"/>
    <s v="Arjun Mehta"/>
    <n v="55"/>
    <s v="F"/>
    <x v="2"/>
    <n v="519715"/>
    <n v="1358171"/>
    <n v="13.57"/>
    <n v="120"/>
    <n v="637"/>
    <x v="0"/>
    <x v="1"/>
    <x v="439"/>
    <x v="3"/>
    <n v="20738.113577388489"/>
    <n v="2488573.6292866189"/>
    <n v="1130402.6292866189"/>
    <n v="1"/>
    <x v="3"/>
  </r>
  <r>
    <s v="L0634"/>
    <s v="Rohit Khanna"/>
    <n v="54"/>
    <s v="F"/>
    <x v="2"/>
    <n v="889848"/>
    <n v="1747633"/>
    <n v="10.73"/>
    <n v="48"/>
    <n v="705"/>
    <x v="2"/>
    <x v="1"/>
    <x v="558"/>
    <x v="1"/>
    <n v="44939.680767128993"/>
    <n v="2157104.6768221916"/>
    <n v="409471.67682219157"/>
    <n v="7"/>
    <x v="1"/>
  </r>
  <r>
    <s v="L0635"/>
    <s v="Kiran Menon"/>
    <n v="28"/>
    <s v="F"/>
    <x v="0"/>
    <n v="658834"/>
    <n v="1580045"/>
    <n v="14.07"/>
    <n v="120"/>
    <n v="674"/>
    <x v="2"/>
    <x v="1"/>
    <x v="559"/>
    <x v="3"/>
    <n v="24599.340678868568"/>
    <n v="2951920.881464228"/>
    <n v="1371875.881464228"/>
    <n v="3"/>
    <x v="0"/>
  </r>
  <r>
    <s v="L0636"/>
    <s v="Sahil Gupta"/>
    <n v="44"/>
    <s v="F"/>
    <x v="0"/>
    <n v="509734"/>
    <n v="835680"/>
    <n v="10.44"/>
    <n v="84"/>
    <n v="720"/>
    <x v="1"/>
    <x v="0"/>
    <x v="50"/>
    <x v="2"/>
    <n v="14064.004796292538"/>
    <n v="1181376.4028885732"/>
    <n v="345696.40288857324"/>
    <n v="5"/>
    <x v="1"/>
  </r>
  <r>
    <s v="L0637"/>
    <s v="Raj Kumar"/>
    <n v="41"/>
    <s v="M"/>
    <x v="1"/>
    <n v="1906223"/>
    <n v="1803153"/>
    <n v="8.17"/>
    <n v="84"/>
    <n v="733"/>
    <x v="2"/>
    <x v="1"/>
    <x v="560"/>
    <x v="1"/>
    <n v="28257.292481567983"/>
    <n v="2373612.5684517105"/>
    <n v="570459.56845171051"/>
    <n v="7"/>
    <x v="1"/>
  </r>
  <r>
    <s v="L0638"/>
    <s v="Sneha Pillai"/>
    <n v="44"/>
    <s v="M"/>
    <x v="2"/>
    <n v="345249"/>
    <n v="526215"/>
    <n v="12.77"/>
    <n v="48"/>
    <n v="744"/>
    <x v="2"/>
    <x v="1"/>
    <x v="561"/>
    <x v="1"/>
    <n v="14057.034860598857"/>
    <n v="674737.67330874514"/>
    <n v="148522.67330874514"/>
    <n v="7"/>
    <x v="1"/>
  </r>
  <r>
    <s v="L0639"/>
    <s v="Vikram Das"/>
    <n v="51"/>
    <s v="F"/>
    <x v="2"/>
    <n v="390472"/>
    <n v="1755196"/>
    <n v="13.54"/>
    <n v="72"/>
    <n v="622"/>
    <x v="2"/>
    <x v="1"/>
    <x v="562"/>
    <x v="1"/>
    <n v="35736.200967919409"/>
    <n v="2573006.4696901976"/>
    <n v="817810.46969019761"/>
    <n v="2"/>
    <x v="3"/>
  </r>
  <r>
    <s v="L0640"/>
    <s v="Aarav Patel"/>
    <n v="30"/>
    <s v="M"/>
    <x v="0"/>
    <n v="593989"/>
    <n v="1393772"/>
    <n v="13.89"/>
    <n v="48"/>
    <n v="624"/>
    <x v="3"/>
    <x v="0"/>
    <x v="563"/>
    <x v="0"/>
    <n v="38010.014887111043"/>
    <n v="1824480.7145813301"/>
    <n v="430708.71458133007"/>
    <n v="5"/>
    <x v="3"/>
  </r>
  <r>
    <s v="L0641"/>
    <s v="Vikram Das"/>
    <n v="34"/>
    <s v="F"/>
    <x v="0"/>
    <n v="1134277"/>
    <n v="1467447"/>
    <n v="8.36"/>
    <n v="48"/>
    <n v="617"/>
    <x v="0"/>
    <x v="0"/>
    <x v="564"/>
    <x v="2"/>
    <n v="36073.163211025174"/>
    <n v="1731511.8341292082"/>
    <n v="264064.83412920823"/>
    <n v="4"/>
    <x v="3"/>
  </r>
  <r>
    <s v="L0642"/>
    <s v="Rina Kapoor"/>
    <n v="48"/>
    <s v="F"/>
    <x v="2"/>
    <n v="1871891"/>
    <n v="1804899"/>
    <n v="8.59"/>
    <n v="60"/>
    <n v="617"/>
    <x v="1"/>
    <x v="1"/>
    <x v="565"/>
    <x v="3"/>
    <n v="37108.606612218078"/>
    <n v="2226516.3967330847"/>
    <n v="421617.39673308469"/>
    <n v="4"/>
    <x v="3"/>
  </r>
  <r>
    <s v="L0643"/>
    <s v="Tanya Rao"/>
    <n v="52"/>
    <s v="M"/>
    <x v="0"/>
    <n v="1999544"/>
    <n v="1709333"/>
    <n v="12.12"/>
    <n v="84"/>
    <n v="669"/>
    <x v="1"/>
    <x v="1"/>
    <x v="566"/>
    <x v="2"/>
    <n v="30284.203144863106"/>
    <n v="2543873.0641685007"/>
    <n v="834540.06416850071"/>
    <n v="5"/>
    <x v="0"/>
  </r>
  <r>
    <s v="L0644"/>
    <s v="Amit Yadav"/>
    <n v="54"/>
    <s v="F"/>
    <x v="1"/>
    <n v="369559"/>
    <n v="1161090"/>
    <n v="12.14"/>
    <n v="84"/>
    <n v="775"/>
    <x v="0"/>
    <x v="1"/>
    <x v="567"/>
    <x v="2"/>
    <n v="20583.443385859533"/>
    <n v="1729009.2444122008"/>
    <n v="567919.24441220076"/>
    <n v="1"/>
    <x v="4"/>
  </r>
  <r>
    <s v="L0645"/>
    <s v="Aarav Patel"/>
    <n v="48"/>
    <s v="M"/>
    <x v="1"/>
    <n v="1737315"/>
    <n v="1666733"/>
    <n v="11.88"/>
    <n v="36"/>
    <n v="731"/>
    <x v="0"/>
    <x v="1"/>
    <x v="568"/>
    <x v="1"/>
    <n v="55263.907096328105"/>
    <n v="1989500.6554678117"/>
    <n v="322767.65546781174"/>
    <n v="3"/>
    <x v="1"/>
  </r>
  <r>
    <s v="L0646"/>
    <s v="Rohan Nair"/>
    <n v="57"/>
    <s v="F"/>
    <x v="2"/>
    <n v="1205435"/>
    <n v="378198"/>
    <n v="13.95"/>
    <n v="72"/>
    <n v="679"/>
    <x v="2"/>
    <x v="1"/>
    <x v="569"/>
    <x v="3"/>
    <n v="7782.9274252420264"/>
    <n v="560370.77461742586"/>
    <n v="182172.77461742586"/>
    <n v="6"/>
    <x v="0"/>
  </r>
  <r>
    <s v="L0647"/>
    <s v="Isha Verma"/>
    <n v="30"/>
    <s v="F"/>
    <x v="2"/>
    <n v="1599495"/>
    <n v="338793"/>
    <n v="12.59"/>
    <n v="96"/>
    <n v="836"/>
    <x v="1"/>
    <x v="1"/>
    <x v="570"/>
    <x v="3"/>
    <n v="5616.7633110238758"/>
    <n v="539209.2778582921"/>
    <n v="200416.2778582921"/>
    <n v="4"/>
    <x v="2"/>
  </r>
  <r>
    <s v="L0648"/>
    <s v="Isha Verma"/>
    <n v="53"/>
    <s v="M"/>
    <x v="1"/>
    <n v="1943511"/>
    <n v="634230"/>
    <n v="12.29"/>
    <n v="72"/>
    <n v="697"/>
    <x v="2"/>
    <x v="0"/>
    <x v="124"/>
    <x v="1"/>
    <n v="12495.173010678274"/>
    <n v="899652.45676883578"/>
    <n v="265422.45676883578"/>
    <n v="1"/>
    <x v="0"/>
  </r>
  <r>
    <s v="L0649"/>
    <s v="Arjun Mehta"/>
    <n v="45"/>
    <s v="M"/>
    <x v="2"/>
    <n v="794193"/>
    <n v="450861"/>
    <n v="10.08"/>
    <n v="48"/>
    <n v="651"/>
    <x v="2"/>
    <x v="1"/>
    <x v="571"/>
    <x v="3"/>
    <n v="11452.329383082812"/>
    <n v="549711.81038797495"/>
    <n v="98850.810387974954"/>
    <n v="7"/>
    <x v="0"/>
  </r>
  <r>
    <s v="L0650"/>
    <s v="Rina Kapoor"/>
    <n v="29"/>
    <s v="F"/>
    <x v="1"/>
    <n v="1776654"/>
    <n v="534170"/>
    <n v="7.92"/>
    <n v="84"/>
    <n v="830"/>
    <x v="1"/>
    <x v="1"/>
    <x v="406"/>
    <x v="0"/>
    <n v="8304.4136617485692"/>
    <n v="697570.74758687976"/>
    <n v="163400.74758687976"/>
    <n v="7"/>
    <x v="2"/>
  </r>
  <r>
    <s v="L0651"/>
    <s v="Kiran Menon"/>
    <n v="43"/>
    <s v="M"/>
    <x v="1"/>
    <n v="775546"/>
    <n v="962484"/>
    <n v="13.35"/>
    <n v="36"/>
    <n v="824"/>
    <x v="3"/>
    <x v="0"/>
    <x v="572"/>
    <x v="1"/>
    <n v="32592.384816075657"/>
    <n v="1173325.8533787236"/>
    <n v="210841.85337872361"/>
    <n v="2"/>
    <x v="2"/>
  </r>
  <r>
    <s v="L0652"/>
    <s v="Isha Verma"/>
    <n v="44"/>
    <s v="M"/>
    <x v="0"/>
    <n v="755719"/>
    <n v="1475468"/>
    <n v="14.07"/>
    <n v="36"/>
    <n v="753"/>
    <x v="3"/>
    <x v="1"/>
    <x v="573"/>
    <x v="1"/>
    <n v="50478.177037556226"/>
    <n v="1817214.3733520242"/>
    <n v="341746.37335202424"/>
    <n v="4"/>
    <x v="4"/>
  </r>
  <r>
    <s v="L0653"/>
    <s v="Priya Singh"/>
    <n v="36"/>
    <s v="F"/>
    <x v="1"/>
    <n v="1971347"/>
    <n v="987678"/>
    <n v="7.65"/>
    <n v="36"/>
    <n v="721"/>
    <x v="1"/>
    <x v="1"/>
    <x v="574"/>
    <x v="2"/>
    <n v="30791.014424662466"/>
    <n v="1108476.5192878488"/>
    <n v="120798.51928784885"/>
    <n v="7"/>
    <x v="1"/>
  </r>
  <r>
    <s v="L0654"/>
    <s v="Meena George"/>
    <n v="36"/>
    <s v="M"/>
    <x v="1"/>
    <n v="1431702"/>
    <n v="826102"/>
    <n v="13.62"/>
    <n v="120"/>
    <n v="781"/>
    <x v="1"/>
    <x v="1"/>
    <x v="575"/>
    <x v="1"/>
    <n v="12638.5188543407"/>
    <n v="1516622.2625208839"/>
    <n v="690520.26252088393"/>
    <n v="1"/>
    <x v="4"/>
  </r>
  <r>
    <s v="L0655"/>
    <s v="Neha Sharma"/>
    <n v="30"/>
    <s v="F"/>
    <x v="2"/>
    <n v="1938960"/>
    <n v="468798"/>
    <n v="10.67"/>
    <n v="84"/>
    <n v="813"/>
    <x v="1"/>
    <x v="1"/>
    <x v="576"/>
    <x v="1"/>
    <n v="7945.8533299921901"/>
    <n v="667451.67971934401"/>
    <n v="198653.67971934401"/>
    <n v="1"/>
    <x v="2"/>
  </r>
  <r>
    <s v="L0656"/>
    <s v="Pooja Reddy"/>
    <n v="32"/>
    <s v="M"/>
    <x v="0"/>
    <n v="1153454"/>
    <n v="983987"/>
    <n v="13.54"/>
    <n v="36"/>
    <n v="751"/>
    <x v="2"/>
    <x v="1"/>
    <x v="577"/>
    <x v="1"/>
    <n v="33410.922074734866"/>
    <n v="1202793.1946904552"/>
    <n v="218806.19469045522"/>
    <n v="7"/>
    <x v="4"/>
  </r>
  <r>
    <s v="L0657"/>
    <s v="Pooja Reddy"/>
    <n v="39"/>
    <s v="F"/>
    <x v="1"/>
    <n v="853247"/>
    <n v="646857"/>
    <n v="10.52"/>
    <n v="48"/>
    <n v="811"/>
    <x v="0"/>
    <x v="1"/>
    <x v="189"/>
    <x v="2"/>
    <n v="16567.973977910679"/>
    <n v="795262.75093971263"/>
    <n v="148405.75093971263"/>
    <n v="1"/>
    <x v="2"/>
  </r>
  <r>
    <s v="L0658"/>
    <s v="Priya Singh"/>
    <n v="45"/>
    <s v="M"/>
    <x v="2"/>
    <n v="964831"/>
    <n v="1162545"/>
    <n v="14.05"/>
    <n v="84"/>
    <n v="634"/>
    <x v="2"/>
    <x v="1"/>
    <x v="578"/>
    <x v="0"/>
    <n v="21818.229887030851"/>
    <n v="1832731.3105105916"/>
    <n v="670186.3105105916"/>
    <n v="4"/>
    <x v="3"/>
  </r>
  <r>
    <s v="L0659"/>
    <s v="Sneha Pillai"/>
    <n v="46"/>
    <s v="F"/>
    <x v="1"/>
    <n v="1646681"/>
    <n v="1021879"/>
    <n v="12.62"/>
    <n v="36"/>
    <n v="737"/>
    <x v="3"/>
    <x v="1"/>
    <x v="579"/>
    <x v="2"/>
    <n v="34244.403615634932"/>
    <n v="1232798.5301628576"/>
    <n v="210919.53016285761"/>
    <n v="6"/>
    <x v="1"/>
  </r>
  <r>
    <s v="L0660"/>
    <s v="Pooja Reddy"/>
    <n v="43"/>
    <s v="F"/>
    <x v="2"/>
    <n v="1435186"/>
    <n v="908156"/>
    <n v="10.67"/>
    <n v="84"/>
    <n v="763"/>
    <x v="1"/>
    <x v="1"/>
    <x v="580"/>
    <x v="3"/>
    <n v="15392.715789641568"/>
    <n v="1292988.1263298918"/>
    <n v="384832.12632989185"/>
    <n v="7"/>
    <x v="4"/>
  </r>
  <r>
    <s v="L0661"/>
    <s v="Sneha Pillai"/>
    <n v="44"/>
    <s v="F"/>
    <x v="0"/>
    <n v="380069"/>
    <n v="324240"/>
    <n v="11.76"/>
    <n v="36"/>
    <n v="603"/>
    <x v="1"/>
    <x v="1"/>
    <x v="581"/>
    <x v="3"/>
    <n v="10732.278419386757"/>
    <n v="386362.02309792326"/>
    <n v="62122.023097923258"/>
    <n v="6"/>
    <x v="3"/>
  </r>
  <r>
    <s v="L0662"/>
    <s v="Isha Verma"/>
    <n v="27"/>
    <s v="M"/>
    <x v="1"/>
    <n v="1686563"/>
    <n v="1847578"/>
    <n v="10.11"/>
    <n v="60"/>
    <n v="791"/>
    <x v="2"/>
    <x v="1"/>
    <x v="582"/>
    <x v="3"/>
    <n v="39355.646336605962"/>
    <n v="2361338.7801963575"/>
    <n v="513760.78019635752"/>
    <n v="5"/>
    <x v="4"/>
  </r>
  <r>
    <s v="L0663"/>
    <s v="Aarav Patel"/>
    <n v="59"/>
    <s v="F"/>
    <x v="2"/>
    <n v="1337187"/>
    <n v="373076"/>
    <n v="11.91"/>
    <n v="96"/>
    <n v="850"/>
    <x v="0"/>
    <x v="1"/>
    <x v="583"/>
    <x v="0"/>
    <n v="6045.1116715431772"/>
    <n v="580330.72046814498"/>
    <n v="207254.72046814498"/>
    <n v="5"/>
    <x v="2"/>
  </r>
  <r>
    <s v="L0664"/>
    <s v="Sahil Gupta"/>
    <n v="30"/>
    <s v="M"/>
    <x v="0"/>
    <n v="606239"/>
    <n v="1646723"/>
    <n v="11.53"/>
    <n v="60"/>
    <n v="790"/>
    <x v="3"/>
    <x v="1"/>
    <x v="584"/>
    <x v="2"/>
    <n v="36240.538260401292"/>
    <n v="2174432.2956240773"/>
    <n v="527709.29562407732"/>
    <n v="7"/>
    <x v="4"/>
  </r>
  <r>
    <s v="L0665"/>
    <s v="Aditya Sharma"/>
    <n v="34"/>
    <s v="F"/>
    <x v="2"/>
    <n v="953567"/>
    <n v="1665527"/>
    <n v="14.13"/>
    <n v="120"/>
    <n v="731"/>
    <x v="3"/>
    <x v="1"/>
    <x v="372"/>
    <x v="1"/>
    <n v="25990.387174407642"/>
    <n v="3118846.4609289169"/>
    <n v="1453319.4609289169"/>
    <n v="2"/>
    <x v="1"/>
  </r>
  <r>
    <s v="L0666"/>
    <s v="Isha Verma"/>
    <n v="44"/>
    <s v="F"/>
    <x v="2"/>
    <n v="676646"/>
    <n v="941213"/>
    <n v="8.07"/>
    <n v="72"/>
    <n v="663"/>
    <x v="2"/>
    <x v="0"/>
    <x v="585"/>
    <x v="1"/>
    <n v="16534.702516876354"/>
    <n v="1190498.5812150976"/>
    <n v="249285.58121509757"/>
    <n v="2"/>
    <x v="0"/>
  </r>
  <r>
    <s v="L0667"/>
    <s v="Sahil Gupta"/>
    <n v="55"/>
    <s v="F"/>
    <x v="0"/>
    <n v="1867786"/>
    <n v="908898"/>
    <n v="11.77"/>
    <n v="84"/>
    <n v="815"/>
    <x v="0"/>
    <x v="1"/>
    <x v="469"/>
    <x v="3"/>
    <n v="15932.9541419549"/>
    <n v="1338368.1479242116"/>
    <n v="429470.14792421157"/>
    <n v="4"/>
    <x v="2"/>
  </r>
  <r>
    <s v="L0668"/>
    <s v="Tanya Rao"/>
    <n v="48"/>
    <s v="M"/>
    <x v="2"/>
    <n v="801876"/>
    <n v="204605"/>
    <n v="9.3699999999999992"/>
    <n v="72"/>
    <n v="740"/>
    <x v="2"/>
    <x v="1"/>
    <x v="586"/>
    <x v="2"/>
    <n v="3725.7995127818585"/>
    <n v="268257.56492029381"/>
    <n v="63652.564920293808"/>
    <n v="2"/>
    <x v="1"/>
  </r>
  <r>
    <s v="L0669"/>
    <s v="Rohit Khanna"/>
    <n v="52"/>
    <s v="M"/>
    <x v="2"/>
    <n v="1351485"/>
    <n v="1651890"/>
    <n v="13.97"/>
    <n v="36"/>
    <n v="725"/>
    <x v="2"/>
    <x v="1"/>
    <x v="587"/>
    <x v="0"/>
    <n v="56433.618580226699"/>
    <n v="2031610.2688881611"/>
    <n v="379720.26888816105"/>
    <n v="1"/>
    <x v="1"/>
  </r>
  <r>
    <s v="L0670"/>
    <s v="Meena George"/>
    <n v="39"/>
    <s v="F"/>
    <x v="2"/>
    <n v="516981"/>
    <n v="768439"/>
    <n v="9.91"/>
    <n v="96"/>
    <n v="783"/>
    <x v="0"/>
    <x v="1"/>
    <x v="588"/>
    <x v="0"/>
    <n v="11623.856858050112"/>
    <n v="1115890.2583728107"/>
    <n v="347451.25837281067"/>
    <n v="1"/>
    <x v="4"/>
  </r>
  <r>
    <s v="L0671"/>
    <s v="Amit Yadav"/>
    <n v="48"/>
    <s v="M"/>
    <x v="0"/>
    <n v="372816"/>
    <n v="1791514"/>
    <n v="8.99"/>
    <n v="96"/>
    <n v="674"/>
    <x v="1"/>
    <x v="0"/>
    <x v="589"/>
    <x v="2"/>
    <n v="26236.751469403109"/>
    <n v="2518728.1410626983"/>
    <n v="727214.14106269833"/>
    <n v="4"/>
    <x v="0"/>
  </r>
  <r>
    <s v="L0672"/>
    <s v="Raj Kumar"/>
    <n v="37"/>
    <s v="F"/>
    <x v="0"/>
    <n v="990043"/>
    <n v="1591302"/>
    <n v="13.04"/>
    <n v="120"/>
    <n v="841"/>
    <x v="2"/>
    <x v="0"/>
    <x v="590"/>
    <x v="1"/>
    <n v="23797.406229738302"/>
    <n v="2855688.7475685962"/>
    <n v="1264386.7475685962"/>
    <n v="6"/>
    <x v="2"/>
  </r>
  <r>
    <s v="L0673"/>
    <s v="Priya Singh"/>
    <n v="48"/>
    <s v="F"/>
    <x v="1"/>
    <n v="1273603"/>
    <n v="866246"/>
    <n v="13.96"/>
    <n v="84"/>
    <n v="813"/>
    <x v="2"/>
    <x v="1"/>
    <x v="591"/>
    <x v="2"/>
    <n v="16214.324970860698"/>
    <n v="1362003.2975522988"/>
    <n v="495757.29755229875"/>
    <n v="1"/>
    <x v="2"/>
  </r>
  <r>
    <s v="L0674"/>
    <s v="Tanya Rao"/>
    <n v="26"/>
    <s v="F"/>
    <x v="1"/>
    <n v="1634599"/>
    <n v="617962"/>
    <n v="7.83"/>
    <n v="36"/>
    <n v="636"/>
    <x v="2"/>
    <x v="1"/>
    <x v="592"/>
    <x v="3"/>
    <n v="19316.256408520319"/>
    <n v="695385.23070673156"/>
    <n v="77423.230706731556"/>
    <n v="3"/>
    <x v="3"/>
  </r>
  <r>
    <s v="L0675"/>
    <s v="Arjun Mehta"/>
    <n v="56"/>
    <s v="F"/>
    <x v="2"/>
    <n v="778809"/>
    <n v="772021"/>
    <n v="13.51"/>
    <n v="48"/>
    <n v="763"/>
    <x v="2"/>
    <x v="1"/>
    <x v="593"/>
    <x v="0"/>
    <n v="20907.342372082272"/>
    <n v="1003552.433859949"/>
    <n v="231531.433859949"/>
    <n v="7"/>
    <x v="4"/>
  </r>
  <r>
    <s v="L0676"/>
    <s v="Mohit Jain"/>
    <n v="44"/>
    <s v="M"/>
    <x v="0"/>
    <n v="333499"/>
    <n v="1014268"/>
    <n v="13.36"/>
    <n v="84"/>
    <n v="615"/>
    <x v="3"/>
    <x v="1"/>
    <x v="594"/>
    <x v="2"/>
    <n v="18650.614772470453"/>
    <n v="1566651.6408875182"/>
    <n v="552383.64088751818"/>
    <n v="2"/>
    <x v="3"/>
  </r>
  <r>
    <s v="L0677"/>
    <s v="Priya Singh"/>
    <n v="27"/>
    <s v="F"/>
    <x v="1"/>
    <n v="1441746"/>
    <n v="1913788"/>
    <n v="13.1"/>
    <n v="48"/>
    <n v="837"/>
    <x v="0"/>
    <x v="1"/>
    <x v="595"/>
    <x v="2"/>
    <n v="51437.176740351955"/>
    <n v="2468984.483536894"/>
    <n v="555196.48353689397"/>
    <n v="4"/>
    <x v="2"/>
  </r>
  <r>
    <s v="L0678"/>
    <s v="Neha Sharma"/>
    <n v="52"/>
    <s v="F"/>
    <x v="2"/>
    <n v="1766527"/>
    <n v="1670602"/>
    <n v="14.93"/>
    <n v="60"/>
    <n v="678"/>
    <x v="0"/>
    <x v="1"/>
    <x v="596"/>
    <x v="2"/>
    <n v="39682.146812679646"/>
    <n v="2380928.808760779"/>
    <n v="710326.80876077898"/>
    <n v="7"/>
    <x v="0"/>
  </r>
  <r>
    <s v="L0679"/>
    <s v="Priya Singh"/>
    <n v="33"/>
    <s v="F"/>
    <x v="1"/>
    <n v="1170442"/>
    <n v="1141644"/>
    <n v="12.42"/>
    <n v="72"/>
    <n v="745"/>
    <x v="1"/>
    <x v="1"/>
    <x v="597"/>
    <x v="3"/>
    <n v="22569.491620239864"/>
    <n v="1625003.3966572701"/>
    <n v="483359.39665727015"/>
    <n v="4"/>
    <x v="1"/>
  </r>
  <r>
    <s v="L0680"/>
    <s v="Arjun Mehta"/>
    <n v="45"/>
    <s v="M"/>
    <x v="1"/>
    <n v="1874375"/>
    <n v="648521"/>
    <n v="11.52"/>
    <n v="96"/>
    <n v="618"/>
    <x v="0"/>
    <x v="1"/>
    <x v="598"/>
    <x v="3"/>
    <n v="10370.022176785153"/>
    <n v="995522.12897137459"/>
    <n v="347001.12897137459"/>
    <n v="6"/>
    <x v="3"/>
  </r>
  <r>
    <s v="L0681"/>
    <s v="Rina Kapoor"/>
    <n v="36"/>
    <s v="M"/>
    <x v="2"/>
    <n v="1226191"/>
    <n v="1355857"/>
    <n v="10.42"/>
    <n v="36"/>
    <n v="735"/>
    <x v="0"/>
    <x v="0"/>
    <x v="599"/>
    <x v="1"/>
    <n v="44017.536970900779"/>
    <n v="1584631.330952428"/>
    <n v="228774.33095242805"/>
    <n v="4"/>
    <x v="1"/>
  </r>
  <r>
    <s v="L0682"/>
    <s v="Deepika Joshi"/>
    <n v="52"/>
    <s v="M"/>
    <x v="2"/>
    <n v="1458490"/>
    <n v="552378"/>
    <n v="10.61"/>
    <n v="48"/>
    <n v="713"/>
    <x v="0"/>
    <x v="1"/>
    <x v="600"/>
    <x v="2"/>
    <n v="14172.105907055755"/>
    <n v="680261.08353867626"/>
    <n v="127883.08353867626"/>
    <n v="4"/>
    <x v="1"/>
  </r>
  <r>
    <s v="L0683"/>
    <s v="Sahil Gupta"/>
    <n v="35"/>
    <s v="F"/>
    <x v="0"/>
    <n v="956662"/>
    <n v="1868883"/>
    <n v="7.71"/>
    <n v="60"/>
    <n v="823"/>
    <x v="2"/>
    <x v="1"/>
    <x v="601"/>
    <x v="3"/>
    <n v="37635.359344182456"/>
    <n v="2258121.5606509475"/>
    <n v="389238.5606509475"/>
    <n v="2"/>
    <x v="2"/>
  </r>
  <r>
    <s v="L0684"/>
    <s v="Sneha Pillai"/>
    <n v="49"/>
    <s v="F"/>
    <x v="0"/>
    <n v="1256662"/>
    <n v="969002"/>
    <n v="10.53"/>
    <n v="48"/>
    <n v="841"/>
    <x v="3"/>
    <x v="1"/>
    <x v="602"/>
    <x v="2"/>
    <n v="24823.767635394965"/>
    <n v="1191540.8464989583"/>
    <n v="222538.8464989583"/>
    <n v="5"/>
    <x v="2"/>
  </r>
  <r>
    <s v="L0685"/>
    <s v="Pooja Reddy"/>
    <n v="57"/>
    <s v="M"/>
    <x v="1"/>
    <n v="1635219"/>
    <n v="1361963"/>
    <n v="9"/>
    <n v="36"/>
    <n v="724"/>
    <x v="3"/>
    <x v="1"/>
    <x v="603"/>
    <x v="2"/>
    <n v="43310.059292730795"/>
    <n v="1559162.1345383087"/>
    <n v="197199.13453830872"/>
    <n v="2"/>
    <x v="1"/>
  </r>
  <r>
    <s v="L0686"/>
    <s v="Vikram Das"/>
    <n v="46"/>
    <s v="M"/>
    <x v="2"/>
    <n v="830656"/>
    <n v="1013349"/>
    <n v="14.09"/>
    <n v="60"/>
    <n v="667"/>
    <x v="1"/>
    <x v="1"/>
    <x v="604"/>
    <x v="1"/>
    <n v="23626.167614462091"/>
    <n v="1417570.0568677254"/>
    <n v="404221.05686772545"/>
    <n v="7"/>
    <x v="0"/>
  </r>
  <r>
    <s v="L0687"/>
    <s v="Rohan Nair"/>
    <n v="55"/>
    <s v="M"/>
    <x v="0"/>
    <n v="1348821"/>
    <n v="706400"/>
    <n v="11.77"/>
    <n v="120"/>
    <n v="621"/>
    <x v="1"/>
    <x v="1"/>
    <x v="605"/>
    <x v="0"/>
    <n v="10041.087757924797"/>
    <n v="1204930.5309509756"/>
    <n v="498530.5309509756"/>
    <n v="4"/>
    <x v="3"/>
  </r>
  <r>
    <s v="L0688"/>
    <s v="Neha Sharma"/>
    <n v="31"/>
    <s v="M"/>
    <x v="0"/>
    <n v="1797157"/>
    <n v="1979668"/>
    <n v="10.24"/>
    <n v="36"/>
    <n v="715"/>
    <x v="2"/>
    <x v="1"/>
    <x v="353"/>
    <x v="2"/>
    <n v="64101.616511171334"/>
    <n v="2307658.194402168"/>
    <n v="327990.19440216804"/>
    <n v="6"/>
    <x v="1"/>
  </r>
  <r>
    <s v="L0689"/>
    <s v="Meena George"/>
    <n v="45"/>
    <s v="M"/>
    <x v="2"/>
    <n v="1267984"/>
    <n v="1893699"/>
    <n v="10.37"/>
    <n v="96"/>
    <n v="666"/>
    <x v="0"/>
    <x v="1"/>
    <x v="606"/>
    <x v="2"/>
    <n v="29107.380560322945"/>
    <n v="2794308.5337910028"/>
    <n v="900609.53379100282"/>
    <n v="5"/>
    <x v="0"/>
  </r>
  <r>
    <s v="L0690"/>
    <s v="Isha Verma"/>
    <n v="44"/>
    <s v="F"/>
    <x v="1"/>
    <n v="372508"/>
    <n v="1593255"/>
    <n v="14.52"/>
    <n v="72"/>
    <n v="778"/>
    <x v="3"/>
    <x v="0"/>
    <x v="607"/>
    <x v="1"/>
    <n v="33275.471344624653"/>
    <n v="2395833.936812975"/>
    <n v="802578.93681297498"/>
    <n v="1"/>
    <x v="4"/>
  </r>
  <r>
    <s v="L0691"/>
    <s v="Sahil Gupta"/>
    <n v="32"/>
    <s v="F"/>
    <x v="1"/>
    <n v="516067"/>
    <n v="371953"/>
    <n v="8.39"/>
    <n v="36"/>
    <n v="741"/>
    <x v="2"/>
    <x v="1"/>
    <x v="608"/>
    <x v="3"/>
    <n v="11722.690849660867"/>
    <n v="422016.8705877912"/>
    <n v="50063.8705877912"/>
    <n v="2"/>
    <x v="1"/>
  </r>
  <r>
    <s v="L0692"/>
    <s v="Arjun Mehta"/>
    <n v="39"/>
    <s v="F"/>
    <x v="0"/>
    <n v="730876"/>
    <n v="856637"/>
    <n v="9.51"/>
    <n v="60"/>
    <n v="785"/>
    <x v="0"/>
    <x v="1"/>
    <x v="609"/>
    <x v="1"/>
    <n v="17995.158063243816"/>
    <n v="1079709.4837946289"/>
    <n v="223072.48379462888"/>
    <n v="1"/>
    <x v="4"/>
  </r>
  <r>
    <s v="L0693"/>
    <s v="Isha Verma"/>
    <n v="28"/>
    <s v="F"/>
    <x v="2"/>
    <n v="915933"/>
    <n v="560112"/>
    <n v="13.49"/>
    <n v="72"/>
    <n v="715"/>
    <x v="1"/>
    <x v="0"/>
    <x v="610"/>
    <x v="1"/>
    <n v="11389.119228991916"/>
    <n v="820016.58448741795"/>
    <n v="259904.58448741795"/>
    <n v="7"/>
    <x v="1"/>
  </r>
  <r>
    <s v="L0694"/>
    <s v="Tanya Rao"/>
    <n v="37"/>
    <s v="M"/>
    <x v="0"/>
    <n v="400671"/>
    <n v="609757"/>
    <n v="11.15"/>
    <n v="60"/>
    <n v="681"/>
    <x v="0"/>
    <x v="1"/>
    <x v="611"/>
    <x v="2"/>
    <n v="13303.253924055476"/>
    <n v="798195.23544332851"/>
    <n v="188438.23544332851"/>
    <n v="5"/>
    <x v="0"/>
  </r>
  <r>
    <s v="L0695"/>
    <s v="Raj Kumar"/>
    <n v="25"/>
    <s v="F"/>
    <x v="2"/>
    <n v="630336"/>
    <n v="1953728"/>
    <n v="11.14"/>
    <n v="60"/>
    <n v="691"/>
    <x v="2"/>
    <x v="1"/>
    <x v="612"/>
    <x v="0"/>
    <n v="42615.31576033109"/>
    <n v="2556918.9456198653"/>
    <n v="603190.94561986532"/>
    <n v="2"/>
    <x v="0"/>
  </r>
  <r>
    <s v="L0696"/>
    <s v="Aditya Sharma"/>
    <n v="41"/>
    <s v="M"/>
    <x v="2"/>
    <n v="1253072"/>
    <n v="1503538"/>
    <n v="14.35"/>
    <n v="96"/>
    <n v="615"/>
    <x v="3"/>
    <x v="1"/>
    <x v="203"/>
    <x v="0"/>
    <n v="26419.084265955134"/>
    <n v="2536232.0895316927"/>
    <n v="1032694.0895316927"/>
    <n v="2"/>
    <x v="3"/>
  </r>
  <r>
    <s v="L0697"/>
    <s v="Kiran Menon"/>
    <n v="59"/>
    <s v="M"/>
    <x v="0"/>
    <n v="1401084"/>
    <n v="242211"/>
    <n v="13.4"/>
    <n v="60"/>
    <n v="697"/>
    <x v="0"/>
    <x v="1"/>
    <x v="613"/>
    <x v="0"/>
    <n v="5560.7674961780995"/>
    <n v="333646.04977068596"/>
    <n v="91435.049770685961"/>
    <n v="4"/>
    <x v="0"/>
  </r>
  <r>
    <s v="L0698"/>
    <s v="Amit Yadav"/>
    <n v="51"/>
    <s v="F"/>
    <x v="1"/>
    <n v="432604"/>
    <n v="1168122"/>
    <n v="13.59"/>
    <n v="36"/>
    <n v="702"/>
    <x v="2"/>
    <x v="1"/>
    <x v="515"/>
    <x v="2"/>
    <n v="39691.424343754181"/>
    <n v="1428891.2763751505"/>
    <n v="260769.27637515054"/>
    <n v="7"/>
    <x v="1"/>
  </r>
  <r>
    <s v="L0699"/>
    <s v="Sneha Pillai"/>
    <n v="42"/>
    <s v="F"/>
    <x v="0"/>
    <n v="1646007"/>
    <n v="1030499"/>
    <n v="7.58"/>
    <n v="84"/>
    <n v="638"/>
    <x v="1"/>
    <x v="0"/>
    <x v="614"/>
    <x v="1"/>
    <n v="15846.796034043606"/>
    <n v="1331130.8668596628"/>
    <n v="300631.86685966281"/>
    <n v="3"/>
    <x v="3"/>
  </r>
  <r>
    <s v="L0700"/>
    <s v="Rohan Nair"/>
    <n v="50"/>
    <s v="F"/>
    <x v="1"/>
    <n v="824044"/>
    <n v="1540755"/>
    <n v="13.37"/>
    <n v="48"/>
    <n v="775"/>
    <x v="3"/>
    <x v="1"/>
    <x v="615"/>
    <x v="3"/>
    <n v="41618.103935761952"/>
    <n v="1997668.9889165736"/>
    <n v="456913.98891657358"/>
    <n v="6"/>
    <x v="4"/>
  </r>
  <r>
    <s v="L0701"/>
    <s v="Rina Kapoor"/>
    <n v="45"/>
    <s v="F"/>
    <x v="0"/>
    <n v="902775"/>
    <n v="1671258"/>
    <n v="13.9"/>
    <n v="120"/>
    <n v="644"/>
    <x v="1"/>
    <x v="1"/>
    <x v="100"/>
    <x v="0"/>
    <n v="25848.634970718784"/>
    <n v="3101836.1964862542"/>
    <n v="1430578.1964862542"/>
    <n v="2"/>
    <x v="3"/>
  </r>
  <r>
    <s v="L0702"/>
    <s v="Meena George"/>
    <n v="39"/>
    <s v="F"/>
    <x v="0"/>
    <n v="1250986"/>
    <n v="261010"/>
    <n v="9.51"/>
    <n v="72"/>
    <n v="607"/>
    <x v="2"/>
    <x v="1"/>
    <x v="120"/>
    <x v="2"/>
    <n v="4771.1829947458145"/>
    <n v="343525.17562169867"/>
    <n v="82515.175621698669"/>
    <n v="7"/>
    <x v="3"/>
  </r>
  <r>
    <s v="L0703"/>
    <s v="Priya Singh"/>
    <n v="49"/>
    <s v="F"/>
    <x v="0"/>
    <n v="1988830"/>
    <n v="1472792"/>
    <n v="11.08"/>
    <n v="120"/>
    <n v="781"/>
    <x v="1"/>
    <x v="1"/>
    <x v="276"/>
    <x v="0"/>
    <n v="20354.463406059043"/>
    <n v="2442535.6087270854"/>
    <n v="969743.6087270854"/>
    <n v="1"/>
    <x v="4"/>
  </r>
  <r>
    <s v="L0704"/>
    <s v="Arjun Mehta"/>
    <n v="54"/>
    <s v="M"/>
    <x v="0"/>
    <n v="850936"/>
    <n v="638000"/>
    <n v="11.57"/>
    <n v="96"/>
    <n v="612"/>
    <x v="1"/>
    <x v="1"/>
    <x v="307"/>
    <x v="0"/>
    <n v="10219.170138795082"/>
    <n v="981040.33332432783"/>
    <n v="343040.33332432783"/>
    <n v="7"/>
    <x v="3"/>
  </r>
  <r>
    <s v="L0705"/>
    <s v="Priya Singh"/>
    <n v="53"/>
    <s v="M"/>
    <x v="0"/>
    <n v="986332"/>
    <n v="495204"/>
    <n v="7.98"/>
    <n v="120"/>
    <n v="820"/>
    <x v="0"/>
    <x v="1"/>
    <x v="616"/>
    <x v="3"/>
    <n v="6002.9589557289637"/>
    <n v="720355.07468747569"/>
    <n v="225151.07468747569"/>
    <n v="5"/>
    <x v="2"/>
  </r>
  <r>
    <s v="L0706"/>
    <s v="Isha Verma"/>
    <n v="52"/>
    <s v="M"/>
    <x v="1"/>
    <n v="1570718"/>
    <n v="1036961"/>
    <n v="11.86"/>
    <n v="84"/>
    <n v="753"/>
    <x v="2"/>
    <x v="1"/>
    <x v="617"/>
    <x v="0"/>
    <n v="18227.649526665093"/>
    <n v="1531122.5602398678"/>
    <n v="494161.56023986777"/>
    <n v="6"/>
    <x v="4"/>
  </r>
  <r>
    <s v="L0707"/>
    <s v="Isha Verma"/>
    <n v="27"/>
    <s v="M"/>
    <x v="2"/>
    <n v="1252928"/>
    <n v="1756360"/>
    <n v="9.56"/>
    <n v="60"/>
    <n v="627"/>
    <x v="1"/>
    <x v="1"/>
    <x v="196"/>
    <x v="0"/>
    <n v="36938.349392682816"/>
    <n v="2216300.9635609691"/>
    <n v="459940.9635609691"/>
    <n v="7"/>
    <x v="3"/>
  </r>
  <r>
    <s v="L0708"/>
    <s v="Kiran Menon"/>
    <n v="56"/>
    <s v="F"/>
    <x v="2"/>
    <n v="1591656"/>
    <n v="229152"/>
    <n v="11.69"/>
    <n v="72"/>
    <n v="781"/>
    <x v="2"/>
    <x v="1"/>
    <x v="618"/>
    <x v="0"/>
    <n v="4443.1105512666672"/>
    <n v="319903.95969120006"/>
    <n v="90751.959691200056"/>
    <n v="4"/>
    <x v="4"/>
  </r>
  <r>
    <s v="L0709"/>
    <s v="Rohit Khanna"/>
    <n v="38"/>
    <s v="F"/>
    <x v="1"/>
    <n v="334372"/>
    <n v="445091"/>
    <n v="8.7200000000000006"/>
    <n v="96"/>
    <n v="622"/>
    <x v="0"/>
    <x v="1"/>
    <x v="619"/>
    <x v="3"/>
    <n v="6456.2047123409893"/>
    <n v="619795.65238473495"/>
    <n v="174704.65238473495"/>
    <n v="2"/>
    <x v="3"/>
  </r>
  <r>
    <s v="L0710"/>
    <s v="Aarav Patel"/>
    <n v="30"/>
    <s v="M"/>
    <x v="0"/>
    <n v="1200338"/>
    <n v="547286"/>
    <n v="13.55"/>
    <n v="36"/>
    <n v="620"/>
    <x v="1"/>
    <x v="1"/>
    <x v="620"/>
    <x v="3"/>
    <n v="18585.545937723782"/>
    <n v="669079.65375805611"/>
    <n v="121793.65375805611"/>
    <n v="2"/>
    <x v="3"/>
  </r>
  <r>
    <s v="L0711"/>
    <s v="Arjun Mehta"/>
    <n v="60"/>
    <s v="F"/>
    <x v="2"/>
    <n v="1267632"/>
    <n v="393252"/>
    <n v="9.48"/>
    <n v="72"/>
    <n v="758"/>
    <x v="3"/>
    <x v="1"/>
    <x v="621"/>
    <x v="2"/>
    <n v="7182.6244337647704"/>
    <n v="517148.95923106349"/>
    <n v="123896.95923106349"/>
    <n v="4"/>
    <x v="4"/>
  </r>
  <r>
    <s v="L0712"/>
    <s v="Aditya Sharma"/>
    <n v="34"/>
    <s v="F"/>
    <x v="1"/>
    <n v="517195"/>
    <n v="1550076"/>
    <n v="11.57"/>
    <n v="96"/>
    <n v="719"/>
    <x v="3"/>
    <x v="1"/>
    <x v="622"/>
    <x v="2"/>
    <n v="24828.354815145649"/>
    <n v="2383522.0622539823"/>
    <n v="833446.06225398229"/>
    <n v="2"/>
    <x v="1"/>
  </r>
  <r>
    <s v="L0713"/>
    <s v="Neha Sharma"/>
    <n v="28"/>
    <s v="M"/>
    <x v="1"/>
    <n v="1143544"/>
    <n v="651363"/>
    <n v="14.74"/>
    <n v="72"/>
    <n v="721"/>
    <x v="2"/>
    <x v="0"/>
    <x v="623"/>
    <x v="1"/>
    <n v="13681.275312745538"/>
    <n v="985051.82251767872"/>
    <n v="333688.82251767872"/>
    <n v="6"/>
    <x v="1"/>
  </r>
  <r>
    <s v="L0714"/>
    <s v="Sneha Pillai"/>
    <n v="27"/>
    <s v="M"/>
    <x v="2"/>
    <n v="1029023"/>
    <n v="1614201"/>
    <n v="13.36"/>
    <n v="96"/>
    <n v="659"/>
    <x v="1"/>
    <x v="1"/>
    <x v="624"/>
    <x v="2"/>
    <n v="27456.364250783419"/>
    <n v="2635810.9680752084"/>
    <n v="1021609.9680752084"/>
    <n v="6"/>
    <x v="0"/>
  </r>
  <r>
    <s v="L0715"/>
    <s v="Priya Singh"/>
    <n v="34"/>
    <s v="M"/>
    <x v="2"/>
    <n v="1453371"/>
    <n v="817812"/>
    <n v="13.69"/>
    <n v="60"/>
    <n v="840"/>
    <x v="2"/>
    <x v="1"/>
    <x v="80"/>
    <x v="2"/>
    <n v="18897.875361274968"/>
    <n v="1133872.521676498"/>
    <n v="316060.521676498"/>
    <n v="1"/>
    <x v="2"/>
  </r>
  <r>
    <s v="L0716"/>
    <s v="Priya Singh"/>
    <n v="31"/>
    <s v="M"/>
    <x v="2"/>
    <n v="1248483"/>
    <n v="1042076"/>
    <n v="10.52"/>
    <n v="96"/>
    <n v="839"/>
    <x v="1"/>
    <x v="1"/>
    <x v="625"/>
    <x v="2"/>
    <n v="16100.807408111525"/>
    <n v="1545677.5111787063"/>
    <n v="503601.51117870631"/>
    <n v="2"/>
    <x v="2"/>
  </r>
  <r>
    <s v="L0717"/>
    <s v="Meena George"/>
    <n v="40"/>
    <s v="F"/>
    <x v="0"/>
    <n v="1162287"/>
    <n v="967382"/>
    <n v="13.92"/>
    <n v="60"/>
    <n v="809"/>
    <x v="2"/>
    <x v="1"/>
    <x v="626"/>
    <x v="2"/>
    <n v="22469.185025429419"/>
    <n v="1348151.1015257651"/>
    <n v="380769.10152576515"/>
    <n v="6"/>
    <x v="2"/>
  </r>
  <r>
    <s v="L0718"/>
    <s v="Raj Kumar"/>
    <n v="50"/>
    <s v="F"/>
    <x v="0"/>
    <n v="1027492"/>
    <n v="1880400"/>
    <n v="12.1"/>
    <n v="48"/>
    <n v="744"/>
    <x v="2"/>
    <x v="0"/>
    <x v="627"/>
    <x v="1"/>
    <n v="49610.520384110714"/>
    <n v="2381304.9784373143"/>
    <n v="500904.97843731428"/>
    <n v="7"/>
    <x v="1"/>
  </r>
  <r>
    <s v="L0719"/>
    <s v="Raj Kumar"/>
    <n v="40"/>
    <s v="F"/>
    <x v="2"/>
    <n v="999252"/>
    <n v="1450719"/>
    <n v="14.68"/>
    <n v="36"/>
    <n v="618"/>
    <x v="2"/>
    <x v="1"/>
    <x v="375"/>
    <x v="1"/>
    <n v="50062.612933874429"/>
    <n v="1802254.0656194794"/>
    <n v="351535.0656194794"/>
    <n v="7"/>
    <x v="3"/>
  </r>
  <r>
    <s v="L0720"/>
    <s v="Rina Kapoor"/>
    <n v="37"/>
    <s v="M"/>
    <x v="0"/>
    <n v="1816171"/>
    <n v="804868"/>
    <n v="13.22"/>
    <n v="60"/>
    <n v="634"/>
    <x v="2"/>
    <x v="0"/>
    <x v="628"/>
    <x v="2"/>
    <n v="18403.992326046049"/>
    <n v="1104239.5395627629"/>
    <n v="299371.53956276295"/>
    <n v="3"/>
    <x v="3"/>
  </r>
  <r>
    <s v="L0721"/>
    <s v="Priya Singh"/>
    <n v="42"/>
    <s v="F"/>
    <x v="0"/>
    <n v="1835261"/>
    <n v="1422250"/>
    <n v="12.52"/>
    <n v="48"/>
    <n v="733"/>
    <x v="1"/>
    <x v="1"/>
    <x v="629"/>
    <x v="3"/>
    <n v="37817.447145519196"/>
    <n v="1815237.4629849214"/>
    <n v="392987.46298492141"/>
    <n v="4"/>
    <x v="1"/>
  </r>
  <r>
    <s v="L0722"/>
    <s v="Mohit Jain"/>
    <n v="48"/>
    <s v="F"/>
    <x v="1"/>
    <n v="304660"/>
    <n v="1250983"/>
    <n v="8.8800000000000008"/>
    <n v="96"/>
    <n v="673"/>
    <x v="0"/>
    <x v="1"/>
    <x v="630"/>
    <x v="1"/>
    <n v="18249.373478881378"/>
    <n v="1751939.8539726124"/>
    <n v="500956.85397261241"/>
    <n v="2"/>
    <x v="0"/>
  </r>
  <r>
    <s v="L0723"/>
    <s v="Neha Sharma"/>
    <n v="29"/>
    <s v="F"/>
    <x v="0"/>
    <n v="1498826"/>
    <n v="1830519"/>
    <n v="13.91"/>
    <n v="48"/>
    <n v="678"/>
    <x v="3"/>
    <x v="1"/>
    <x v="631"/>
    <x v="3"/>
    <n v="49939.031582190924"/>
    <n v="2397073.5159451645"/>
    <n v="566554.51594516449"/>
    <n v="6"/>
    <x v="0"/>
  </r>
  <r>
    <s v="L0724"/>
    <s v="Mohit Jain"/>
    <n v="58"/>
    <s v="M"/>
    <x v="2"/>
    <n v="1147542"/>
    <n v="1212717"/>
    <n v="9.2200000000000006"/>
    <n v="60"/>
    <n v="630"/>
    <x v="0"/>
    <x v="1"/>
    <x v="632"/>
    <x v="2"/>
    <n v="25303.693034539148"/>
    <n v="1518221.5820723488"/>
    <n v="305504.5820723488"/>
    <n v="7"/>
    <x v="3"/>
  </r>
  <r>
    <s v="L0725"/>
    <s v="Aarav Patel"/>
    <n v="53"/>
    <s v="M"/>
    <x v="2"/>
    <n v="1469927"/>
    <n v="1227414"/>
    <n v="12.78"/>
    <n v="60"/>
    <n v="676"/>
    <x v="3"/>
    <x v="0"/>
    <x v="349"/>
    <x v="3"/>
    <n v="27789.403569415728"/>
    <n v="1667364.2141649437"/>
    <n v="439950.21416494367"/>
    <n v="7"/>
    <x v="0"/>
  </r>
  <r>
    <s v="L0726"/>
    <s v="Aditya Sharma"/>
    <n v="40"/>
    <s v="M"/>
    <x v="0"/>
    <n v="1602399"/>
    <n v="973144"/>
    <n v="14.45"/>
    <n v="36"/>
    <n v="840"/>
    <x v="3"/>
    <x v="1"/>
    <x v="633"/>
    <x v="3"/>
    <n v="33472.842468821436"/>
    <n v="1205022.3288775717"/>
    <n v="231878.32887757174"/>
    <n v="2"/>
    <x v="2"/>
  </r>
  <r>
    <s v="L0727"/>
    <s v="Tanya Rao"/>
    <n v="52"/>
    <s v="F"/>
    <x v="0"/>
    <n v="1617953"/>
    <n v="1639845"/>
    <n v="10.31"/>
    <n v="84"/>
    <n v="755"/>
    <x v="3"/>
    <x v="0"/>
    <x v="600"/>
    <x v="1"/>
    <n v="27486.751776721216"/>
    <n v="2308887.1492445823"/>
    <n v="669042.14924458228"/>
    <n v="4"/>
    <x v="4"/>
  </r>
  <r>
    <s v="L0728"/>
    <s v="Tanya Rao"/>
    <n v="35"/>
    <s v="F"/>
    <x v="1"/>
    <n v="1115091"/>
    <n v="1857481"/>
    <n v="10.47"/>
    <n v="84"/>
    <n v="625"/>
    <x v="0"/>
    <x v="1"/>
    <x v="446"/>
    <x v="3"/>
    <n v="31289.340893694538"/>
    <n v="2628304.6350703412"/>
    <n v="770823.63507034117"/>
    <n v="6"/>
    <x v="3"/>
  </r>
  <r>
    <s v="L0729"/>
    <s v="Raj Kumar"/>
    <n v="48"/>
    <s v="M"/>
    <x v="1"/>
    <n v="1736057"/>
    <n v="711736"/>
    <n v="8.59"/>
    <n v="48"/>
    <n v="711"/>
    <x v="0"/>
    <x v="1"/>
    <x v="414"/>
    <x v="1"/>
    <n v="17573.342786565256"/>
    <n v="843520.45375513227"/>
    <n v="131784.45375513227"/>
    <n v="6"/>
    <x v="1"/>
  </r>
  <r>
    <s v="L0730"/>
    <s v="Sahil Gupta"/>
    <n v="47"/>
    <s v="M"/>
    <x v="0"/>
    <n v="425726"/>
    <n v="249374"/>
    <n v="8.49"/>
    <n v="60"/>
    <n v="674"/>
    <x v="1"/>
    <x v="1"/>
    <x v="634"/>
    <x v="0"/>
    <n v="5115.0876782086489"/>
    <n v="306905.2606925189"/>
    <n v="57531.260692518903"/>
    <n v="1"/>
    <x v="0"/>
  </r>
  <r>
    <s v="L0731"/>
    <s v="Raj Kumar"/>
    <n v="52"/>
    <s v="F"/>
    <x v="2"/>
    <n v="1986162"/>
    <n v="563031"/>
    <n v="12.47"/>
    <n v="48"/>
    <n v="769"/>
    <x v="3"/>
    <x v="1"/>
    <x v="635"/>
    <x v="2"/>
    <n v="14957.026303933602"/>
    <n v="717937.26258881297"/>
    <n v="154906.26258881297"/>
    <n v="4"/>
    <x v="4"/>
  </r>
  <r>
    <s v="L0732"/>
    <s v="Aarav Patel"/>
    <n v="27"/>
    <s v="M"/>
    <x v="2"/>
    <n v="401800"/>
    <n v="1855843"/>
    <n v="14.75"/>
    <n v="96"/>
    <n v="651"/>
    <x v="3"/>
    <x v="1"/>
    <x v="636"/>
    <x v="0"/>
    <n v="33035.923594044951"/>
    <n v="3171448.665028315"/>
    <n v="1315605.665028315"/>
    <n v="2"/>
    <x v="0"/>
  </r>
  <r>
    <s v="L0733"/>
    <s v="Rina Kapoor"/>
    <n v="60"/>
    <s v="F"/>
    <x v="2"/>
    <n v="1698658"/>
    <n v="1860866"/>
    <n v="14.59"/>
    <n v="84"/>
    <n v="717"/>
    <x v="0"/>
    <x v="0"/>
    <x v="637"/>
    <x v="3"/>
    <n v="35481.962960587938"/>
    <n v="2980484.8886893867"/>
    <n v="1119618.8886893867"/>
    <n v="5"/>
    <x v="1"/>
  </r>
  <r>
    <s v="L0734"/>
    <s v="Sneha Pillai"/>
    <n v="48"/>
    <s v="M"/>
    <x v="1"/>
    <n v="1600734"/>
    <n v="1397409"/>
    <n v="14.95"/>
    <n v="72"/>
    <n v="670"/>
    <x v="0"/>
    <x v="1"/>
    <x v="638"/>
    <x v="0"/>
    <n v="29510.300923278959"/>
    <n v="2124741.6664760849"/>
    <n v="727332.66647608485"/>
    <n v="3"/>
    <x v="0"/>
  </r>
  <r>
    <s v="L0735"/>
    <s v="Amit Yadav"/>
    <n v="47"/>
    <s v="F"/>
    <x v="2"/>
    <n v="1633745"/>
    <n v="1565152"/>
    <n v="12.29"/>
    <n v="60"/>
    <n v="832"/>
    <x v="1"/>
    <x v="1"/>
    <x v="452"/>
    <x v="1"/>
    <n v="35045.743493157315"/>
    <n v="2102744.6095894389"/>
    <n v="537592.60958943889"/>
    <n v="2"/>
    <x v="2"/>
  </r>
  <r>
    <s v="L0736"/>
    <s v="Arjun Mehta"/>
    <n v="32"/>
    <s v="M"/>
    <x v="2"/>
    <n v="1809659"/>
    <n v="921530"/>
    <n v="10.55"/>
    <n v="72"/>
    <n v="648"/>
    <x v="3"/>
    <x v="1"/>
    <x v="639"/>
    <x v="1"/>
    <n v="17328.811411229122"/>
    <n v="1247674.4216084969"/>
    <n v="326144.42160849692"/>
    <n v="7"/>
    <x v="3"/>
  </r>
  <r>
    <s v="L0737"/>
    <s v="Raj Kumar"/>
    <n v="38"/>
    <s v="F"/>
    <x v="1"/>
    <n v="659170"/>
    <n v="1160443"/>
    <n v="13.35"/>
    <n v="84"/>
    <n v="762"/>
    <x v="0"/>
    <x v="0"/>
    <x v="640"/>
    <x v="3"/>
    <n v="21332.172296033878"/>
    <n v="1791902.4728668458"/>
    <n v="631459.47286684578"/>
    <n v="6"/>
    <x v="4"/>
  </r>
  <r>
    <s v="L0738"/>
    <s v="Pooja Reddy"/>
    <n v="39"/>
    <s v="M"/>
    <x v="0"/>
    <n v="726837"/>
    <n v="1421994"/>
    <n v="7.6"/>
    <n v="36"/>
    <n v="700"/>
    <x v="1"/>
    <x v="1"/>
    <x v="196"/>
    <x v="0"/>
    <n v="44298.192545696809"/>
    <n v="1594734.9316450851"/>
    <n v="172740.9316450851"/>
    <n v="7"/>
    <x v="1"/>
  </r>
  <r>
    <s v="L0739"/>
    <s v="Vikram Das"/>
    <n v="52"/>
    <s v="F"/>
    <x v="0"/>
    <n v="334603"/>
    <n v="1599242"/>
    <n v="12.31"/>
    <n v="84"/>
    <n v="734"/>
    <x v="2"/>
    <x v="1"/>
    <x v="641"/>
    <x v="3"/>
    <n v="28496.803748042741"/>
    <n v="2393731.51483559"/>
    <n v="794489.51483559003"/>
    <n v="7"/>
    <x v="1"/>
  </r>
  <r>
    <s v="L0740"/>
    <s v="Rohan Nair"/>
    <n v="55"/>
    <s v="M"/>
    <x v="0"/>
    <n v="896699"/>
    <n v="1685703"/>
    <n v="13.6"/>
    <n v="120"/>
    <n v="665"/>
    <x v="1"/>
    <x v="1"/>
    <x v="642"/>
    <x v="0"/>
    <n v="25769.416417946479"/>
    <n v="3092329.9701535776"/>
    <n v="1406626.9701535776"/>
    <n v="2"/>
    <x v="0"/>
  </r>
  <r>
    <s v="L0741"/>
    <s v="Aarav Patel"/>
    <n v="33"/>
    <s v="F"/>
    <x v="1"/>
    <n v="1184627"/>
    <n v="1474742"/>
    <n v="14.2"/>
    <n v="84"/>
    <n v="682"/>
    <x v="1"/>
    <x v="1"/>
    <x v="43"/>
    <x v="0"/>
    <n v="27799.872830028493"/>
    <n v="2335189.3177223932"/>
    <n v="860447.3177223932"/>
    <n v="2"/>
    <x v="0"/>
  </r>
  <r>
    <s v="L0742"/>
    <s v="Tanya Rao"/>
    <n v="44"/>
    <s v="F"/>
    <x v="2"/>
    <n v="544608"/>
    <n v="1776982"/>
    <n v="12.06"/>
    <n v="72"/>
    <n v="732"/>
    <x v="3"/>
    <x v="1"/>
    <x v="643"/>
    <x v="0"/>
    <n v="34795.809691561859"/>
    <n v="2505298.2977924538"/>
    <n v="728316.29779245378"/>
    <n v="1"/>
    <x v="1"/>
  </r>
  <r>
    <s v="L0743"/>
    <s v="Raj Kumar"/>
    <n v="54"/>
    <s v="F"/>
    <x v="1"/>
    <n v="455154"/>
    <n v="1594177"/>
    <n v="10.76"/>
    <n v="84"/>
    <n v="785"/>
    <x v="3"/>
    <x v="0"/>
    <x v="644"/>
    <x v="1"/>
    <n v="27095.440631373302"/>
    <n v="2276017.0130353575"/>
    <n v="681840.01303535746"/>
    <n v="7"/>
    <x v="4"/>
  </r>
  <r>
    <s v="L0744"/>
    <s v="Tanya Rao"/>
    <n v="52"/>
    <s v="M"/>
    <x v="1"/>
    <n v="1627263"/>
    <n v="1894130"/>
    <n v="12.53"/>
    <n v="60"/>
    <n v="631"/>
    <x v="0"/>
    <x v="0"/>
    <x v="645"/>
    <x v="2"/>
    <n v="42642.927527541331"/>
    <n v="2558575.65165248"/>
    <n v="664445.65165248001"/>
    <n v="6"/>
    <x v="3"/>
  </r>
  <r>
    <s v="L0745"/>
    <s v="Sneha Pillai"/>
    <n v="55"/>
    <s v="M"/>
    <x v="0"/>
    <n v="643642"/>
    <n v="1487826"/>
    <n v="10.16"/>
    <n v="84"/>
    <n v="655"/>
    <x v="3"/>
    <x v="1"/>
    <x v="646"/>
    <x v="1"/>
    <n v="24822.847829460901"/>
    <n v="2085119.2176747157"/>
    <n v="597293.21767471568"/>
    <n v="7"/>
    <x v="0"/>
  </r>
  <r>
    <s v="L0746"/>
    <s v="Meena George"/>
    <n v="52"/>
    <s v="M"/>
    <x v="1"/>
    <n v="1815206"/>
    <n v="1001042"/>
    <n v="14.48"/>
    <n v="96"/>
    <n v="734"/>
    <x v="3"/>
    <x v="1"/>
    <x v="233"/>
    <x v="3"/>
    <n v="17664.167661761381"/>
    <n v="1695760.0955290925"/>
    <n v="694718.09552909248"/>
    <n v="3"/>
    <x v="1"/>
  </r>
  <r>
    <s v="L0747"/>
    <s v="Rohit Khanna"/>
    <n v="55"/>
    <s v="M"/>
    <x v="0"/>
    <n v="1968148"/>
    <n v="1060317"/>
    <n v="14.82"/>
    <n v="84"/>
    <n v="654"/>
    <x v="2"/>
    <x v="1"/>
    <x v="647"/>
    <x v="1"/>
    <n v="20353.744381667435"/>
    <n v="1709714.5280600647"/>
    <n v="649397.52806006465"/>
    <n v="2"/>
    <x v="0"/>
  </r>
  <r>
    <s v="L0748"/>
    <s v="Tanya Rao"/>
    <n v="36"/>
    <s v="M"/>
    <x v="1"/>
    <n v="1913051"/>
    <n v="1515834"/>
    <n v="14.11"/>
    <n v="72"/>
    <n v="622"/>
    <x v="0"/>
    <x v="0"/>
    <x v="648"/>
    <x v="3"/>
    <n v="31324.23541849518"/>
    <n v="2255344.9501316529"/>
    <n v="739510.95013165288"/>
    <n v="1"/>
    <x v="3"/>
  </r>
  <r>
    <s v="L0749"/>
    <s v="Deepika Joshi"/>
    <n v="54"/>
    <s v="M"/>
    <x v="0"/>
    <n v="1398160"/>
    <n v="863980"/>
    <n v="9.86"/>
    <n v="48"/>
    <n v="715"/>
    <x v="0"/>
    <x v="1"/>
    <x v="649"/>
    <x v="1"/>
    <n v="21854.72157443102"/>
    <n v="1049026.6355726889"/>
    <n v="185046.63557268889"/>
    <n v="4"/>
    <x v="1"/>
  </r>
  <r>
    <s v="L0750"/>
    <s v="Kiran Menon"/>
    <n v="47"/>
    <s v="M"/>
    <x v="0"/>
    <n v="1035584"/>
    <n v="1759223"/>
    <n v="14.09"/>
    <n v="48"/>
    <n v="715"/>
    <x v="3"/>
    <x v="1"/>
    <x v="650"/>
    <x v="2"/>
    <n v="48152.826945104636"/>
    <n v="2311335.6933650225"/>
    <n v="552112.69336502254"/>
    <n v="5"/>
    <x v="1"/>
  </r>
  <r>
    <s v="L0751"/>
    <s v="Arjun Mehta"/>
    <n v="39"/>
    <s v="M"/>
    <x v="1"/>
    <n v="1574003"/>
    <n v="1855180"/>
    <n v="14.9"/>
    <n v="36"/>
    <n v="820"/>
    <x v="3"/>
    <x v="1"/>
    <x v="591"/>
    <x v="3"/>
    <n v="64219.612348429146"/>
    <n v="2311906.0445434493"/>
    <n v="456726.0445434493"/>
    <n v="1"/>
    <x v="2"/>
  </r>
  <r>
    <s v="L0752"/>
    <s v="Aditya Sharma"/>
    <n v="36"/>
    <s v="M"/>
    <x v="0"/>
    <n v="1875000"/>
    <n v="708950"/>
    <n v="13.92"/>
    <n v="120"/>
    <n v="721"/>
    <x v="1"/>
    <x v="1"/>
    <x v="74"/>
    <x v="3"/>
    <n v="10973.538292193942"/>
    <n v="1316824.5950632731"/>
    <n v="607874.5950632731"/>
    <n v="3"/>
    <x v="1"/>
  </r>
  <r>
    <s v="L0753"/>
    <s v="Rohan Nair"/>
    <n v="27"/>
    <s v="M"/>
    <x v="0"/>
    <n v="1844001"/>
    <n v="968902"/>
    <n v="12.04"/>
    <n v="48"/>
    <n v="683"/>
    <x v="1"/>
    <x v="0"/>
    <x v="651"/>
    <x v="0"/>
    <n v="25533.938852943877"/>
    <n v="1225629.0649413061"/>
    <n v="256727.06494130613"/>
    <n v="2"/>
    <x v="0"/>
  </r>
  <r>
    <s v="L0754"/>
    <s v="Priya Singh"/>
    <n v="58"/>
    <s v="F"/>
    <x v="2"/>
    <n v="1831517"/>
    <n v="998548"/>
    <n v="8.9700000000000006"/>
    <n v="60"/>
    <n v="846"/>
    <x v="0"/>
    <x v="1"/>
    <x v="199"/>
    <x v="0"/>
    <n v="20713.678312146512"/>
    <n v="1242820.6987287907"/>
    <n v="244272.69872879074"/>
    <n v="5"/>
    <x v="2"/>
  </r>
  <r>
    <s v="L0755"/>
    <s v="Rohan Nair"/>
    <n v="26"/>
    <s v="F"/>
    <x v="2"/>
    <n v="381421"/>
    <n v="249392"/>
    <n v="9.6199999999999992"/>
    <n v="48"/>
    <n v="669"/>
    <x v="3"/>
    <x v="1"/>
    <x v="652"/>
    <x v="0"/>
    <n v="6279.8104321298079"/>
    <n v="301430.90074223076"/>
    <n v="52038.900742230762"/>
    <n v="5"/>
    <x v="0"/>
  </r>
  <r>
    <s v="L0756"/>
    <s v="Tanya Rao"/>
    <n v="48"/>
    <s v="M"/>
    <x v="1"/>
    <n v="443044"/>
    <n v="857866"/>
    <n v="12.28"/>
    <n v="84"/>
    <n v="798"/>
    <x v="1"/>
    <x v="0"/>
    <x v="653"/>
    <x v="1"/>
    <n v="15272.435418038194"/>
    <n v="1282884.5751152083"/>
    <n v="425018.57511520828"/>
    <n v="3"/>
    <x v="4"/>
  </r>
  <r>
    <s v="L0757"/>
    <s v="Pooja Reddy"/>
    <n v="33"/>
    <s v="M"/>
    <x v="2"/>
    <n v="1626882"/>
    <n v="1196776"/>
    <n v="14.16"/>
    <n v="60"/>
    <n v="624"/>
    <x v="2"/>
    <x v="1"/>
    <x v="588"/>
    <x v="2"/>
    <n v="27946.256253115665"/>
    <n v="1676775.37518694"/>
    <n v="479999.37518693996"/>
    <n v="1"/>
    <x v="3"/>
  </r>
  <r>
    <s v="L0758"/>
    <s v="Isha Verma"/>
    <n v="30"/>
    <s v="M"/>
    <x v="1"/>
    <n v="1354982"/>
    <n v="1581591"/>
    <n v="13.28"/>
    <n v="96"/>
    <n v="830"/>
    <x v="0"/>
    <x v="0"/>
    <x v="93"/>
    <x v="3"/>
    <n v="26830.521209789473"/>
    <n v="2575730.0361397895"/>
    <n v="994139.0361397895"/>
    <n v="2"/>
    <x v="2"/>
  </r>
  <r>
    <s v="L0759"/>
    <s v="Kiran Menon"/>
    <n v="44"/>
    <s v="F"/>
    <x v="0"/>
    <n v="635641"/>
    <n v="1307791"/>
    <n v="7.77"/>
    <n v="84"/>
    <n v="724"/>
    <x v="2"/>
    <x v="1"/>
    <x v="654"/>
    <x v="1"/>
    <n v="20233.975408947288"/>
    <n v="1699653.9343515723"/>
    <n v="391862.9343515723"/>
    <n v="2"/>
    <x v="1"/>
  </r>
  <r>
    <s v="L0760"/>
    <s v="Mohit Jain"/>
    <n v="59"/>
    <s v="M"/>
    <x v="2"/>
    <n v="1035914"/>
    <n v="1047114"/>
    <n v="9.76"/>
    <n v="96"/>
    <n v="677"/>
    <x v="2"/>
    <x v="1"/>
    <x v="655"/>
    <x v="2"/>
    <n v="15756.415209528393"/>
    <n v="1512615.8601147258"/>
    <n v="465501.86011472577"/>
    <n v="7"/>
    <x v="0"/>
  </r>
  <r>
    <s v="L0761"/>
    <s v="Sneha Pillai"/>
    <n v="44"/>
    <s v="F"/>
    <x v="0"/>
    <n v="1143404"/>
    <n v="1369532"/>
    <n v="9.7799999999999994"/>
    <n v="48"/>
    <n v="658"/>
    <x v="2"/>
    <x v="1"/>
    <x v="656"/>
    <x v="2"/>
    <n v="34590.352469957841"/>
    <n v="1660336.9185579764"/>
    <n v="290804.91855797637"/>
    <n v="1"/>
    <x v="0"/>
  </r>
  <r>
    <s v="L0762"/>
    <s v="Raj Kumar"/>
    <n v="46"/>
    <s v="M"/>
    <x v="2"/>
    <n v="1953291"/>
    <n v="306489"/>
    <n v="12.87"/>
    <n v="60"/>
    <n v="708"/>
    <x v="0"/>
    <x v="1"/>
    <x v="512"/>
    <x v="1"/>
    <n v="6953.1872637402575"/>
    <n v="417191.23582441546"/>
    <n v="110702.23582441546"/>
    <n v="1"/>
    <x v="1"/>
  </r>
  <r>
    <s v="L0763"/>
    <s v="Rina Kapoor"/>
    <n v="53"/>
    <s v="M"/>
    <x v="1"/>
    <n v="665773"/>
    <n v="384332"/>
    <n v="12.1"/>
    <n v="120"/>
    <n v="737"/>
    <x v="3"/>
    <x v="0"/>
    <x v="657"/>
    <x v="0"/>
    <n v="5536.2881143406321"/>
    <n v="664354.57372087589"/>
    <n v="280022.57372087589"/>
    <n v="4"/>
    <x v="1"/>
  </r>
  <r>
    <s v="L0764"/>
    <s v="Neha Sharma"/>
    <n v="51"/>
    <s v="M"/>
    <x v="0"/>
    <n v="1468589"/>
    <n v="536353"/>
    <n v="10.67"/>
    <n v="120"/>
    <n v="673"/>
    <x v="1"/>
    <x v="1"/>
    <x v="377"/>
    <x v="0"/>
    <n v="7288.4294581904778"/>
    <n v="874611.53498285729"/>
    <n v="338258.53498285729"/>
    <n v="3"/>
    <x v="0"/>
  </r>
  <r>
    <s v="L0765"/>
    <s v="Amit Yadav"/>
    <n v="58"/>
    <s v="F"/>
    <x v="1"/>
    <n v="1197178"/>
    <n v="681356"/>
    <n v="10.93"/>
    <n v="84"/>
    <n v="640"/>
    <x v="0"/>
    <x v="1"/>
    <x v="658"/>
    <x v="0"/>
    <n v="11641.412289734693"/>
    <n v="977878.6323377142"/>
    <n v="296522.6323377142"/>
    <n v="2"/>
    <x v="3"/>
  </r>
  <r>
    <s v="L0766"/>
    <s v="Sahil Gupta"/>
    <n v="44"/>
    <s v="M"/>
    <x v="2"/>
    <n v="985628"/>
    <n v="1065144"/>
    <n v="12.72"/>
    <n v="84"/>
    <n v="619"/>
    <x v="2"/>
    <x v="1"/>
    <x v="495"/>
    <x v="1"/>
    <n v="19215.288126058105"/>
    <n v="1614084.2025888809"/>
    <n v="548940.2025888809"/>
    <n v="7"/>
    <x v="3"/>
  </r>
  <r>
    <s v="L0767"/>
    <s v="Aditya Sharma"/>
    <n v="30"/>
    <s v="M"/>
    <x v="0"/>
    <n v="599044"/>
    <n v="1733384"/>
    <n v="14.96"/>
    <n v="72"/>
    <n v="683"/>
    <x v="2"/>
    <x v="1"/>
    <x v="394"/>
    <x v="2"/>
    <n v="36614.784646747052"/>
    <n v="2636264.4945657877"/>
    <n v="902880.49456578773"/>
    <n v="1"/>
    <x v="0"/>
  </r>
  <r>
    <s v="L0768"/>
    <s v="Rina Kapoor"/>
    <n v="50"/>
    <s v="F"/>
    <x v="0"/>
    <n v="1903958"/>
    <n v="288090"/>
    <n v="12.85"/>
    <n v="36"/>
    <n v="814"/>
    <x v="2"/>
    <x v="1"/>
    <x v="659"/>
    <x v="3"/>
    <n v="9686.0893985392104"/>
    <n v="348699.2183474116"/>
    <n v="60609.218347411603"/>
    <n v="4"/>
    <x v="2"/>
  </r>
  <r>
    <s v="L0769"/>
    <s v="Neha Sharma"/>
    <n v="38"/>
    <s v="M"/>
    <x v="2"/>
    <n v="854449"/>
    <n v="1085052"/>
    <n v="13.39"/>
    <n v="84"/>
    <n v="742"/>
    <x v="1"/>
    <x v="1"/>
    <x v="660"/>
    <x v="0"/>
    <n v="19970.013072673355"/>
    <n v="1677481.0981045619"/>
    <n v="592429.09810456191"/>
    <n v="2"/>
    <x v="1"/>
  </r>
  <r>
    <s v="L0770"/>
    <s v="Pooja Reddy"/>
    <n v="54"/>
    <s v="M"/>
    <x v="1"/>
    <n v="763463"/>
    <n v="1100142"/>
    <n v="11.66"/>
    <n v="96"/>
    <n v="658"/>
    <x v="1"/>
    <x v="1"/>
    <x v="661"/>
    <x v="0"/>
    <n v="17675.552755602748"/>
    <n v="1696853.0645378637"/>
    <n v="596711.06453786371"/>
    <n v="2"/>
    <x v="0"/>
  </r>
  <r>
    <s v="L0771"/>
    <s v="Sneha Pillai"/>
    <n v="39"/>
    <s v="M"/>
    <x v="1"/>
    <n v="457818"/>
    <n v="1311393"/>
    <n v="9.66"/>
    <n v="96"/>
    <n v="678"/>
    <x v="2"/>
    <x v="0"/>
    <x v="662"/>
    <x v="2"/>
    <n v="19664.147401588882"/>
    <n v="1887758.1505525326"/>
    <n v="576365.15055253264"/>
    <n v="7"/>
    <x v="0"/>
  </r>
  <r>
    <s v="L0772"/>
    <s v="Sahil Gupta"/>
    <n v="37"/>
    <s v="M"/>
    <x v="2"/>
    <n v="1412087"/>
    <n v="364200"/>
    <n v="12.34"/>
    <n v="120"/>
    <n v="611"/>
    <x v="1"/>
    <x v="1"/>
    <x v="663"/>
    <x v="2"/>
    <n v="5297.0445182223275"/>
    <n v="635645.34218667925"/>
    <n v="271445.34218667925"/>
    <n v="7"/>
    <x v="3"/>
  </r>
  <r>
    <s v="L0773"/>
    <s v="Sneha Pillai"/>
    <n v="42"/>
    <s v="F"/>
    <x v="0"/>
    <n v="869294"/>
    <n v="1325163"/>
    <n v="7.77"/>
    <n v="84"/>
    <n v="693"/>
    <x v="1"/>
    <x v="1"/>
    <x v="664"/>
    <x v="0"/>
    <n v="20502.752775364577"/>
    <n v="1722231.2331306245"/>
    <n v="397068.23313062452"/>
    <n v="5"/>
    <x v="0"/>
  </r>
  <r>
    <s v="L0774"/>
    <s v="Raj Kumar"/>
    <n v="45"/>
    <s v="M"/>
    <x v="2"/>
    <n v="1330923"/>
    <n v="1141499"/>
    <n v="9.5"/>
    <n v="48"/>
    <n v="751"/>
    <x v="2"/>
    <x v="1"/>
    <x v="665"/>
    <x v="1"/>
    <n v="28678.035386736436"/>
    <n v="1376545.698563349"/>
    <n v="235046.69856334897"/>
    <n v="2"/>
    <x v="4"/>
  </r>
  <r>
    <s v="L0775"/>
    <s v="Isha Verma"/>
    <n v="57"/>
    <s v="M"/>
    <x v="1"/>
    <n v="884619"/>
    <n v="1924293"/>
    <n v="10.07"/>
    <n v="36"/>
    <n v="652"/>
    <x v="2"/>
    <x v="0"/>
    <x v="666"/>
    <x v="2"/>
    <n v="62154.782777578344"/>
    <n v="2237572.1799928206"/>
    <n v="313279.1799928206"/>
    <n v="7"/>
    <x v="0"/>
  </r>
  <r>
    <s v="L0776"/>
    <s v="Pooja Reddy"/>
    <n v="32"/>
    <s v="F"/>
    <x v="1"/>
    <n v="634192"/>
    <n v="1528918"/>
    <n v="9.1199999999999992"/>
    <n v="72"/>
    <n v="845"/>
    <x v="1"/>
    <x v="0"/>
    <x v="667"/>
    <x v="0"/>
    <n v="27650.714167658985"/>
    <n v="1990851.420071447"/>
    <n v="461933.42007144704"/>
    <n v="2"/>
    <x v="2"/>
  </r>
  <r>
    <s v="L0777"/>
    <s v="Pooja Reddy"/>
    <n v="60"/>
    <s v="F"/>
    <x v="0"/>
    <n v="1619466"/>
    <n v="818665"/>
    <n v="11.75"/>
    <n v="36"/>
    <n v="730"/>
    <x v="0"/>
    <x v="1"/>
    <x v="482"/>
    <x v="2"/>
    <n v="27093.743937467858"/>
    <n v="975374.78174884291"/>
    <n v="156709.78174884291"/>
    <n v="1"/>
    <x v="1"/>
  </r>
  <r>
    <s v="L0778"/>
    <s v="Amit Yadav"/>
    <n v="42"/>
    <s v="M"/>
    <x v="0"/>
    <n v="1040124"/>
    <n v="1664272"/>
    <n v="9.7799999999999994"/>
    <n v="120"/>
    <n v="778"/>
    <x v="1"/>
    <x v="1"/>
    <x v="668"/>
    <x v="1"/>
    <n v="21791.226976357684"/>
    <n v="2614947.237162922"/>
    <n v="950675.23716292204"/>
    <n v="2"/>
    <x v="4"/>
  </r>
  <r>
    <s v="L0779"/>
    <s v="Rina Kapoor"/>
    <n v="57"/>
    <s v="F"/>
    <x v="0"/>
    <n v="448269"/>
    <n v="1229395"/>
    <n v="12.56"/>
    <n v="60"/>
    <n v="677"/>
    <x v="1"/>
    <x v="1"/>
    <x v="375"/>
    <x v="1"/>
    <n v="27696.385554088152"/>
    <n v="1661783.1332452891"/>
    <n v="432388.13324528909"/>
    <n v="7"/>
    <x v="0"/>
  </r>
  <r>
    <s v="L0780"/>
    <s v="Mohit Jain"/>
    <n v="32"/>
    <s v="M"/>
    <x v="0"/>
    <n v="882639"/>
    <n v="1166674"/>
    <n v="14.99"/>
    <n v="60"/>
    <n v="607"/>
    <x v="1"/>
    <x v="0"/>
    <x v="669"/>
    <x v="0"/>
    <n v="27748.969254538064"/>
    <n v="1664938.1552722838"/>
    <n v="498264.15527228382"/>
    <n v="7"/>
    <x v="3"/>
  </r>
  <r>
    <s v="L0781"/>
    <s v="Raj Kumar"/>
    <n v="39"/>
    <s v="M"/>
    <x v="2"/>
    <n v="1205382"/>
    <n v="1197547"/>
    <n v="9.31"/>
    <n v="60"/>
    <n v="606"/>
    <x v="3"/>
    <x v="1"/>
    <x v="571"/>
    <x v="2"/>
    <n v="25039.667271894778"/>
    <n v="1502380.0363136868"/>
    <n v="304833.03631368675"/>
    <n v="7"/>
    <x v="3"/>
  </r>
  <r>
    <s v="L0782"/>
    <s v="Meena George"/>
    <n v="59"/>
    <s v="F"/>
    <x v="0"/>
    <n v="1597731"/>
    <n v="1943880"/>
    <n v="13.88"/>
    <n v="60"/>
    <n v="667"/>
    <x v="1"/>
    <x v="0"/>
    <x v="670"/>
    <x v="2"/>
    <n v="45109.844912009103"/>
    <n v="2706590.6947205462"/>
    <n v="762710.69472054625"/>
    <n v="5"/>
    <x v="0"/>
  </r>
  <r>
    <s v="L0783"/>
    <s v="Aditya Sharma"/>
    <n v="35"/>
    <s v="M"/>
    <x v="0"/>
    <n v="1203483"/>
    <n v="223665"/>
    <n v="11.68"/>
    <n v="36"/>
    <n v="810"/>
    <x v="2"/>
    <x v="1"/>
    <x v="671"/>
    <x v="2"/>
    <n v="7394.7404148181322"/>
    <n v="266210.65493345278"/>
    <n v="42545.654933452781"/>
    <n v="5"/>
    <x v="2"/>
  </r>
  <r>
    <s v="L0784"/>
    <s v="Neha Sharma"/>
    <n v="48"/>
    <s v="M"/>
    <x v="2"/>
    <n v="1167875"/>
    <n v="246312"/>
    <n v="9.2899999999999991"/>
    <n v="48"/>
    <n v="619"/>
    <x v="3"/>
    <x v="1"/>
    <x v="672"/>
    <x v="1"/>
    <n v="6163.4583214306731"/>
    <n v="295845.99942867231"/>
    <n v="49533.999428672309"/>
    <n v="5"/>
    <x v="3"/>
  </r>
  <r>
    <s v="L0785"/>
    <s v="Sneha Pillai"/>
    <n v="35"/>
    <s v="M"/>
    <x v="1"/>
    <n v="394689"/>
    <n v="1934101"/>
    <n v="11.21"/>
    <n v="72"/>
    <n v="714"/>
    <x v="2"/>
    <x v="0"/>
    <x v="181"/>
    <x v="0"/>
    <n v="37022.198129176155"/>
    <n v="2665598.2653006832"/>
    <n v="731497.26530068321"/>
    <n v="6"/>
    <x v="1"/>
  </r>
  <r>
    <s v="L0786"/>
    <s v="Vikram Das"/>
    <n v="28"/>
    <s v="M"/>
    <x v="0"/>
    <n v="990801"/>
    <n v="741015"/>
    <n v="11.32"/>
    <n v="60"/>
    <n v="755"/>
    <x v="0"/>
    <x v="1"/>
    <x v="147"/>
    <x v="2"/>
    <n v="16229.969853902163"/>
    <n v="973798.19123412971"/>
    <n v="232783.19123412971"/>
    <n v="5"/>
    <x v="4"/>
  </r>
  <r>
    <s v="L0787"/>
    <s v="Tanya Rao"/>
    <n v="31"/>
    <s v="M"/>
    <x v="0"/>
    <n v="525188"/>
    <n v="582023"/>
    <n v="10.53"/>
    <n v="48"/>
    <n v="613"/>
    <x v="2"/>
    <x v="1"/>
    <x v="673"/>
    <x v="3"/>
    <n v="14910.189773040182"/>
    <n v="715689.10910592868"/>
    <n v="133666.10910592868"/>
    <n v="3"/>
    <x v="3"/>
  </r>
  <r>
    <s v="L0788"/>
    <s v="Deepika Joshi"/>
    <n v="37"/>
    <s v="F"/>
    <x v="0"/>
    <n v="620101"/>
    <n v="1940304"/>
    <n v="12.39"/>
    <n v="120"/>
    <n v="696"/>
    <x v="1"/>
    <x v="1"/>
    <x v="674"/>
    <x v="2"/>
    <n v="28276.921200641584"/>
    <n v="3393230.5440769899"/>
    <n v="1452926.5440769899"/>
    <n v="3"/>
    <x v="0"/>
  </r>
  <r>
    <s v="L0789"/>
    <s v="Rohit Khanna"/>
    <n v="35"/>
    <s v="F"/>
    <x v="1"/>
    <n v="693035"/>
    <n v="1262170"/>
    <n v="10.74"/>
    <n v="72"/>
    <n v="617"/>
    <x v="3"/>
    <x v="1"/>
    <x v="675"/>
    <x v="3"/>
    <n v="23856.497467579862"/>
    <n v="1717667.8176657502"/>
    <n v="455497.81766575016"/>
    <n v="1"/>
    <x v="3"/>
  </r>
  <r>
    <s v="L0790"/>
    <s v="Neha Sharma"/>
    <n v="36"/>
    <s v="F"/>
    <x v="0"/>
    <n v="577051"/>
    <n v="1729658"/>
    <n v="12.63"/>
    <n v="72"/>
    <n v="832"/>
    <x v="0"/>
    <x v="1"/>
    <x v="676"/>
    <x v="3"/>
    <n v="34384.482519237623"/>
    <n v="2475682.7413851088"/>
    <n v="746024.74138510879"/>
    <n v="6"/>
    <x v="2"/>
  </r>
  <r>
    <s v="L0791"/>
    <s v="Deepika Joshi"/>
    <n v="55"/>
    <s v="M"/>
    <x v="1"/>
    <n v="555754"/>
    <n v="1462530"/>
    <n v="10.3"/>
    <n v="48"/>
    <n v="779"/>
    <x v="0"/>
    <x v="1"/>
    <x v="80"/>
    <x v="2"/>
    <n v="37304.605680641645"/>
    <n v="1790621.072670799"/>
    <n v="328091.07267079898"/>
    <n v="1"/>
    <x v="4"/>
  </r>
  <r>
    <s v="L0792"/>
    <s v="Aarav Patel"/>
    <n v="49"/>
    <s v="M"/>
    <x v="1"/>
    <n v="1170573"/>
    <n v="1587582"/>
    <n v="9.7100000000000009"/>
    <n v="120"/>
    <n v="625"/>
    <x v="0"/>
    <x v="1"/>
    <x v="677"/>
    <x v="2"/>
    <n v="20725.896790605977"/>
    <n v="2487107.6148727173"/>
    <n v="899525.6148727173"/>
    <n v="4"/>
    <x v="3"/>
  </r>
  <r>
    <s v="L0793"/>
    <s v="Rohan Nair"/>
    <n v="52"/>
    <s v="M"/>
    <x v="2"/>
    <n v="1848427"/>
    <n v="937655"/>
    <n v="12"/>
    <n v="120"/>
    <n v="600"/>
    <x v="0"/>
    <x v="1"/>
    <x v="678"/>
    <x v="1"/>
    <n v="13452.625212442805"/>
    <n v="1614315.0254931366"/>
    <n v="676660.02549313661"/>
    <n v="3"/>
    <x v="3"/>
  </r>
  <r>
    <s v="L0794"/>
    <s v="Amit Yadav"/>
    <n v="37"/>
    <s v="F"/>
    <x v="2"/>
    <n v="1411566"/>
    <n v="270812"/>
    <n v="13.95"/>
    <n v="36"/>
    <n v="821"/>
    <x v="3"/>
    <x v="1"/>
    <x v="679"/>
    <x v="0"/>
    <n v="9249.1370873681917"/>
    <n v="332968.93514525489"/>
    <n v="62156.935145254887"/>
    <n v="1"/>
    <x v="2"/>
  </r>
  <r>
    <s v="L0795"/>
    <s v="Kiran Menon"/>
    <n v="30"/>
    <s v="M"/>
    <x v="0"/>
    <n v="654706"/>
    <n v="1040626"/>
    <n v="12.85"/>
    <n v="84"/>
    <n v="701"/>
    <x v="2"/>
    <x v="1"/>
    <x v="258"/>
    <x v="2"/>
    <n v="18846.271447425101"/>
    <n v="1583086.8015837085"/>
    <n v="542460.8015837085"/>
    <n v="4"/>
    <x v="1"/>
  </r>
  <r>
    <s v="L0796"/>
    <s v="Vikram Das"/>
    <n v="60"/>
    <s v="M"/>
    <x v="2"/>
    <n v="1790100"/>
    <n v="1796130"/>
    <n v="10.119999999999999"/>
    <n v="36"/>
    <n v="699"/>
    <x v="3"/>
    <x v="1"/>
    <x v="357"/>
    <x v="2"/>
    <n v="58057.3083627265"/>
    <n v="2090063.1010581539"/>
    <n v="293933.1010581539"/>
    <n v="1"/>
    <x v="0"/>
  </r>
  <r>
    <s v="L0797"/>
    <s v="Pooja Reddy"/>
    <n v="27"/>
    <s v="F"/>
    <x v="0"/>
    <n v="456657"/>
    <n v="790823"/>
    <n v="13.1"/>
    <n v="84"/>
    <n v="785"/>
    <x v="0"/>
    <x v="1"/>
    <x v="680"/>
    <x v="3"/>
    <n v="14429.651716473141"/>
    <n v="1212090.7441837438"/>
    <n v="421267.74418374384"/>
    <n v="2"/>
    <x v="4"/>
  </r>
  <r>
    <s v="L0798"/>
    <s v="Raj Kumar"/>
    <n v="47"/>
    <s v="F"/>
    <x v="0"/>
    <n v="468176"/>
    <n v="1607370"/>
    <n v="9.34"/>
    <n v="120"/>
    <n v="610"/>
    <x v="2"/>
    <x v="1"/>
    <x v="681"/>
    <x v="0"/>
    <n v="20658.426549799027"/>
    <n v="2479011.1859758832"/>
    <n v="871641.18597588316"/>
    <n v="5"/>
    <x v="3"/>
  </r>
  <r>
    <s v="L0799"/>
    <s v="Raj Kumar"/>
    <n v="51"/>
    <s v="F"/>
    <x v="2"/>
    <n v="1126591"/>
    <n v="1403950"/>
    <n v="10.85"/>
    <n v="96"/>
    <n v="786"/>
    <x v="0"/>
    <x v="1"/>
    <x v="269"/>
    <x v="3"/>
    <n v="21940.418713133276"/>
    <n v="2106280.1964607947"/>
    <n v="702330.19646079466"/>
    <n v="1"/>
    <x v="4"/>
  </r>
  <r>
    <s v="L0800"/>
    <s v="Rohan Nair"/>
    <n v="30"/>
    <s v="M"/>
    <x v="1"/>
    <n v="1810565"/>
    <n v="938358"/>
    <n v="12.89"/>
    <n v="60"/>
    <n v="816"/>
    <x v="0"/>
    <x v="1"/>
    <x v="682"/>
    <x v="3"/>
    <n v="21297.726307399094"/>
    <n v="1277863.5784439456"/>
    <n v="339505.57844394562"/>
    <n v="6"/>
    <x v="2"/>
  </r>
  <r>
    <s v="L0801"/>
    <s v="Mohit Jain"/>
    <n v="29"/>
    <s v="F"/>
    <x v="1"/>
    <n v="861043"/>
    <n v="1747564"/>
    <n v="14.51"/>
    <n v="60"/>
    <n v="642"/>
    <x v="0"/>
    <x v="1"/>
    <x v="616"/>
    <x v="3"/>
    <n v="41126.294282165385"/>
    <n v="2467577.6569299232"/>
    <n v="720013.65692992322"/>
    <n v="5"/>
    <x v="3"/>
  </r>
  <r>
    <s v="L0802"/>
    <s v="Pooja Reddy"/>
    <n v="40"/>
    <s v="F"/>
    <x v="0"/>
    <n v="1481693"/>
    <n v="904788"/>
    <n v="11.19"/>
    <n v="36"/>
    <n v="675"/>
    <x v="0"/>
    <x v="0"/>
    <x v="683"/>
    <x v="1"/>
    <n v="29703.07488432739"/>
    <n v="1069310.6958357859"/>
    <n v="164522.69583578594"/>
    <n v="7"/>
    <x v="0"/>
  </r>
  <r>
    <s v="L0803"/>
    <s v="Tanya Rao"/>
    <n v="42"/>
    <s v="F"/>
    <x v="2"/>
    <n v="530297"/>
    <n v="1163521"/>
    <n v="11.91"/>
    <n v="48"/>
    <n v="815"/>
    <x v="3"/>
    <x v="0"/>
    <x v="684"/>
    <x v="2"/>
    <n v="30588.58067833215"/>
    <n v="1468251.8725599432"/>
    <n v="304730.87255994324"/>
    <n v="3"/>
    <x v="2"/>
  </r>
  <r>
    <s v="L0804"/>
    <s v="Rohit Khanna"/>
    <n v="30"/>
    <s v="M"/>
    <x v="1"/>
    <n v="711043"/>
    <n v="482816"/>
    <n v="11.09"/>
    <n v="72"/>
    <n v="606"/>
    <x v="3"/>
    <x v="1"/>
    <x v="685"/>
    <x v="3"/>
    <n v="9212.2296575794298"/>
    <n v="663280.53534571896"/>
    <n v="180464.53534571896"/>
    <n v="2"/>
    <x v="3"/>
  </r>
  <r>
    <s v="L0805"/>
    <s v="Aditya Sharma"/>
    <n v="48"/>
    <s v="F"/>
    <x v="2"/>
    <n v="1313351"/>
    <n v="1861906"/>
    <n v="13.52"/>
    <n v="36"/>
    <n v="829"/>
    <x v="1"/>
    <x v="1"/>
    <x v="455"/>
    <x v="3"/>
    <n v="63202.327866230633"/>
    <n v="2275283.803184303"/>
    <n v="413377.80318430299"/>
    <n v="4"/>
    <x v="2"/>
  </r>
  <r>
    <s v="L0806"/>
    <s v="Aarav Patel"/>
    <n v="56"/>
    <s v="M"/>
    <x v="2"/>
    <n v="1587686"/>
    <n v="1543506"/>
    <n v="10.85"/>
    <n v="36"/>
    <n v="671"/>
    <x v="1"/>
    <x v="1"/>
    <x v="686"/>
    <x v="3"/>
    <n v="50422.834654290331"/>
    <n v="1815222.047554452"/>
    <n v="271716.04755445197"/>
    <n v="5"/>
    <x v="0"/>
  </r>
  <r>
    <s v="L0807"/>
    <s v="Deepika Joshi"/>
    <n v="56"/>
    <s v="F"/>
    <x v="1"/>
    <n v="1284675"/>
    <n v="938812"/>
    <n v="9.49"/>
    <n v="84"/>
    <n v="754"/>
    <x v="2"/>
    <x v="1"/>
    <x v="550"/>
    <x v="3"/>
    <n v="15339.118814184698"/>
    <n v="1288485.9803915147"/>
    <n v="349673.98039151472"/>
    <n v="4"/>
    <x v="4"/>
  </r>
  <r>
    <s v="L0808"/>
    <s v="Amit Yadav"/>
    <n v="48"/>
    <s v="F"/>
    <x v="2"/>
    <n v="1250592"/>
    <n v="211672"/>
    <n v="14.14"/>
    <n v="72"/>
    <n v="612"/>
    <x v="2"/>
    <x v="0"/>
    <x v="98"/>
    <x v="0"/>
    <n v="4377.5420317556964"/>
    <n v="315183.02628641017"/>
    <n v="103511.02628641017"/>
    <n v="4"/>
    <x v="3"/>
  </r>
  <r>
    <s v="L0809"/>
    <s v="Vikram Das"/>
    <n v="60"/>
    <s v="F"/>
    <x v="2"/>
    <n v="1231015"/>
    <n v="739999"/>
    <n v="9.7100000000000009"/>
    <n v="120"/>
    <n v="770"/>
    <x v="2"/>
    <x v="1"/>
    <x v="371"/>
    <x v="2"/>
    <n v="9660.6933683750703"/>
    <n v="1159283.2042050085"/>
    <n v="419284.20420500846"/>
    <n v="6"/>
    <x v="4"/>
  </r>
  <r>
    <s v="L0810"/>
    <s v="Raj Kumar"/>
    <n v="35"/>
    <s v="M"/>
    <x v="2"/>
    <n v="1687449"/>
    <n v="1435814"/>
    <n v="13.62"/>
    <n v="72"/>
    <n v="730"/>
    <x v="2"/>
    <x v="1"/>
    <x v="687"/>
    <x v="1"/>
    <n v="29294.645949874961"/>
    <n v="2109214.5083909971"/>
    <n v="673400.50839099707"/>
    <n v="4"/>
    <x v="1"/>
  </r>
  <r>
    <s v="L0811"/>
    <s v="Rina Kapoor"/>
    <n v="48"/>
    <s v="M"/>
    <x v="1"/>
    <n v="1784970"/>
    <n v="1467703"/>
    <n v="14.7"/>
    <n v="72"/>
    <n v="759"/>
    <x v="0"/>
    <x v="1"/>
    <x v="688"/>
    <x v="1"/>
    <n v="30795.981435018843"/>
    <n v="2217310.6633213568"/>
    <n v="749607.66332135675"/>
    <n v="6"/>
    <x v="4"/>
  </r>
  <r>
    <s v="L0812"/>
    <s v="Arjun Mehta"/>
    <n v="34"/>
    <s v="F"/>
    <x v="2"/>
    <n v="610047"/>
    <n v="250423"/>
    <n v="9.16"/>
    <n v="48"/>
    <n v="616"/>
    <x v="2"/>
    <x v="1"/>
    <x v="271"/>
    <x v="3"/>
    <n v="6250.8298458211875"/>
    <n v="300039.83259941702"/>
    <n v="49616.832599417015"/>
    <n v="3"/>
    <x v="3"/>
  </r>
  <r>
    <s v="L0813"/>
    <s v="Aditya Sharma"/>
    <n v="43"/>
    <s v="F"/>
    <x v="2"/>
    <n v="1619522"/>
    <n v="1357406"/>
    <n v="11.17"/>
    <n v="120"/>
    <n v="829"/>
    <x v="1"/>
    <x v="1"/>
    <x v="689"/>
    <x v="3"/>
    <n v="18829.130092026113"/>
    <n v="2259495.6110431338"/>
    <n v="902089.61104313377"/>
    <n v="1"/>
    <x v="2"/>
  </r>
  <r>
    <s v="L0814"/>
    <s v="Arjun Mehta"/>
    <n v="35"/>
    <s v="F"/>
    <x v="2"/>
    <n v="1422163"/>
    <n v="926381"/>
    <n v="7.51"/>
    <n v="96"/>
    <n v="801"/>
    <x v="2"/>
    <x v="1"/>
    <x v="326"/>
    <x v="2"/>
    <n v="12866.413782532196"/>
    <n v="1235175.7231230908"/>
    <n v="308794.72312309081"/>
    <n v="6"/>
    <x v="2"/>
  </r>
  <r>
    <s v="L0815"/>
    <s v="Aditya Sharma"/>
    <n v="42"/>
    <s v="M"/>
    <x v="2"/>
    <n v="1544957"/>
    <n v="1703245"/>
    <n v="7.77"/>
    <n v="72"/>
    <n v="661"/>
    <x v="1"/>
    <x v="0"/>
    <x v="35"/>
    <x v="2"/>
    <n v="29672.488025729916"/>
    <n v="2136419.1378525537"/>
    <n v="433174.13785255374"/>
    <n v="1"/>
    <x v="0"/>
  </r>
  <r>
    <s v="L0816"/>
    <s v="Priya Singh"/>
    <n v="34"/>
    <s v="M"/>
    <x v="2"/>
    <n v="440045"/>
    <n v="1257102"/>
    <n v="10.61"/>
    <n v="60"/>
    <n v="780"/>
    <x v="3"/>
    <x v="1"/>
    <x v="690"/>
    <x v="2"/>
    <n v="27088.577625598115"/>
    <n v="1625314.6575358869"/>
    <n v="368212.65753588686"/>
    <n v="4"/>
    <x v="4"/>
  </r>
  <r>
    <s v="L0817"/>
    <s v="Amit Yadav"/>
    <n v="60"/>
    <s v="M"/>
    <x v="1"/>
    <n v="804013"/>
    <n v="1120804"/>
    <n v="14.56"/>
    <n v="72"/>
    <n v="724"/>
    <x v="1"/>
    <x v="0"/>
    <x v="431"/>
    <x v="2"/>
    <n v="23432.421783721715"/>
    <n v="1687134.3684279635"/>
    <n v="566330.36842796346"/>
    <n v="2"/>
    <x v="1"/>
  </r>
  <r>
    <s v="L0818"/>
    <s v="Mohit Jain"/>
    <n v="30"/>
    <s v="M"/>
    <x v="1"/>
    <n v="580358"/>
    <n v="1803907"/>
    <n v="12.18"/>
    <n v="60"/>
    <n v="728"/>
    <x v="3"/>
    <x v="1"/>
    <x v="691"/>
    <x v="0"/>
    <n v="40291.190919189336"/>
    <n v="2417471.45515136"/>
    <n v="613564.45515136002"/>
    <n v="5"/>
    <x v="1"/>
  </r>
  <r>
    <s v="L0819"/>
    <s v="Vikram Das"/>
    <n v="36"/>
    <s v="F"/>
    <x v="0"/>
    <n v="977897"/>
    <n v="1927163"/>
    <n v="13.4"/>
    <n v="96"/>
    <n v="685"/>
    <x v="3"/>
    <x v="0"/>
    <x v="408"/>
    <x v="0"/>
    <n v="32823.022287386055"/>
    <n v="3151010.139589061"/>
    <n v="1223847.139589061"/>
    <n v="7"/>
    <x v="0"/>
  </r>
  <r>
    <s v="L0820"/>
    <s v="Sahil Gupta"/>
    <n v="44"/>
    <s v="M"/>
    <x v="1"/>
    <n v="818162"/>
    <n v="282089"/>
    <n v="12.75"/>
    <n v="72"/>
    <n v="738"/>
    <x v="1"/>
    <x v="1"/>
    <x v="692"/>
    <x v="2"/>
    <n v="5625.5316805469492"/>
    <n v="405038.28099938034"/>
    <n v="122949.28099938034"/>
    <n v="4"/>
    <x v="1"/>
  </r>
  <r>
    <s v="L0821"/>
    <s v="Raj Kumar"/>
    <n v="33"/>
    <s v="M"/>
    <x v="2"/>
    <n v="1735949"/>
    <n v="1067518"/>
    <n v="9.4499999999999993"/>
    <n v="48"/>
    <n v="816"/>
    <x v="1"/>
    <x v="0"/>
    <x v="526"/>
    <x v="3"/>
    <n v="26793.918597278123"/>
    <n v="1286108.0926693499"/>
    <n v="218590.09266934986"/>
    <n v="3"/>
    <x v="2"/>
  </r>
  <r>
    <s v="L0822"/>
    <s v="Aditya Sharma"/>
    <n v="53"/>
    <s v="M"/>
    <x v="1"/>
    <n v="452774"/>
    <n v="900291"/>
    <n v="10.8"/>
    <n v="84"/>
    <n v="664"/>
    <x v="0"/>
    <x v="1"/>
    <x v="1"/>
    <x v="1"/>
    <n v="15320.665222745727"/>
    <n v="1286935.8787106411"/>
    <n v="386644.87871064106"/>
    <n v="7"/>
    <x v="0"/>
  </r>
  <r>
    <s v="L0823"/>
    <s v="Priya Singh"/>
    <n v="49"/>
    <s v="M"/>
    <x v="0"/>
    <n v="970938"/>
    <n v="725775"/>
    <n v="11.66"/>
    <n v="48"/>
    <n v="819"/>
    <x v="3"/>
    <x v="0"/>
    <x v="321"/>
    <x v="3"/>
    <n v="18991.505192400848"/>
    <n v="911592.24923524074"/>
    <n v="185817.24923524074"/>
    <n v="5"/>
    <x v="2"/>
  </r>
  <r>
    <s v="L0824"/>
    <s v="Rohit Khanna"/>
    <n v="60"/>
    <s v="M"/>
    <x v="1"/>
    <n v="1242886"/>
    <n v="511216"/>
    <n v="8.3699999999999992"/>
    <n v="48"/>
    <n v="670"/>
    <x v="0"/>
    <x v="1"/>
    <x v="693"/>
    <x v="0"/>
    <n v="12569.254269053725"/>
    <n v="603324.20491457882"/>
    <n v="92108.204914578819"/>
    <n v="4"/>
    <x v="0"/>
  </r>
  <r>
    <s v="L0825"/>
    <s v="Aditya Sharma"/>
    <n v="33"/>
    <s v="F"/>
    <x v="1"/>
    <n v="1035028"/>
    <n v="1183559"/>
    <n v="12.47"/>
    <n v="96"/>
    <n v="841"/>
    <x v="2"/>
    <x v="1"/>
    <x v="694"/>
    <x v="1"/>
    <n v="19543.139836865754"/>
    <n v="1876141.4243391124"/>
    <n v="692582.42433911236"/>
    <n v="2"/>
    <x v="2"/>
  </r>
  <r>
    <s v="L0826"/>
    <s v="Rohit Khanna"/>
    <n v="39"/>
    <s v="M"/>
    <x v="2"/>
    <n v="730182"/>
    <n v="715709"/>
    <n v="13.07"/>
    <n v="72"/>
    <n v="768"/>
    <x v="2"/>
    <x v="1"/>
    <x v="695"/>
    <x v="2"/>
    <n v="14393.673223557649"/>
    <n v="1036344.4720961507"/>
    <n v="320635.47209615074"/>
    <n v="1"/>
    <x v="4"/>
  </r>
  <r>
    <s v="L0827"/>
    <s v="Sahil Gupta"/>
    <n v="52"/>
    <s v="F"/>
    <x v="2"/>
    <n v="1609334"/>
    <n v="841977"/>
    <n v="14.94"/>
    <n v="72"/>
    <n v="785"/>
    <x v="3"/>
    <x v="1"/>
    <x v="696"/>
    <x v="1"/>
    <n v="17776.191436556768"/>
    <n v="1279885.7834320874"/>
    <n v="437908.7834320874"/>
    <n v="6"/>
    <x v="4"/>
  </r>
  <r>
    <s v="L0828"/>
    <s v="Sneha Pillai"/>
    <n v="36"/>
    <s v="F"/>
    <x v="0"/>
    <n v="1758197"/>
    <n v="1308727"/>
    <n v="13.98"/>
    <n v="60"/>
    <n v="666"/>
    <x v="1"/>
    <x v="1"/>
    <x v="697"/>
    <x v="2"/>
    <n v="30438.21997482502"/>
    <n v="1826293.1984895011"/>
    <n v="517566.19848950114"/>
    <n v="6"/>
    <x v="0"/>
  </r>
  <r>
    <s v="L0829"/>
    <s v="Vikram Das"/>
    <n v="50"/>
    <s v="F"/>
    <x v="1"/>
    <n v="1942054"/>
    <n v="857525"/>
    <n v="12.32"/>
    <n v="96"/>
    <n v="849"/>
    <x v="1"/>
    <x v="1"/>
    <x v="698"/>
    <x v="2"/>
    <n v="14088.427235331124"/>
    <n v="1352489.0145917879"/>
    <n v="494964.01459178794"/>
    <n v="6"/>
    <x v="2"/>
  </r>
  <r>
    <s v="L0830"/>
    <s v="Raj Kumar"/>
    <n v="47"/>
    <s v="F"/>
    <x v="2"/>
    <n v="1119385"/>
    <n v="649521"/>
    <n v="14.59"/>
    <n v="36"/>
    <n v="626"/>
    <x v="0"/>
    <x v="1"/>
    <x v="699"/>
    <x v="2"/>
    <n v="22385.667635233236"/>
    <n v="805884.03486839647"/>
    <n v="156363.03486839647"/>
    <n v="4"/>
    <x v="3"/>
  </r>
  <r>
    <s v="L0831"/>
    <s v="Sahil Gupta"/>
    <n v="40"/>
    <s v="M"/>
    <x v="2"/>
    <n v="1998235"/>
    <n v="386590"/>
    <n v="8.23"/>
    <n v="96"/>
    <n v="677"/>
    <x v="1"/>
    <x v="1"/>
    <x v="700"/>
    <x v="1"/>
    <n v="5510.3993063355674"/>
    <n v="528998.3334082145"/>
    <n v="142408.3334082145"/>
    <n v="5"/>
    <x v="0"/>
  </r>
  <r>
    <s v="L0832"/>
    <s v="Aditya Sharma"/>
    <n v="39"/>
    <s v="M"/>
    <x v="2"/>
    <n v="1546900"/>
    <n v="601780"/>
    <n v="13.5"/>
    <n v="96"/>
    <n v="656"/>
    <x v="3"/>
    <x v="1"/>
    <x v="701"/>
    <x v="3"/>
    <n v="10283.312742468703"/>
    <n v="987198.0232769954"/>
    <n v="385418.0232769954"/>
    <n v="5"/>
    <x v="0"/>
  </r>
  <r>
    <s v="L0833"/>
    <s v="Amit Yadav"/>
    <n v="39"/>
    <s v="F"/>
    <x v="0"/>
    <n v="1205216"/>
    <n v="462031"/>
    <n v="12.01"/>
    <n v="96"/>
    <n v="689"/>
    <x v="1"/>
    <x v="1"/>
    <x v="702"/>
    <x v="0"/>
    <n v="7511.8553980346096"/>
    <n v="721138.11821132246"/>
    <n v="259107.11821132246"/>
    <n v="3"/>
    <x v="0"/>
  </r>
  <r>
    <s v="L0834"/>
    <s v="Amit Yadav"/>
    <n v="46"/>
    <s v="F"/>
    <x v="2"/>
    <n v="1721658"/>
    <n v="1644568"/>
    <n v="12.5"/>
    <n v="72"/>
    <n v="655"/>
    <x v="0"/>
    <x v="1"/>
    <x v="703"/>
    <x v="3"/>
    <n v="32580.830534990571"/>
    <n v="2345819.7985193213"/>
    <n v="701251.79851932125"/>
    <n v="5"/>
    <x v="0"/>
  </r>
  <r>
    <s v="L0835"/>
    <s v="Priya Singh"/>
    <n v="54"/>
    <s v="M"/>
    <x v="2"/>
    <n v="362256"/>
    <n v="1369306"/>
    <n v="12.72"/>
    <n v="48"/>
    <n v="649"/>
    <x v="2"/>
    <x v="0"/>
    <x v="704"/>
    <x v="2"/>
    <n v="36545.04289228734"/>
    <n v="1754162.0588297923"/>
    <n v="384856.05882979231"/>
    <n v="6"/>
    <x v="3"/>
  </r>
  <r>
    <s v="L0836"/>
    <s v="Isha Verma"/>
    <n v="51"/>
    <s v="M"/>
    <x v="2"/>
    <n v="1515386"/>
    <n v="928695"/>
    <n v="9.8000000000000007"/>
    <n v="84"/>
    <n v="763"/>
    <x v="1"/>
    <x v="1"/>
    <x v="705"/>
    <x v="3"/>
    <n v="15321.636099258376"/>
    <n v="1287017.4323377036"/>
    <n v="358322.43233770365"/>
    <n v="6"/>
    <x v="4"/>
  </r>
  <r>
    <s v="L0837"/>
    <s v="Aditya Sharma"/>
    <n v="30"/>
    <s v="F"/>
    <x v="1"/>
    <n v="1763950"/>
    <n v="1312959"/>
    <n v="11.84"/>
    <n v="84"/>
    <n v="805"/>
    <x v="0"/>
    <x v="1"/>
    <x v="706"/>
    <x v="3"/>
    <n v="23065.121095747629"/>
    <n v="1937470.1720428008"/>
    <n v="624511.17204280081"/>
    <n v="7"/>
    <x v="2"/>
  </r>
  <r>
    <s v="L0838"/>
    <s v="Rohan Nair"/>
    <n v="30"/>
    <s v="F"/>
    <x v="1"/>
    <n v="1003229"/>
    <n v="1046181"/>
    <n v="9.6"/>
    <n v="84"/>
    <n v="773"/>
    <x v="2"/>
    <x v="1"/>
    <x v="707"/>
    <x v="2"/>
    <n v="17152.387133084445"/>
    <n v="1440800.5191790934"/>
    <n v="394619.51917909342"/>
    <n v="7"/>
    <x v="4"/>
  </r>
  <r>
    <s v="L0839"/>
    <s v="Aarav Patel"/>
    <n v="34"/>
    <s v="F"/>
    <x v="0"/>
    <n v="1816198"/>
    <n v="627216"/>
    <n v="10.66"/>
    <n v="48"/>
    <n v="850"/>
    <x v="1"/>
    <x v="1"/>
    <x v="708"/>
    <x v="0"/>
    <n v="16107.357917283978"/>
    <n v="773153.18002963089"/>
    <n v="145937.18002963089"/>
    <n v="6"/>
    <x v="2"/>
  </r>
  <r>
    <s v="L0840"/>
    <s v="Aarav Patel"/>
    <n v="41"/>
    <s v="F"/>
    <x v="0"/>
    <n v="596240"/>
    <n v="1529360"/>
    <n v="8.6999999999999993"/>
    <n v="84"/>
    <n v="792"/>
    <x v="2"/>
    <x v="1"/>
    <x v="709"/>
    <x v="2"/>
    <n v="24373.784351565231"/>
    <n v="2047397.8855314795"/>
    <n v="518037.88553147949"/>
    <n v="7"/>
    <x v="4"/>
  </r>
  <r>
    <s v="L0841"/>
    <s v="Kiran Menon"/>
    <n v="34"/>
    <s v="F"/>
    <x v="0"/>
    <n v="871336"/>
    <n v="340605"/>
    <n v="12.2"/>
    <n v="84"/>
    <n v="638"/>
    <x v="0"/>
    <x v="0"/>
    <x v="285"/>
    <x v="0"/>
    <n v="6049.0997738271763"/>
    <n v="508124.38100148283"/>
    <n v="167519.38100148283"/>
    <n v="2"/>
    <x v="3"/>
  </r>
  <r>
    <s v="L0842"/>
    <s v="Pooja Reddy"/>
    <n v="42"/>
    <s v="M"/>
    <x v="1"/>
    <n v="1870381"/>
    <n v="1045517"/>
    <n v="13.77"/>
    <n v="120"/>
    <n v="614"/>
    <x v="1"/>
    <x v="1"/>
    <x v="710"/>
    <x v="3"/>
    <n v="16089.097355732507"/>
    <n v="1930691.6826879007"/>
    <n v="885174.68268790073"/>
    <n v="3"/>
    <x v="3"/>
  </r>
  <r>
    <s v="L0843"/>
    <s v="Priya Singh"/>
    <n v="57"/>
    <s v="F"/>
    <x v="1"/>
    <n v="1952828"/>
    <n v="909771"/>
    <n v="11.02"/>
    <n v="60"/>
    <n v="816"/>
    <x v="2"/>
    <x v="1"/>
    <x v="711"/>
    <x v="1"/>
    <n v="19789.701407209581"/>
    <n v="1187382.0844325749"/>
    <n v="277611.08443257492"/>
    <n v="1"/>
    <x v="2"/>
  </r>
  <r>
    <s v="L0844"/>
    <s v="Arjun Mehta"/>
    <n v="31"/>
    <s v="M"/>
    <x v="2"/>
    <n v="539966"/>
    <n v="763152"/>
    <n v="10.23"/>
    <n v="96"/>
    <n v="800"/>
    <x v="0"/>
    <x v="0"/>
    <x v="712"/>
    <x v="3"/>
    <n v="11673.277758973858"/>
    <n v="1120634.6648614905"/>
    <n v="357482.66486149048"/>
    <n v="6"/>
    <x v="2"/>
  </r>
  <r>
    <s v="L0845"/>
    <s v="Rohan Nair"/>
    <n v="29"/>
    <s v="F"/>
    <x v="1"/>
    <n v="1970799"/>
    <n v="711141"/>
    <n v="12.59"/>
    <n v="96"/>
    <n v="805"/>
    <x v="1"/>
    <x v="1"/>
    <x v="713"/>
    <x v="1"/>
    <n v="11789.826465614193"/>
    <n v="1131823.3406989626"/>
    <n v="420682.34069896257"/>
    <n v="6"/>
    <x v="2"/>
  </r>
  <r>
    <s v="L0846"/>
    <s v="Sahil Gupta"/>
    <n v="31"/>
    <s v="M"/>
    <x v="1"/>
    <n v="1411868"/>
    <n v="398759"/>
    <n v="13.46"/>
    <n v="60"/>
    <n v="754"/>
    <x v="3"/>
    <x v="1"/>
    <x v="714"/>
    <x v="0"/>
    <n v="9167.1679650158676"/>
    <n v="550030.07790095208"/>
    <n v="151271.07790095208"/>
    <n v="5"/>
    <x v="4"/>
  </r>
  <r>
    <s v="L0847"/>
    <s v="Pooja Reddy"/>
    <n v="34"/>
    <s v="M"/>
    <x v="1"/>
    <n v="1144430"/>
    <n v="705317"/>
    <n v="14.73"/>
    <n v="84"/>
    <n v="672"/>
    <x v="2"/>
    <x v="1"/>
    <x v="715"/>
    <x v="0"/>
    <n v="13503.706170812768"/>
    <n v="1134311.3183482725"/>
    <n v="428994.31834827247"/>
    <n v="6"/>
    <x v="0"/>
  </r>
  <r>
    <s v="L0848"/>
    <s v="Meena George"/>
    <n v="38"/>
    <s v="F"/>
    <x v="0"/>
    <n v="1081841"/>
    <n v="1742023"/>
    <n v="13.2"/>
    <n v="36"/>
    <n v="689"/>
    <x v="0"/>
    <x v="1"/>
    <x v="716"/>
    <x v="1"/>
    <n v="58863.593297981795"/>
    <n v="2119089.3587273448"/>
    <n v="377066.35872734478"/>
    <n v="2"/>
    <x v="0"/>
  </r>
  <r>
    <s v="L0849"/>
    <s v="Priya Singh"/>
    <n v="59"/>
    <s v="F"/>
    <x v="1"/>
    <n v="974963"/>
    <n v="1578873"/>
    <n v="9.41"/>
    <n v="60"/>
    <n v="814"/>
    <x v="1"/>
    <x v="1"/>
    <x v="717"/>
    <x v="2"/>
    <n v="33089.872369756173"/>
    <n v="1985392.3421853704"/>
    <n v="406519.34218537039"/>
    <n v="6"/>
    <x v="2"/>
  </r>
  <r>
    <s v="L0850"/>
    <s v="Deepika Joshi"/>
    <n v="56"/>
    <s v="M"/>
    <x v="0"/>
    <n v="1115729"/>
    <n v="1864579"/>
    <n v="14.72"/>
    <n v="84"/>
    <n v="847"/>
    <x v="0"/>
    <x v="1"/>
    <x v="502"/>
    <x v="1"/>
    <n v="35688.037496973084"/>
    <n v="2997795.1497457391"/>
    <n v="1133216.1497457391"/>
    <n v="4"/>
    <x v="2"/>
  </r>
  <r>
    <s v="L0851"/>
    <s v="Rina Kapoor"/>
    <n v="45"/>
    <s v="F"/>
    <x v="2"/>
    <n v="1452516"/>
    <n v="629406"/>
    <n v="8.9"/>
    <n v="60"/>
    <n v="845"/>
    <x v="3"/>
    <x v="1"/>
    <x v="718"/>
    <x v="3"/>
    <n v="13034.907448910881"/>
    <n v="782094.44693465286"/>
    <n v="152688.44693465286"/>
    <n v="1"/>
    <x v="2"/>
  </r>
  <r>
    <s v="L0852"/>
    <s v="Neha Sharma"/>
    <n v="37"/>
    <s v="F"/>
    <x v="0"/>
    <n v="1422598"/>
    <n v="1657198"/>
    <n v="9.89"/>
    <n v="60"/>
    <n v="683"/>
    <x v="0"/>
    <x v="1"/>
    <x v="719"/>
    <x v="3"/>
    <n v="35120.932091710521"/>
    <n v="2107255.9255026313"/>
    <n v="450057.92550263135"/>
    <n v="6"/>
    <x v="0"/>
  </r>
  <r>
    <s v="L0853"/>
    <s v="Kiran Menon"/>
    <n v="43"/>
    <s v="M"/>
    <x v="0"/>
    <n v="793896"/>
    <n v="1194101"/>
    <n v="12.36"/>
    <n v="120"/>
    <n v="762"/>
    <x v="0"/>
    <x v="1"/>
    <x v="720"/>
    <x v="3"/>
    <n v="17381.302221388931"/>
    <n v="2085756.2665666717"/>
    <n v="891655.26656667166"/>
    <n v="3"/>
    <x v="4"/>
  </r>
  <r>
    <s v="L0854"/>
    <s v="Pooja Reddy"/>
    <n v="34"/>
    <s v="F"/>
    <x v="0"/>
    <n v="421405"/>
    <n v="802188"/>
    <n v="14.97"/>
    <n v="96"/>
    <n v="721"/>
    <x v="1"/>
    <x v="1"/>
    <x v="157"/>
    <x v="3"/>
    <n v="14381.666070700549"/>
    <n v="1380639.9427872526"/>
    <n v="578451.9427872526"/>
    <n v="1"/>
    <x v="1"/>
  </r>
  <r>
    <s v="L0855"/>
    <s v="Rina Kapoor"/>
    <n v="43"/>
    <s v="M"/>
    <x v="2"/>
    <n v="1354811"/>
    <n v="649509"/>
    <n v="10.039999999999999"/>
    <n v="96"/>
    <n v="712"/>
    <x v="2"/>
    <x v="1"/>
    <x v="721"/>
    <x v="3"/>
    <n v="9869.5086123550282"/>
    <n v="947472.8267860827"/>
    <n v="297963.8267860827"/>
    <n v="7"/>
    <x v="1"/>
  </r>
  <r>
    <s v="L0856"/>
    <s v="Deepika Joshi"/>
    <n v="56"/>
    <s v="M"/>
    <x v="1"/>
    <n v="738111"/>
    <n v="1917726"/>
    <n v="7.92"/>
    <n v="36"/>
    <n v="754"/>
    <x v="0"/>
    <x v="0"/>
    <x v="381"/>
    <x v="1"/>
    <n v="60023.813159593243"/>
    <n v="2160857.2737453566"/>
    <n v="243131.27374535659"/>
    <n v="3"/>
    <x v="4"/>
  </r>
  <r>
    <s v="L0857"/>
    <s v="Amit Yadav"/>
    <n v="54"/>
    <s v="M"/>
    <x v="1"/>
    <n v="1110484"/>
    <n v="1739554"/>
    <n v="7.71"/>
    <n v="48"/>
    <n v="671"/>
    <x v="3"/>
    <x v="1"/>
    <x v="722"/>
    <x v="1"/>
    <n v="42231.195287471397"/>
    <n v="2027097.3737986269"/>
    <n v="287543.37379862694"/>
    <n v="2"/>
    <x v="0"/>
  </r>
  <r>
    <s v="L0858"/>
    <s v="Vikram Das"/>
    <n v="39"/>
    <s v="F"/>
    <x v="0"/>
    <n v="1405253"/>
    <n v="925519"/>
    <n v="10.83"/>
    <n v="72"/>
    <n v="739"/>
    <x v="0"/>
    <x v="1"/>
    <x v="723"/>
    <x v="1"/>
    <n v="17535.920168347679"/>
    <n v="1262586.2521210329"/>
    <n v="337067.25212103291"/>
    <n v="7"/>
    <x v="1"/>
  </r>
  <r>
    <s v="L0859"/>
    <s v="Neha Sharma"/>
    <n v="25"/>
    <s v="F"/>
    <x v="0"/>
    <n v="1401551"/>
    <n v="385006"/>
    <n v="11.02"/>
    <n v="72"/>
    <n v="835"/>
    <x v="1"/>
    <x v="1"/>
    <x v="724"/>
    <x v="0"/>
    <n v="7332.1791438629461"/>
    <n v="527916.89835813211"/>
    <n v="142910.89835813211"/>
    <n v="4"/>
    <x v="2"/>
  </r>
  <r>
    <s v="L0860"/>
    <s v="Mohit Jain"/>
    <n v="41"/>
    <s v="F"/>
    <x v="0"/>
    <n v="399243"/>
    <n v="1696415"/>
    <n v="14.21"/>
    <n v="60"/>
    <n v="746"/>
    <x v="2"/>
    <x v="1"/>
    <x v="490"/>
    <x v="0"/>
    <n v="39657.544618683627"/>
    <n v="2379452.6771210176"/>
    <n v="683037.67712101759"/>
    <n v="4"/>
    <x v="1"/>
  </r>
  <r>
    <s v="L0861"/>
    <s v="Kiran Menon"/>
    <n v="38"/>
    <s v="M"/>
    <x v="2"/>
    <n v="393407"/>
    <n v="728169"/>
    <n v="13.48"/>
    <n v="96"/>
    <n v="719"/>
    <x v="2"/>
    <x v="1"/>
    <x v="694"/>
    <x v="1"/>
    <n v="12434.852143846081"/>
    <n v="1193745.8058092238"/>
    <n v="465576.80580922379"/>
    <n v="2"/>
    <x v="1"/>
  </r>
  <r>
    <s v="L0862"/>
    <s v="Meena George"/>
    <n v="57"/>
    <s v="F"/>
    <x v="0"/>
    <n v="596502"/>
    <n v="1376803"/>
    <n v="8.42"/>
    <n v="48"/>
    <n v="671"/>
    <x v="1"/>
    <x v="0"/>
    <x v="725"/>
    <x v="1"/>
    <n v="33883.880544062893"/>
    <n v="1626426.2661150189"/>
    <n v="249623.26611501887"/>
    <n v="1"/>
    <x v="0"/>
  </r>
  <r>
    <s v="L0863"/>
    <s v="Kiran Menon"/>
    <n v="41"/>
    <s v="F"/>
    <x v="1"/>
    <n v="1213565"/>
    <n v="488284"/>
    <n v="14.98"/>
    <n v="84"/>
    <n v="732"/>
    <x v="1"/>
    <x v="1"/>
    <x v="726"/>
    <x v="0"/>
    <n v="9416.8184095501365"/>
    <n v="791012.74640221149"/>
    <n v="302728.74640221149"/>
    <n v="5"/>
    <x v="1"/>
  </r>
  <r>
    <s v="L0864"/>
    <s v="Vikram Das"/>
    <n v="47"/>
    <s v="F"/>
    <x v="2"/>
    <n v="1013214"/>
    <n v="1154026"/>
    <n v="10.08"/>
    <n v="36"/>
    <n v="838"/>
    <x v="0"/>
    <x v="1"/>
    <x v="727"/>
    <x v="2"/>
    <n v="37280.532705569545"/>
    <n v="1342099.1774005035"/>
    <n v="188073.17740050354"/>
    <n v="4"/>
    <x v="2"/>
  </r>
  <r>
    <s v="L0865"/>
    <s v="Rohit Khanna"/>
    <n v="32"/>
    <s v="M"/>
    <x v="0"/>
    <n v="1873484"/>
    <n v="417095"/>
    <n v="9.1"/>
    <n v="72"/>
    <n v="618"/>
    <x v="3"/>
    <x v="0"/>
    <x v="19"/>
    <x v="2"/>
    <n v="7539.0789033528699"/>
    <n v="542813.68104140658"/>
    <n v="125718.68104140658"/>
    <n v="1"/>
    <x v="3"/>
  </r>
  <r>
    <s v="L0866"/>
    <s v="Arjun Mehta"/>
    <n v="42"/>
    <s v="F"/>
    <x v="2"/>
    <n v="761501"/>
    <n v="940378"/>
    <n v="10.14"/>
    <n v="72"/>
    <n v="720"/>
    <x v="1"/>
    <x v="1"/>
    <x v="728"/>
    <x v="0"/>
    <n v="17487.753614656045"/>
    <n v="1259118.2602552352"/>
    <n v="318740.26025523525"/>
    <n v="2"/>
    <x v="1"/>
  </r>
  <r>
    <s v="L0867"/>
    <s v="Aarav Patel"/>
    <n v="44"/>
    <s v="F"/>
    <x v="1"/>
    <n v="918931"/>
    <n v="283244"/>
    <n v="11.11"/>
    <n v="84"/>
    <n v="745"/>
    <x v="2"/>
    <x v="1"/>
    <x v="729"/>
    <x v="2"/>
    <n v="4866.2248982080782"/>
    <n v="408762.89144947857"/>
    <n v="125518.89144947857"/>
    <n v="7"/>
    <x v="1"/>
  </r>
  <r>
    <s v="L0868"/>
    <s v="Sneha Pillai"/>
    <n v="41"/>
    <s v="M"/>
    <x v="2"/>
    <n v="596068"/>
    <n v="857772"/>
    <n v="10.82"/>
    <n v="96"/>
    <n v="847"/>
    <x v="2"/>
    <x v="0"/>
    <x v="525"/>
    <x v="2"/>
    <n v="13391.111701126345"/>
    <n v="1285546.7233081292"/>
    <n v="427774.72330812924"/>
    <n v="1"/>
    <x v="2"/>
  </r>
  <r>
    <s v="L0869"/>
    <s v="Rohan Nair"/>
    <n v="59"/>
    <s v="M"/>
    <x v="1"/>
    <n v="314997"/>
    <n v="320785"/>
    <n v="12.94"/>
    <n v="96"/>
    <n v="609"/>
    <x v="2"/>
    <x v="0"/>
    <x v="730"/>
    <x v="2"/>
    <n v="5380.7549737638656"/>
    <n v="516552.47748133109"/>
    <n v="195767.47748133109"/>
    <n v="5"/>
    <x v="3"/>
  </r>
  <r>
    <s v="L0870"/>
    <s v="Mohit Jain"/>
    <n v="31"/>
    <s v="M"/>
    <x v="0"/>
    <n v="435580"/>
    <n v="551825"/>
    <n v="7.88"/>
    <n v="120"/>
    <n v="774"/>
    <x v="0"/>
    <x v="0"/>
    <x v="731"/>
    <x v="3"/>
    <n v="6660.2211062173456"/>
    <n v="799226.53274608147"/>
    <n v="247401.53274608147"/>
    <n v="7"/>
    <x v="4"/>
  </r>
  <r>
    <s v="L0871"/>
    <s v="Neha Sharma"/>
    <n v="51"/>
    <s v="M"/>
    <x v="2"/>
    <n v="605888"/>
    <n v="1284548"/>
    <n v="9.8000000000000007"/>
    <n v="48"/>
    <n v="613"/>
    <x v="1"/>
    <x v="1"/>
    <x v="732"/>
    <x v="3"/>
    <n v="32456.215240990718"/>
    <n v="1557898.3315675545"/>
    <n v="273350.3315675545"/>
    <n v="5"/>
    <x v="3"/>
  </r>
  <r>
    <s v="L0872"/>
    <s v="Meena George"/>
    <n v="48"/>
    <s v="F"/>
    <x v="2"/>
    <n v="1518485"/>
    <n v="1831293"/>
    <n v="11.39"/>
    <n v="60"/>
    <n v="639"/>
    <x v="1"/>
    <x v="1"/>
    <x v="733"/>
    <x v="2"/>
    <n v="40173.852006823297"/>
    <n v="2410431.1204093979"/>
    <n v="579138.12040939787"/>
    <n v="5"/>
    <x v="3"/>
  </r>
  <r>
    <s v="L0873"/>
    <s v="Sneha Pillai"/>
    <n v="57"/>
    <s v="F"/>
    <x v="0"/>
    <n v="1389748"/>
    <n v="340764"/>
    <n v="13.22"/>
    <n v="84"/>
    <n v="850"/>
    <x v="2"/>
    <x v="1"/>
    <x v="238"/>
    <x v="1"/>
    <n v="6239.9959438064907"/>
    <n v="524159.65927974519"/>
    <n v="183395.65927974519"/>
    <n v="5"/>
    <x v="2"/>
  </r>
  <r>
    <s v="L0874"/>
    <s v="Vikram Das"/>
    <n v="45"/>
    <s v="F"/>
    <x v="0"/>
    <n v="577883"/>
    <n v="1803810"/>
    <n v="10.220000000000001"/>
    <n v="60"/>
    <n v="768"/>
    <x v="1"/>
    <x v="1"/>
    <x v="734"/>
    <x v="1"/>
    <n v="38521.1841621774"/>
    <n v="2311271.0497306441"/>
    <n v="507461.0497306441"/>
    <n v="3"/>
    <x v="4"/>
  </r>
  <r>
    <s v="L0875"/>
    <s v="Kiran Menon"/>
    <n v="28"/>
    <s v="F"/>
    <x v="1"/>
    <n v="793795"/>
    <n v="1476828"/>
    <n v="11.76"/>
    <n v="96"/>
    <n v="654"/>
    <x v="1"/>
    <x v="0"/>
    <x v="605"/>
    <x v="3"/>
    <n v="23808.333752034538"/>
    <n v="2285600.0401953156"/>
    <n v="808772.04019531561"/>
    <n v="4"/>
    <x v="0"/>
  </r>
  <r>
    <s v="L0876"/>
    <s v="Rohan Nair"/>
    <n v="25"/>
    <s v="F"/>
    <x v="2"/>
    <n v="382595"/>
    <n v="691499"/>
    <n v="13.19"/>
    <n v="120"/>
    <n v="607"/>
    <x v="2"/>
    <x v="1"/>
    <x v="735"/>
    <x v="0"/>
    <n v="10402.461173416126"/>
    <n v="1248295.3408099352"/>
    <n v="556796.34080993524"/>
    <n v="6"/>
    <x v="3"/>
  </r>
  <r>
    <s v="L0877"/>
    <s v="Arjun Mehta"/>
    <n v="54"/>
    <s v="M"/>
    <x v="1"/>
    <n v="848585"/>
    <n v="1237338"/>
    <n v="9.3000000000000007"/>
    <n v="96"/>
    <n v="710"/>
    <x v="3"/>
    <x v="1"/>
    <x v="736"/>
    <x v="1"/>
    <n v="18320.399657935206"/>
    <n v="1758758.3671617797"/>
    <n v="521420.36716177966"/>
    <n v="2"/>
    <x v="1"/>
  </r>
  <r>
    <s v="L0878"/>
    <s v="Neha Sharma"/>
    <n v="52"/>
    <s v="M"/>
    <x v="1"/>
    <n v="1411812"/>
    <n v="1335406"/>
    <n v="11.59"/>
    <n v="48"/>
    <n v="669"/>
    <x v="2"/>
    <x v="1"/>
    <x v="737"/>
    <x v="2"/>
    <n v="34898.136775448249"/>
    <n v="1675110.5652215159"/>
    <n v="339704.56522151595"/>
    <n v="7"/>
    <x v="0"/>
  </r>
  <r>
    <s v="L0879"/>
    <s v="Aditya Sharma"/>
    <n v="40"/>
    <s v="F"/>
    <x v="0"/>
    <n v="1399644"/>
    <n v="1098992"/>
    <n v="7.73"/>
    <n v="84"/>
    <n v="796"/>
    <x v="1"/>
    <x v="1"/>
    <x v="213"/>
    <x v="3"/>
    <n v="16981.665299000964"/>
    <n v="1426459.885116081"/>
    <n v="327467.88511608099"/>
    <n v="3"/>
    <x v="4"/>
  </r>
  <r>
    <s v="L0880"/>
    <s v="Vikram Das"/>
    <n v="45"/>
    <s v="F"/>
    <x v="1"/>
    <n v="996353"/>
    <n v="753779"/>
    <n v="12.02"/>
    <n v="96"/>
    <n v="788"/>
    <x v="0"/>
    <x v="1"/>
    <x v="468"/>
    <x v="0"/>
    <n v="12259.335214283377"/>
    <n v="1176896.1805712043"/>
    <n v="423117.18057120428"/>
    <n v="3"/>
    <x v="4"/>
  </r>
  <r>
    <s v="L0881"/>
    <s v="Deepika Joshi"/>
    <n v="59"/>
    <s v="F"/>
    <x v="0"/>
    <n v="593729"/>
    <n v="1371658"/>
    <n v="10.64"/>
    <n v="36"/>
    <n v="710"/>
    <x v="3"/>
    <x v="1"/>
    <x v="738"/>
    <x v="3"/>
    <n v="44672.840336030968"/>
    <n v="1608222.2520971149"/>
    <n v="236564.25209711492"/>
    <n v="5"/>
    <x v="1"/>
  </r>
  <r>
    <s v="L0882"/>
    <s v="Rohan Nair"/>
    <n v="53"/>
    <s v="F"/>
    <x v="2"/>
    <n v="1419671"/>
    <n v="1154063"/>
    <n v="14.71"/>
    <n v="60"/>
    <n v="827"/>
    <x v="3"/>
    <x v="1"/>
    <x v="323"/>
    <x v="0"/>
    <n v="27279.714516781249"/>
    <n v="1636782.8710068748"/>
    <n v="482719.87100687483"/>
    <n v="5"/>
    <x v="2"/>
  </r>
  <r>
    <s v="L0883"/>
    <s v="Amit Yadav"/>
    <n v="31"/>
    <s v="M"/>
    <x v="2"/>
    <n v="885205"/>
    <n v="1194995"/>
    <n v="14.63"/>
    <n v="120"/>
    <n v="644"/>
    <x v="1"/>
    <x v="1"/>
    <x v="739"/>
    <x v="0"/>
    <n v="19009.580550768576"/>
    <n v="2281149.6660922291"/>
    <n v="1086154.6660922291"/>
    <n v="4"/>
    <x v="3"/>
  </r>
  <r>
    <s v="L0884"/>
    <s v="Sneha Pillai"/>
    <n v="25"/>
    <s v="F"/>
    <x v="0"/>
    <n v="331416"/>
    <n v="902660"/>
    <n v="8.09"/>
    <n v="120"/>
    <n v="840"/>
    <x v="0"/>
    <x v="1"/>
    <x v="740"/>
    <x v="1"/>
    <n v="10994.730782402805"/>
    <n v="1319367.6938883367"/>
    <n v="416707.69388833665"/>
    <n v="7"/>
    <x v="2"/>
  </r>
  <r>
    <s v="L0885"/>
    <s v="Rohan Nair"/>
    <n v="60"/>
    <s v="F"/>
    <x v="0"/>
    <n v="1892805"/>
    <n v="632163"/>
    <n v="11.5"/>
    <n v="120"/>
    <n v="661"/>
    <x v="0"/>
    <x v="0"/>
    <x v="741"/>
    <x v="1"/>
    <n v="8887.9237652084121"/>
    <n v="1066550.8518250096"/>
    <n v="434387.85182500957"/>
    <n v="5"/>
    <x v="0"/>
  </r>
  <r>
    <s v="L0886"/>
    <s v="Vikram Das"/>
    <n v="57"/>
    <s v="M"/>
    <x v="0"/>
    <n v="1888152"/>
    <n v="1372811"/>
    <n v="12.08"/>
    <n v="48"/>
    <n v="805"/>
    <x v="2"/>
    <x v="1"/>
    <x v="80"/>
    <x v="3"/>
    <n v="36205.325481450942"/>
    <n v="1737855.6231096452"/>
    <n v="365044.62310964521"/>
    <n v="1"/>
    <x v="2"/>
  </r>
  <r>
    <s v="L0887"/>
    <s v="Rina Kapoor"/>
    <n v="41"/>
    <s v="M"/>
    <x v="1"/>
    <n v="899484"/>
    <n v="1219303"/>
    <n v="13.13"/>
    <n v="36"/>
    <n v="623"/>
    <x v="0"/>
    <x v="0"/>
    <x v="742"/>
    <x v="2"/>
    <n v="41159.526337507894"/>
    <n v="1481742.9481502841"/>
    <n v="262439.94815028412"/>
    <n v="2"/>
    <x v="3"/>
  </r>
  <r>
    <s v="L0888"/>
    <s v="Amit Yadav"/>
    <n v="46"/>
    <s v="M"/>
    <x v="2"/>
    <n v="472525"/>
    <n v="672132"/>
    <n v="10.87"/>
    <n v="96"/>
    <n v="809"/>
    <x v="3"/>
    <x v="1"/>
    <x v="273"/>
    <x v="1"/>
    <n v="10511.065177115439"/>
    <n v="1009062.2570030822"/>
    <n v="336930.2570030822"/>
    <n v="1"/>
    <x v="2"/>
  </r>
  <r>
    <s v="L0889"/>
    <s v="Tanya Rao"/>
    <n v="46"/>
    <s v="M"/>
    <x v="0"/>
    <n v="1614518"/>
    <n v="477135"/>
    <n v="11.51"/>
    <n v="60"/>
    <n v="799"/>
    <x v="0"/>
    <x v="1"/>
    <x v="743"/>
    <x v="1"/>
    <n v="10495.838222016386"/>
    <n v="629750.29332098318"/>
    <n v="152615.29332098318"/>
    <n v="3"/>
    <x v="4"/>
  </r>
  <r>
    <s v="L0890"/>
    <s v="Arjun Mehta"/>
    <n v="43"/>
    <s v="M"/>
    <x v="2"/>
    <n v="1238465"/>
    <n v="714712"/>
    <n v="13.11"/>
    <n v="48"/>
    <n v="725"/>
    <x v="2"/>
    <x v="1"/>
    <x v="744"/>
    <x v="2"/>
    <n v="19212.976502023648"/>
    <n v="922222.87209713506"/>
    <n v="207510.87209713506"/>
    <n v="7"/>
    <x v="1"/>
  </r>
  <r>
    <s v="L0891"/>
    <s v="Rina Kapoor"/>
    <n v="55"/>
    <s v="F"/>
    <x v="1"/>
    <n v="412454"/>
    <n v="657908"/>
    <n v="13.58"/>
    <n v="48"/>
    <n v="663"/>
    <x v="1"/>
    <x v="1"/>
    <x v="745"/>
    <x v="3"/>
    <n v="17840.003380650127"/>
    <n v="856320.16227120603"/>
    <n v="198412.16227120603"/>
    <n v="1"/>
    <x v="0"/>
  </r>
  <r>
    <s v="L0892"/>
    <s v="Amit Yadav"/>
    <n v="29"/>
    <s v="M"/>
    <x v="0"/>
    <n v="1643599"/>
    <n v="566327"/>
    <n v="8.68"/>
    <n v="48"/>
    <n v="717"/>
    <x v="0"/>
    <x v="1"/>
    <x v="727"/>
    <x v="2"/>
    <n v="14007.176989091746"/>
    <n v="672344.49547640374"/>
    <n v="106017.49547640374"/>
    <n v="4"/>
    <x v="1"/>
  </r>
  <r>
    <s v="L0893"/>
    <s v="Meena George"/>
    <n v="57"/>
    <s v="M"/>
    <x v="1"/>
    <n v="997851"/>
    <n v="469062"/>
    <n v="14.07"/>
    <n v="72"/>
    <n v="766"/>
    <x v="3"/>
    <x v="1"/>
    <x v="746"/>
    <x v="2"/>
    <n v="9682.9598917819621"/>
    <n v="697173.11220830132"/>
    <n v="228111.11220830132"/>
    <n v="5"/>
    <x v="4"/>
  </r>
  <r>
    <s v="L0894"/>
    <s v="Vikram Das"/>
    <n v="49"/>
    <s v="F"/>
    <x v="2"/>
    <n v="864480"/>
    <n v="412011"/>
    <n v="8.16"/>
    <n v="120"/>
    <n v="754"/>
    <x v="2"/>
    <x v="1"/>
    <x v="168"/>
    <x v="2"/>
    <n v="5033.7314882869296"/>
    <n v="604047.77859443158"/>
    <n v="192036.77859443158"/>
    <n v="1"/>
    <x v="4"/>
  </r>
  <r>
    <s v="L0895"/>
    <s v="Amit Yadav"/>
    <n v="60"/>
    <s v="F"/>
    <x v="0"/>
    <n v="302076"/>
    <n v="225949"/>
    <n v="11.6"/>
    <n v="36"/>
    <n v="827"/>
    <x v="0"/>
    <x v="1"/>
    <x v="747"/>
    <x v="3"/>
    <n v="7461.6462414461603"/>
    <n v="268619.26469206176"/>
    <n v="42670.264692061755"/>
    <n v="6"/>
    <x v="2"/>
  </r>
  <r>
    <s v="L0896"/>
    <s v="Isha Verma"/>
    <n v="59"/>
    <s v="F"/>
    <x v="1"/>
    <n v="332236"/>
    <n v="1219120"/>
    <n v="8.81"/>
    <n v="96"/>
    <n v="707"/>
    <x v="2"/>
    <x v="1"/>
    <x v="748"/>
    <x v="2"/>
    <n v="17740.42287560894"/>
    <n v="1703080.5960584581"/>
    <n v="483960.59605845809"/>
    <n v="7"/>
    <x v="1"/>
  </r>
  <r>
    <s v="L0897"/>
    <s v="Sahil Gupta"/>
    <n v="34"/>
    <s v="M"/>
    <x v="1"/>
    <n v="403924"/>
    <n v="1617160"/>
    <n v="8.32"/>
    <n v="84"/>
    <n v="823"/>
    <x v="3"/>
    <x v="0"/>
    <x v="749"/>
    <x v="1"/>
    <n v="25463.995136887708"/>
    <n v="2138975.5914985677"/>
    <n v="521815.59149856772"/>
    <n v="7"/>
    <x v="2"/>
  </r>
  <r>
    <s v="L0898"/>
    <s v="Isha Verma"/>
    <n v="41"/>
    <s v="F"/>
    <x v="2"/>
    <n v="1487703"/>
    <n v="1879283"/>
    <n v="14.04"/>
    <n v="48"/>
    <n v="612"/>
    <x v="1"/>
    <x v="0"/>
    <x v="750"/>
    <x v="2"/>
    <n v="51391.898956096607"/>
    <n v="2466811.149892637"/>
    <n v="587528.14989263704"/>
    <n v="7"/>
    <x v="3"/>
  </r>
  <r>
    <s v="L0899"/>
    <s v="Amit Yadav"/>
    <n v="36"/>
    <s v="M"/>
    <x v="1"/>
    <n v="1957521"/>
    <n v="1415965"/>
    <n v="9.65"/>
    <n v="120"/>
    <n v="694"/>
    <x v="3"/>
    <x v="1"/>
    <x v="751"/>
    <x v="1"/>
    <n v="18438.728647089956"/>
    <n v="2212647.4376507946"/>
    <n v="796682.43765079463"/>
    <n v="3"/>
    <x v="0"/>
  </r>
  <r>
    <s v="L0900"/>
    <s v="Arjun Mehta"/>
    <n v="33"/>
    <s v="M"/>
    <x v="2"/>
    <n v="1825584"/>
    <n v="979503"/>
    <n v="10.8"/>
    <n v="48"/>
    <n v="615"/>
    <x v="3"/>
    <x v="1"/>
    <x v="752"/>
    <x v="1"/>
    <n v="25220.736991162925"/>
    <n v="1210595.3755758204"/>
    <n v="231092.37557582045"/>
    <n v="7"/>
    <x v="3"/>
  </r>
  <r>
    <s v="L0901"/>
    <s v="Sahil Gupta"/>
    <n v="43"/>
    <s v="F"/>
    <x v="0"/>
    <n v="1915133"/>
    <n v="1542733"/>
    <n v="14.35"/>
    <n v="72"/>
    <n v="626"/>
    <x v="0"/>
    <x v="1"/>
    <x v="753"/>
    <x v="1"/>
    <n v="32079.004771688975"/>
    <n v="2309688.343561606"/>
    <n v="766955.34356160602"/>
    <n v="4"/>
    <x v="3"/>
  </r>
  <r>
    <s v="L0902"/>
    <s v="Amit Yadav"/>
    <n v="33"/>
    <s v="F"/>
    <x v="0"/>
    <n v="1814943"/>
    <n v="478001"/>
    <n v="8.59"/>
    <n v="48"/>
    <n v="675"/>
    <x v="1"/>
    <x v="0"/>
    <x v="754"/>
    <x v="0"/>
    <n v="11802.234852980569"/>
    <n v="566507.27294306736"/>
    <n v="88506.272943067364"/>
    <n v="3"/>
    <x v="0"/>
  </r>
  <r>
    <s v="L0903"/>
    <s v="Sneha Pillai"/>
    <n v="52"/>
    <s v="M"/>
    <x v="2"/>
    <n v="1552812"/>
    <n v="746442"/>
    <n v="8.0299999999999994"/>
    <n v="120"/>
    <n v="685"/>
    <x v="2"/>
    <x v="0"/>
    <x v="592"/>
    <x v="0"/>
    <n v="9068.2381759865875"/>
    <n v="1088188.5811183904"/>
    <n v="341746.58111839043"/>
    <n v="3"/>
    <x v="0"/>
  </r>
  <r>
    <s v="L0904"/>
    <s v="Neha Sharma"/>
    <n v="27"/>
    <s v="M"/>
    <x v="0"/>
    <n v="757115"/>
    <n v="407467"/>
    <n v="9.6300000000000008"/>
    <n v="96"/>
    <n v="631"/>
    <x v="3"/>
    <x v="1"/>
    <x v="755"/>
    <x v="1"/>
    <n v="6103.485096212622"/>
    <n v="585934.56923641171"/>
    <n v="178467.56923641171"/>
    <n v="3"/>
    <x v="3"/>
  </r>
  <r>
    <s v="L0905"/>
    <s v="Meena George"/>
    <n v="42"/>
    <s v="M"/>
    <x v="1"/>
    <n v="1775300"/>
    <n v="1579273"/>
    <n v="12.07"/>
    <n v="96"/>
    <n v="713"/>
    <x v="0"/>
    <x v="1"/>
    <x v="756"/>
    <x v="2"/>
    <n v="25728.45258363519"/>
    <n v="2469931.448028978"/>
    <n v="890658.44802897796"/>
    <n v="7"/>
    <x v="1"/>
  </r>
  <r>
    <s v="L0906"/>
    <s v="Kiran Menon"/>
    <n v="59"/>
    <s v="F"/>
    <x v="2"/>
    <n v="993279"/>
    <n v="1276588"/>
    <n v="14.78"/>
    <n v="120"/>
    <n v="730"/>
    <x v="3"/>
    <x v="1"/>
    <x v="699"/>
    <x v="0"/>
    <n v="20424.177659173198"/>
    <n v="2450901.3191007837"/>
    <n v="1174313.3191007837"/>
    <n v="4"/>
    <x v="1"/>
  </r>
  <r>
    <s v="L0907"/>
    <s v="Rina Kapoor"/>
    <n v="51"/>
    <s v="M"/>
    <x v="1"/>
    <n v="1752103"/>
    <n v="1183279"/>
    <n v="9.8800000000000008"/>
    <n v="36"/>
    <n v="741"/>
    <x v="3"/>
    <x v="0"/>
    <x v="595"/>
    <x v="3"/>
    <n v="38114.454594865463"/>
    <n v="1372120.3654151566"/>
    <n v="188841.36541515659"/>
    <n v="4"/>
    <x v="1"/>
  </r>
  <r>
    <s v="L0908"/>
    <s v="Arjun Mehta"/>
    <n v="29"/>
    <s v="F"/>
    <x v="1"/>
    <n v="338913"/>
    <n v="279404"/>
    <n v="13.39"/>
    <n v="96"/>
    <n v="732"/>
    <x v="2"/>
    <x v="1"/>
    <x v="251"/>
    <x v="1"/>
    <n v="4757.1746519652061"/>
    <n v="456688.76658865978"/>
    <n v="177284.76658865978"/>
    <n v="7"/>
    <x v="1"/>
  </r>
  <r>
    <s v="L0909"/>
    <s v="Amit Yadav"/>
    <n v="49"/>
    <s v="M"/>
    <x v="1"/>
    <n v="805883"/>
    <n v="1793507"/>
    <n v="12.06"/>
    <n v="120"/>
    <n v="690"/>
    <x v="0"/>
    <x v="1"/>
    <x v="551"/>
    <x v="3"/>
    <n v="25793.861295003298"/>
    <n v="3095263.3554003956"/>
    <n v="1301756.3554003956"/>
    <n v="4"/>
    <x v="0"/>
  </r>
  <r>
    <s v="L0910"/>
    <s v="Deepika Joshi"/>
    <n v="27"/>
    <s v="M"/>
    <x v="1"/>
    <n v="354878"/>
    <n v="422988"/>
    <n v="11.25"/>
    <n v="96"/>
    <n v="776"/>
    <x v="2"/>
    <x v="1"/>
    <x v="203"/>
    <x v="1"/>
    <n v="6701.6457330273424"/>
    <n v="643357.99037062493"/>
    <n v="220369.99037062493"/>
    <n v="2"/>
    <x v="4"/>
  </r>
  <r>
    <s v="L0911"/>
    <s v="Rina Kapoor"/>
    <n v="43"/>
    <s v="F"/>
    <x v="1"/>
    <n v="1961366"/>
    <n v="1293672"/>
    <n v="14.82"/>
    <n v="48"/>
    <n v="784"/>
    <x v="1"/>
    <x v="1"/>
    <x v="757"/>
    <x v="0"/>
    <n v="35885.931135533021"/>
    <n v="1722524.6945055849"/>
    <n v="428852.69450558489"/>
    <n v="3"/>
    <x v="4"/>
  </r>
  <r>
    <s v="L0912"/>
    <s v="Priya Singh"/>
    <n v="45"/>
    <s v="F"/>
    <x v="1"/>
    <n v="1332677"/>
    <n v="1727960"/>
    <n v="8.66"/>
    <n v="120"/>
    <n v="721"/>
    <x v="2"/>
    <x v="0"/>
    <x v="302"/>
    <x v="2"/>
    <n v="21572.379527555306"/>
    <n v="2588685.5433066366"/>
    <n v="860725.54330663662"/>
    <n v="7"/>
    <x v="1"/>
  </r>
  <r>
    <s v="L0913"/>
    <s v="Rohan Nair"/>
    <n v="45"/>
    <s v="M"/>
    <x v="0"/>
    <n v="1934001"/>
    <n v="880552"/>
    <n v="13.87"/>
    <n v="60"/>
    <n v="712"/>
    <x v="1"/>
    <x v="0"/>
    <x v="758"/>
    <x v="2"/>
    <n v="20429.606791482107"/>
    <n v="1225776.4074889263"/>
    <n v="345224.40748892631"/>
    <n v="6"/>
    <x v="1"/>
  </r>
  <r>
    <s v="L0914"/>
    <s v="Tanya Rao"/>
    <n v="31"/>
    <s v="M"/>
    <x v="0"/>
    <n v="1867430"/>
    <n v="1955598"/>
    <n v="10.25"/>
    <n v="96"/>
    <n v="693"/>
    <x v="3"/>
    <x v="1"/>
    <x v="759"/>
    <x v="0"/>
    <n v="29933.88751326923"/>
    <n v="2873653.201273846"/>
    <n v="918055.20127384597"/>
    <n v="1"/>
    <x v="0"/>
  </r>
  <r>
    <s v="L0915"/>
    <s v="Vikram Das"/>
    <n v="59"/>
    <s v="M"/>
    <x v="0"/>
    <n v="763354"/>
    <n v="1759789"/>
    <n v="13.2"/>
    <n v="84"/>
    <n v="747"/>
    <x v="1"/>
    <x v="1"/>
    <x v="760"/>
    <x v="3"/>
    <n v="32205.672224736678"/>
    <n v="2705276.466877881"/>
    <n v="945487.46687788097"/>
    <n v="3"/>
    <x v="1"/>
  </r>
  <r>
    <s v="L0916"/>
    <s v="Meena George"/>
    <n v="32"/>
    <s v="M"/>
    <x v="2"/>
    <n v="407275"/>
    <n v="302391"/>
    <n v="8.25"/>
    <n v="72"/>
    <n v="754"/>
    <x v="0"/>
    <x v="1"/>
    <x v="761"/>
    <x v="3"/>
    <n v="5338.8827739613625"/>
    <n v="384399.5597252181"/>
    <n v="82008.559725218103"/>
    <n v="7"/>
    <x v="4"/>
  </r>
  <r>
    <s v="L0917"/>
    <s v="Rohan Nair"/>
    <n v="30"/>
    <s v="M"/>
    <x v="2"/>
    <n v="1903036"/>
    <n v="310411"/>
    <n v="11.09"/>
    <n v="48"/>
    <n v="794"/>
    <x v="0"/>
    <x v="1"/>
    <x v="762"/>
    <x v="3"/>
    <n v="8036.3083203082979"/>
    <n v="385742.79937479831"/>
    <n v="75331.799374798313"/>
    <n v="7"/>
    <x v="4"/>
  </r>
  <r>
    <s v="L0918"/>
    <s v="Neha Sharma"/>
    <n v="38"/>
    <s v="F"/>
    <x v="0"/>
    <n v="935931"/>
    <n v="1888826"/>
    <n v="8.31"/>
    <n v="60"/>
    <n v="651"/>
    <x v="2"/>
    <x v="1"/>
    <x v="763"/>
    <x v="2"/>
    <n v="38579.422709348022"/>
    <n v="2314765.3625608813"/>
    <n v="425939.3625608813"/>
    <n v="4"/>
    <x v="0"/>
  </r>
  <r>
    <s v="L0919"/>
    <s v="Aarav Patel"/>
    <n v="31"/>
    <s v="F"/>
    <x v="2"/>
    <n v="385176"/>
    <n v="694387"/>
    <n v="10.91"/>
    <n v="72"/>
    <n v="762"/>
    <x v="1"/>
    <x v="1"/>
    <x v="764"/>
    <x v="3"/>
    <n v="13185.029986974943"/>
    <n v="949322.15906219592"/>
    <n v="254935.15906219592"/>
    <n v="3"/>
    <x v="4"/>
  </r>
  <r>
    <s v="L0920"/>
    <s v="Isha Verma"/>
    <n v="36"/>
    <s v="M"/>
    <x v="2"/>
    <n v="1243800"/>
    <n v="592700"/>
    <n v="9.6999999999999993"/>
    <n v="72"/>
    <n v="767"/>
    <x v="1"/>
    <x v="0"/>
    <x v="765"/>
    <x v="2"/>
    <n v="10890.809658478442"/>
    <n v="784138.29541044775"/>
    <n v="191438.29541044775"/>
    <n v="5"/>
    <x v="4"/>
  </r>
  <r>
    <s v="L0921"/>
    <s v="Rohit Khanna"/>
    <n v="41"/>
    <s v="F"/>
    <x v="2"/>
    <n v="534434"/>
    <n v="642159"/>
    <n v="9.67"/>
    <n v="60"/>
    <n v="786"/>
    <x v="0"/>
    <x v="0"/>
    <x v="766"/>
    <x v="2"/>
    <n v="13539.945453244132"/>
    <n v="812396.72719464789"/>
    <n v="170237.72719464789"/>
    <n v="5"/>
    <x v="4"/>
  </r>
  <r>
    <s v="L0922"/>
    <s v="Isha Verma"/>
    <n v="51"/>
    <s v="M"/>
    <x v="2"/>
    <n v="1448892"/>
    <n v="1406875"/>
    <n v="13.81"/>
    <n v="60"/>
    <n v="783"/>
    <x v="3"/>
    <x v="0"/>
    <x v="586"/>
    <x v="0"/>
    <n v="32597.104085392955"/>
    <n v="1955826.2451235773"/>
    <n v="548951.2451235773"/>
    <n v="2"/>
    <x v="4"/>
  </r>
  <r>
    <s v="L0923"/>
    <s v="Priya Singh"/>
    <n v="33"/>
    <s v="M"/>
    <x v="0"/>
    <n v="305359"/>
    <n v="1264230"/>
    <n v="10.25"/>
    <n v="48"/>
    <n v="647"/>
    <x v="1"/>
    <x v="0"/>
    <x v="244"/>
    <x v="2"/>
    <n v="32216.136786535069"/>
    <n v="1546374.5657536834"/>
    <n v="282144.56575368345"/>
    <n v="1"/>
    <x v="3"/>
  </r>
  <r>
    <s v="L0924"/>
    <s v="Rohan Nair"/>
    <n v="59"/>
    <s v="F"/>
    <x v="0"/>
    <n v="1944488"/>
    <n v="274532"/>
    <n v="9.91"/>
    <n v="120"/>
    <n v="717"/>
    <x v="3"/>
    <x v="1"/>
    <x v="767"/>
    <x v="0"/>
    <n v="3614.2923391804343"/>
    <n v="433715.0807016521"/>
    <n v="159183.0807016521"/>
    <n v="7"/>
    <x v="1"/>
  </r>
  <r>
    <s v="L0925"/>
    <s v="Rohan Nair"/>
    <n v="27"/>
    <s v="M"/>
    <x v="2"/>
    <n v="1294704"/>
    <n v="1649794"/>
    <n v="14.78"/>
    <n v="36"/>
    <n v="674"/>
    <x v="3"/>
    <x v="0"/>
    <x v="673"/>
    <x v="3"/>
    <n v="57013.070512220329"/>
    <n v="2052470.5384399318"/>
    <n v="402676.53843993181"/>
    <n v="3"/>
    <x v="0"/>
  </r>
  <r>
    <s v="L0926"/>
    <s v="Isha Verma"/>
    <n v="30"/>
    <s v="M"/>
    <x v="1"/>
    <n v="721133"/>
    <n v="779079"/>
    <n v="14.85"/>
    <n v="96"/>
    <n v="750"/>
    <x v="2"/>
    <x v="0"/>
    <x v="768"/>
    <x v="3"/>
    <n v="13913.346722498367"/>
    <n v="1335681.2853598432"/>
    <n v="556602.28535984317"/>
    <n v="6"/>
    <x v="4"/>
  </r>
  <r>
    <s v="L0927"/>
    <s v="Rohan Nair"/>
    <n v="46"/>
    <s v="F"/>
    <x v="2"/>
    <n v="1291181"/>
    <n v="1602121"/>
    <n v="9.92"/>
    <n v="36"/>
    <n v="628"/>
    <x v="1"/>
    <x v="0"/>
    <x v="769"/>
    <x v="0"/>
    <n v="51635.784178715374"/>
    <n v="1858888.2304337535"/>
    <n v="256767.23043375346"/>
    <n v="2"/>
    <x v="3"/>
  </r>
  <r>
    <s v="L0928"/>
    <s v="Kiran Menon"/>
    <n v="29"/>
    <s v="F"/>
    <x v="1"/>
    <n v="1734344"/>
    <n v="1166271"/>
    <n v="12.2"/>
    <n v="60"/>
    <n v="683"/>
    <x v="0"/>
    <x v="1"/>
    <x v="471"/>
    <x v="0"/>
    <n v="26061.079142682422"/>
    <n v="1563664.7485609453"/>
    <n v="397393.74856094527"/>
    <n v="3"/>
    <x v="0"/>
  </r>
  <r>
    <s v="L0929"/>
    <s v="Rohit Khanna"/>
    <n v="34"/>
    <s v="F"/>
    <x v="1"/>
    <n v="488931"/>
    <n v="295937"/>
    <n v="9.82"/>
    <n v="36"/>
    <n v="720"/>
    <x v="3"/>
    <x v="1"/>
    <x v="770"/>
    <x v="2"/>
    <n v="9524.0647875775139"/>
    <n v="342866.33235279052"/>
    <n v="46929.332352790516"/>
    <n v="5"/>
    <x v="1"/>
  </r>
  <r>
    <s v="L0930"/>
    <s v="Vikram Das"/>
    <n v="27"/>
    <s v="F"/>
    <x v="2"/>
    <n v="1426599"/>
    <n v="219684"/>
    <n v="9.7799999999999994"/>
    <n v="60"/>
    <n v="769"/>
    <x v="1"/>
    <x v="1"/>
    <x v="771"/>
    <x v="2"/>
    <n v="4643.8907808197819"/>
    <n v="278633.4468491869"/>
    <n v="58949.446849186905"/>
    <n v="3"/>
    <x v="4"/>
  </r>
  <r>
    <s v="L0931"/>
    <s v="Tanya Rao"/>
    <n v="25"/>
    <s v="F"/>
    <x v="2"/>
    <n v="1636538"/>
    <n v="1490878"/>
    <n v="13.8"/>
    <n v="72"/>
    <n v="722"/>
    <x v="0"/>
    <x v="1"/>
    <x v="772"/>
    <x v="0"/>
    <n v="30561.208121375072"/>
    <n v="2200406.9847390051"/>
    <n v="709528.9847390051"/>
    <n v="2"/>
    <x v="1"/>
  </r>
  <r>
    <s v="L0932"/>
    <s v="Isha Verma"/>
    <n v="39"/>
    <s v="F"/>
    <x v="2"/>
    <n v="494117"/>
    <n v="1179096"/>
    <n v="12.55"/>
    <n v="48"/>
    <n v="727"/>
    <x v="0"/>
    <x v="1"/>
    <x v="559"/>
    <x v="0"/>
    <n v="31369.48195589384"/>
    <n v="1505735.1338829044"/>
    <n v="326639.13388290443"/>
    <n v="3"/>
    <x v="1"/>
  </r>
  <r>
    <s v="L0933"/>
    <s v="Rina Kapoor"/>
    <n v="57"/>
    <s v="F"/>
    <x v="1"/>
    <n v="1529742"/>
    <n v="875212"/>
    <n v="7.96"/>
    <n v="60"/>
    <n v="682"/>
    <x v="1"/>
    <x v="1"/>
    <x v="773"/>
    <x v="3"/>
    <n v="17729.393830042547"/>
    <n v="1063763.6298025528"/>
    <n v="188551.62980255275"/>
    <n v="6"/>
    <x v="0"/>
  </r>
  <r>
    <s v="L0934"/>
    <s v="Aditya Sharma"/>
    <n v="29"/>
    <s v="F"/>
    <x v="2"/>
    <n v="915547"/>
    <n v="928405"/>
    <n v="8.65"/>
    <n v="96"/>
    <n v="762"/>
    <x v="3"/>
    <x v="1"/>
    <x v="774"/>
    <x v="0"/>
    <n v="13433.348223187959"/>
    <n v="1289601.429426044"/>
    <n v="361196.42942604399"/>
    <n v="2"/>
    <x v="4"/>
  </r>
  <r>
    <s v="L0935"/>
    <s v="Aditya Sharma"/>
    <n v="55"/>
    <s v="F"/>
    <x v="2"/>
    <n v="844204"/>
    <n v="640031"/>
    <n v="14.63"/>
    <n v="48"/>
    <n v="764"/>
    <x v="0"/>
    <x v="0"/>
    <x v="775"/>
    <x v="0"/>
    <n v="17692.730818785003"/>
    <n v="849251.07930168021"/>
    <n v="209220.07930168021"/>
    <n v="1"/>
    <x v="4"/>
  </r>
  <r>
    <s v="L0936"/>
    <s v="Meena George"/>
    <n v="51"/>
    <s v="F"/>
    <x v="1"/>
    <n v="447542"/>
    <n v="1096589"/>
    <n v="9.0399999999999991"/>
    <n v="96"/>
    <n v="806"/>
    <x v="1"/>
    <x v="1"/>
    <x v="776"/>
    <x v="2"/>
    <n v="16088.015757491514"/>
    <n v="1544449.5127191853"/>
    <n v="447860.51271918532"/>
    <n v="2"/>
    <x v="2"/>
  </r>
  <r>
    <s v="L0937"/>
    <s v="Isha Verma"/>
    <n v="29"/>
    <s v="M"/>
    <x v="0"/>
    <n v="1088878"/>
    <n v="242046"/>
    <n v="14.11"/>
    <n v="36"/>
    <n v="658"/>
    <x v="2"/>
    <x v="1"/>
    <x v="777"/>
    <x v="1"/>
    <n v="8285.4960048296598"/>
    <n v="298277.85617386777"/>
    <n v="56231.856173867767"/>
    <n v="7"/>
    <x v="0"/>
  </r>
  <r>
    <s v="L0938"/>
    <s v="Tanya Rao"/>
    <n v="46"/>
    <s v="F"/>
    <x v="1"/>
    <n v="1311631"/>
    <n v="598883"/>
    <n v="11.59"/>
    <n v="96"/>
    <n v="691"/>
    <x v="0"/>
    <x v="1"/>
    <x v="778"/>
    <x v="0"/>
    <n v="9599.1438321484147"/>
    <n v="921517.80788624776"/>
    <n v="322634.80788624776"/>
    <n v="4"/>
    <x v="0"/>
  </r>
  <r>
    <s v="L0939"/>
    <s v="Rina Kapoor"/>
    <n v="59"/>
    <s v="M"/>
    <x v="0"/>
    <n v="1570933"/>
    <n v="1802905"/>
    <n v="11.61"/>
    <n v="36"/>
    <n v="635"/>
    <x v="1"/>
    <x v="1"/>
    <x v="779"/>
    <x v="0"/>
    <n v="59546.970555683823"/>
    <n v="2143690.9400046174"/>
    <n v="340785.94000461744"/>
    <n v="6"/>
    <x v="3"/>
  </r>
  <r>
    <s v="L0940"/>
    <s v="Sneha Pillai"/>
    <n v="25"/>
    <s v="M"/>
    <x v="0"/>
    <n v="341361"/>
    <n v="1066092"/>
    <n v="11.2"/>
    <n v="72"/>
    <n v="623"/>
    <x v="3"/>
    <x v="1"/>
    <x v="780"/>
    <x v="2"/>
    <n v="20401.455260870338"/>
    <n v="1468904.7787826643"/>
    <n v="402812.77878266433"/>
    <n v="1"/>
    <x v="3"/>
  </r>
  <r>
    <s v="L0941"/>
    <s v="Arjun Mehta"/>
    <n v="59"/>
    <s v="M"/>
    <x v="1"/>
    <n v="1619394"/>
    <n v="1110036"/>
    <n v="9.18"/>
    <n v="96"/>
    <n v="722"/>
    <x v="1"/>
    <x v="0"/>
    <x v="781"/>
    <x v="0"/>
    <n v="16366.093045560561"/>
    <n v="1571144.9323738138"/>
    <n v="461108.93237381382"/>
    <n v="5"/>
    <x v="1"/>
  </r>
  <r>
    <s v="L0942"/>
    <s v="Sneha Pillai"/>
    <n v="41"/>
    <s v="F"/>
    <x v="1"/>
    <n v="868692"/>
    <n v="1252787"/>
    <n v="7.89"/>
    <n v="48"/>
    <n v="672"/>
    <x v="3"/>
    <x v="0"/>
    <x v="782"/>
    <x v="1"/>
    <n v="30519.54628007377"/>
    <n v="1464938.2214435409"/>
    <n v="212151.22144354088"/>
    <n v="2"/>
    <x v="0"/>
  </r>
  <r>
    <s v="L0943"/>
    <s v="Meena George"/>
    <n v="36"/>
    <s v="F"/>
    <x v="2"/>
    <n v="1515697"/>
    <n v="1221299"/>
    <n v="11.63"/>
    <n v="72"/>
    <n v="640"/>
    <x v="2"/>
    <x v="1"/>
    <x v="1"/>
    <x v="1"/>
    <n v="23642.293828770056"/>
    <n v="1702245.155671444"/>
    <n v="480946.15567144402"/>
    <n v="7"/>
    <x v="3"/>
  </r>
  <r>
    <s v="L0944"/>
    <s v="Kiran Menon"/>
    <n v="50"/>
    <s v="M"/>
    <x v="2"/>
    <n v="1656879"/>
    <n v="1957308"/>
    <n v="9.94"/>
    <n v="48"/>
    <n v="745"/>
    <x v="2"/>
    <x v="0"/>
    <x v="783"/>
    <x v="0"/>
    <n v="49586.007344594611"/>
    <n v="2380128.3525405414"/>
    <n v="422820.35254054144"/>
    <n v="4"/>
    <x v="1"/>
  </r>
  <r>
    <s v="L0945"/>
    <s v="Meena George"/>
    <n v="35"/>
    <s v="M"/>
    <x v="1"/>
    <n v="470323"/>
    <n v="1296913"/>
    <n v="13.24"/>
    <n v="36"/>
    <n v="823"/>
    <x v="3"/>
    <x v="0"/>
    <x v="784"/>
    <x v="3"/>
    <n v="43848.196865111546"/>
    <n v="1578535.0871440156"/>
    <n v="281622.08714401559"/>
    <n v="3"/>
    <x v="2"/>
  </r>
  <r>
    <s v="L0946"/>
    <s v="Rohan Nair"/>
    <n v="42"/>
    <s v="F"/>
    <x v="0"/>
    <n v="1609941"/>
    <n v="1203929"/>
    <n v="8.06"/>
    <n v="72"/>
    <n v="829"/>
    <x v="0"/>
    <x v="1"/>
    <x v="785"/>
    <x v="2"/>
    <n v="21144.06518741139"/>
    <n v="1522372.69349362"/>
    <n v="318443.69349362003"/>
    <n v="5"/>
    <x v="2"/>
  </r>
  <r>
    <s v="L0947"/>
    <s v="Isha Verma"/>
    <n v="36"/>
    <s v="M"/>
    <x v="0"/>
    <n v="1640152"/>
    <n v="736698"/>
    <n v="11.85"/>
    <n v="48"/>
    <n v="695"/>
    <x v="3"/>
    <x v="1"/>
    <x v="786"/>
    <x v="3"/>
    <n v="19345.871403287296"/>
    <n v="928601.8273577902"/>
    <n v="191903.8273577902"/>
    <n v="3"/>
    <x v="0"/>
  </r>
  <r>
    <s v="L0948"/>
    <s v="Priya Singh"/>
    <n v="40"/>
    <s v="M"/>
    <x v="2"/>
    <n v="959714"/>
    <n v="1095984"/>
    <n v="10.83"/>
    <n v="48"/>
    <n v="712"/>
    <x v="0"/>
    <x v="1"/>
    <x v="787"/>
    <x v="3"/>
    <n v="28235.883081604836"/>
    <n v="1355322.387917032"/>
    <n v="259338.387917032"/>
    <n v="4"/>
    <x v="1"/>
  </r>
  <r>
    <s v="L0949"/>
    <s v="Isha Verma"/>
    <n v="25"/>
    <s v="M"/>
    <x v="0"/>
    <n v="1081138"/>
    <n v="1625360"/>
    <n v="10.44"/>
    <n v="120"/>
    <n v="703"/>
    <x v="3"/>
    <x v="1"/>
    <x v="345"/>
    <x v="1"/>
    <n v="21877.224546400663"/>
    <n v="2625266.9455680796"/>
    <n v="999906.94556807959"/>
    <n v="4"/>
    <x v="1"/>
  </r>
  <r>
    <s v="L0950"/>
    <s v="Rohit Khanna"/>
    <n v="49"/>
    <s v="M"/>
    <x v="1"/>
    <n v="1811768"/>
    <n v="1562984"/>
    <n v="9.9499999999999993"/>
    <n v="48"/>
    <n v="777"/>
    <x v="0"/>
    <x v="0"/>
    <x v="788"/>
    <x v="1"/>
    <n v="39603.791964908269"/>
    <n v="1900982.0143155968"/>
    <n v="337998.01431559678"/>
    <n v="4"/>
    <x v="4"/>
  </r>
  <r>
    <s v="L0951"/>
    <s v="Raj Kumar"/>
    <n v="52"/>
    <s v="F"/>
    <x v="2"/>
    <n v="835711"/>
    <n v="1203742"/>
    <n v="8.65"/>
    <n v="84"/>
    <n v="744"/>
    <x v="1"/>
    <x v="1"/>
    <x v="789"/>
    <x v="3"/>
    <n v="19153.966773920172"/>
    <n v="1608933.2090092944"/>
    <n v="405191.2090092944"/>
    <n v="3"/>
    <x v="1"/>
  </r>
  <r>
    <s v="L0952"/>
    <s v="Tanya Rao"/>
    <n v="39"/>
    <s v="F"/>
    <x v="2"/>
    <n v="1240393"/>
    <n v="640254"/>
    <n v="9.4499999999999993"/>
    <n v="120"/>
    <n v="733"/>
    <x v="3"/>
    <x v="0"/>
    <x v="190"/>
    <x v="0"/>
    <n v="8267.2132707533492"/>
    <n v="992065.59249040193"/>
    <n v="351811.59249040193"/>
    <n v="7"/>
    <x v="1"/>
  </r>
  <r>
    <s v="L0953"/>
    <s v="Arjun Mehta"/>
    <n v="41"/>
    <s v="M"/>
    <x v="1"/>
    <n v="1962512"/>
    <n v="325569"/>
    <n v="14.6"/>
    <n v="60"/>
    <n v="730"/>
    <x v="0"/>
    <x v="1"/>
    <x v="463"/>
    <x v="2"/>
    <n v="7677.0738123666761"/>
    <n v="460624.42874200054"/>
    <n v="135055.42874200054"/>
    <n v="4"/>
    <x v="1"/>
  </r>
  <r>
    <s v="L0954"/>
    <s v="Vikram Das"/>
    <n v="48"/>
    <s v="M"/>
    <x v="1"/>
    <n v="504543"/>
    <n v="1167133"/>
    <n v="7.95"/>
    <n v="96"/>
    <n v="644"/>
    <x v="1"/>
    <x v="1"/>
    <x v="790"/>
    <x v="0"/>
    <n v="16469.739756184368"/>
    <n v="1581095.0165936993"/>
    <n v="413962.01659369934"/>
    <n v="4"/>
    <x v="3"/>
  </r>
  <r>
    <s v="L0955"/>
    <s v="Mohit Jain"/>
    <n v="51"/>
    <s v="F"/>
    <x v="0"/>
    <n v="355320"/>
    <n v="1828408"/>
    <n v="12.71"/>
    <n v="120"/>
    <n v="699"/>
    <x v="3"/>
    <x v="1"/>
    <x v="791"/>
    <x v="0"/>
    <n v="26988.240966689209"/>
    <n v="3238588.9160027052"/>
    <n v="1410180.9160027052"/>
    <n v="6"/>
    <x v="0"/>
  </r>
  <r>
    <s v="L0956"/>
    <s v="Mohit Jain"/>
    <n v="32"/>
    <s v="F"/>
    <x v="1"/>
    <n v="694017"/>
    <n v="751065"/>
    <n v="10.79"/>
    <n v="120"/>
    <n v="673"/>
    <x v="0"/>
    <x v="1"/>
    <x v="792"/>
    <x v="3"/>
    <n v="10256.84261131078"/>
    <n v="1230821.1133572937"/>
    <n v="479756.11335729365"/>
    <n v="3"/>
    <x v="0"/>
  </r>
  <r>
    <s v="L0957"/>
    <s v="Rohit Khanna"/>
    <n v="55"/>
    <s v="M"/>
    <x v="0"/>
    <n v="1087940"/>
    <n v="522751"/>
    <n v="14.39"/>
    <n v="120"/>
    <n v="828"/>
    <x v="1"/>
    <x v="1"/>
    <x v="793"/>
    <x v="1"/>
    <n v="8239.596618494912"/>
    <n v="988751.59421938949"/>
    <n v="466000.59421938949"/>
    <n v="2"/>
    <x v="2"/>
  </r>
  <r>
    <s v="L0958"/>
    <s v="Neha Sharma"/>
    <n v="47"/>
    <s v="F"/>
    <x v="1"/>
    <n v="327749"/>
    <n v="563994"/>
    <n v="11.92"/>
    <n v="60"/>
    <n v="718"/>
    <x v="0"/>
    <x v="1"/>
    <x v="748"/>
    <x v="0"/>
    <n v="12522.946569545897"/>
    <n v="751376.79417275381"/>
    <n v="187382.79417275381"/>
    <n v="7"/>
    <x v="1"/>
  </r>
  <r>
    <s v="L0959"/>
    <s v="Rohan Nair"/>
    <n v="45"/>
    <s v="F"/>
    <x v="0"/>
    <n v="1418691"/>
    <n v="471527"/>
    <n v="11.45"/>
    <n v="48"/>
    <n v="823"/>
    <x v="2"/>
    <x v="1"/>
    <x v="573"/>
    <x v="2"/>
    <n v="12290.162602891372"/>
    <n v="589927.80493878585"/>
    <n v="118400.80493878585"/>
    <n v="4"/>
    <x v="2"/>
  </r>
  <r>
    <s v="L0960"/>
    <s v="Aditya Sharma"/>
    <n v="43"/>
    <s v="F"/>
    <x v="0"/>
    <n v="440661"/>
    <n v="269826"/>
    <n v="9.81"/>
    <n v="36"/>
    <n v="709"/>
    <x v="2"/>
    <x v="1"/>
    <x v="794"/>
    <x v="0"/>
    <n v="8682.4763695622314"/>
    <n v="312569.14930424036"/>
    <n v="42743.14930424036"/>
    <n v="1"/>
    <x v="1"/>
  </r>
  <r>
    <s v="L0961"/>
    <s v="Meena George"/>
    <n v="55"/>
    <s v="F"/>
    <x v="2"/>
    <n v="1647930"/>
    <n v="870376"/>
    <n v="9.6999999999999993"/>
    <n v="120"/>
    <n v="739"/>
    <x v="0"/>
    <x v="1"/>
    <x v="795"/>
    <x v="2"/>
    <n v="11357.978506410194"/>
    <n v="1362957.4207692232"/>
    <n v="492581.42076922324"/>
    <n v="5"/>
    <x v="1"/>
  </r>
  <r>
    <s v="L0962"/>
    <s v="Isha Verma"/>
    <n v="47"/>
    <s v="M"/>
    <x v="1"/>
    <n v="1193117"/>
    <n v="300402"/>
    <n v="11.97"/>
    <n v="72"/>
    <n v="705"/>
    <x v="2"/>
    <x v="0"/>
    <x v="796"/>
    <x v="2"/>
    <n v="5868.2314801326002"/>
    <n v="422512.6665695472"/>
    <n v="122110.6665695472"/>
    <n v="4"/>
    <x v="1"/>
  </r>
  <r>
    <s v="L0963"/>
    <s v="Arjun Mehta"/>
    <n v="29"/>
    <s v="F"/>
    <x v="0"/>
    <n v="1919624"/>
    <n v="1182732"/>
    <n v="11.61"/>
    <n v="120"/>
    <n v="689"/>
    <x v="2"/>
    <x v="1"/>
    <x v="481"/>
    <x v="0"/>
    <n v="16703.190277530921"/>
    <n v="2004382.8333037104"/>
    <n v="821650.83330371045"/>
    <n v="4"/>
    <x v="0"/>
  </r>
  <r>
    <s v="L0964"/>
    <s v="Neha Sharma"/>
    <n v="34"/>
    <s v="M"/>
    <x v="0"/>
    <n v="691881"/>
    <n v="1150557"/>
    <n v="8.6199999999999992"/>
    <n v="84"/>
    <n v="819"/>
    <x v="2"/>
    <x v="1"/>
    <x v="797"/>
    <x v="3"/>
    <n v="18290.285409705877"/>
    <n v="1536383.9744152937"/>
    <n v="385826.97441529366"/>
    <n v="7"/>
    <x v="2"/>
  </r>
  <r>
    <s v="L0965"/>
    <s v="Mohit Jain"/>
    <n v="50"/>
    <s v="M"/>
    <x v="2"/>
    <n v="759902"/>
    <n v="442175"/>
    <n v="12.74"/>
    <n v="60"/>
    <n v="847"/>
    <x v="1"/>
    <x v="1"/>
    <x v="798"/>
    <x v="0"/>
    <n v="10002.086097336134"/>
    <n v="600125.16584016802"/>
    <n v="157950.16584016802"/>
    <n v="5"/>
    <x v="2"/>
  </r>
  <r>
    <s v="L0966"/>
    <s v="Deepika Joshi"/>
    <n v="54"/>
    <s v="M"/>
    <x v="1"/>
    <n v="602336"/>
    <n v="1387822"/>
    <n v="14.65"/>
    <n v="96"/>
    <n v="793"/>
    <x v="0"/>
    <x v="0"/>
    <x v="433"/>
    <x v="1"/>
    <n v="24624.752217818419"/>
    <n v="2363976.2129105683"/>
    <n v="976154.21291056834"/>
    <n v="3"/>
    <x v="4"/>
  </r>
  <r>
    <s v="L0967"/>
    <s v="Tanya Rao"/>
    <n v="28"/>
    <s v="M"/>
    <x v="2"/>
    <n v="1130660"/>
    <n v="393571"/>
    <n v="10.45"/>
    <n v="60"/>
    <n v="672"/>
    <x v="1"/>
    <x v="1"/>
    <x v="799"/>
    <x v="0"/>
    <n v="8449.6307837532786"/>
    <n v="506977.84702519671"/>
    <n v="113406.84702519671"/>
    <n v="5"/>
    <x v="0"/>
  </r>
  <r>
    <s v="L0968"/>
    <s v="Raj Kumar"/>
    <n v="52"/>
    <s v="F"/>
    <x v="1"/>
    <n v="1320831"/>
    <n v="1898888"/>
    <n v="13.5"/>
    <n v="36"/>
    <n v="616"/>
    <x v="1"/>
    <x v="1"/>
    <x v="800"/>
    <x v="0"/>
    <n v="64439.309889351804"/>
    <n v="2319815.156016665"/>
    <n v="420927.15601666505"/>
    <n v="7"/>
    <x v="3"/>
  </r>
  <r>
    <s v="L0969"/>
    <s v="Aditya Sharma"/>
    <n v="27"/>
    <s v="F"/>
    <x v="0"/>
    <n v="387050"/>
    <n v="1765381"/>
    <n v="13.66"/>
    <n v="72"/>
    <n v="671"/>
    <x v="2"/>
    <x v="1"/>
    <x v="801"/>
    <x v="3"/>
    <n v="36056.357750360396"/>
    <n v="2596057.7580259484"/>
    <n v="830676.75802594842"/>
    <n v="5"/>
    <x v="0"/>
  </r>
  <r>
    <s v="L0970"/>
    <s v="Sahil Gupta"/>
    <n v="28"/>
    <s v="M"/>
    <x v="0"/>
    <n v="1865585"/>
    <n v="1035197"/>
    <n v="7.88"/>
    <n v="120"/>
    <n v="766"/>
    <x v="3"/>
    <x v="1"/>
    <x v="271"/>
    <x v="0"/>
    <n v="12494.25254110067"/>
    <n v="1499310.3049320804"/>
    <n v="464113.30493208044"/>
    <n v="3"/>
    <x v="4"/>
  </r>
  <r>
    <s v="L0971"/>
    <s v="Arjun Mehta"/>
    <n v="48"/>
    <s v="F"/>
    <x v="2"/>
    <n v="565161"/>
    <n v="858233"/>
    <n v="14.97"/>
    <n v="72"/>
    <n v="681"/>
    <x v="0"/>
    <x v="1"/>
    <x v="416"/>
    <x v="0"/>
    <n v="18133.368851784275"/>
    <n v="1305602.5573284677"/>
    <n v="447369.55732846772"/>
    <n v="2"/>
    <x v="0"/>
  </r>
  <r>
    <s v="L0972"/>
    <s v="Aditya Sharma"/>
    <n v="45"/>
    <s v="M"/>
    <x v="1"/>
    <n v="1361072"/>
    <n v="1891612"/>
    <n v="8.1"/>
    <n v="120"/>
    <n v="837"/>
    <x v="0"/>
    <x v="0"/>
    <x v="802"/>
    <x v="1"/>
    <n v="23050.548336990913"/>
    <n v="2766065.8004389093"/>
    <n v="874453.80043890933"/>
    <n v="4"/>
    <x v="2"/>
  </r>
  <r>
    <s v="L0973"/>
    <s v="Isha Verma"/>
    <n v="59"/>
    <s v="M"/>
    <x v="2"/>
    <n v="1435851"/>
    <n v="1853625"/>
    <n v="14.15"/>
    <n v="84"/>
    <n v="741"/>
    <x v="3"/>
    <x v="1"/>
    <x v="408"/>
    <x v="2"/>
    <n v="34890.731211716942"/>
    <n v="2930821.4217842231"/>
    <n v="1077196.4217842231"/>
    <n v="7"/>
    <x v="1"/>
  </r>
  <r>
    <s v="L0974"/>
    <s v="Isha Verma"/>
    <n v="34"/>
    <s v="M"/>
    <x v="2"/>
    <n v="429231"/>
    <n v="1886012"/>
    <n v="10.28"/>
    <n v="60"/>
    <n v="797"/>
    <x v="1"/>
    <x v="1"/>
    <x v="803"/>
    <x v="2"/>
    <n v="40332.51409280338"/>
    <n v="2419950.8455682029"/>
    <n v="533938.8455682029"/>
    <n v="6"/>
    <x v="4"/>
  </r>
  <r>
    <s v="L0975"/>
    <s v="Aarav Patel"/>
    <n v="26"/>
    <s v="F"/>
    <x v="0"/>
    <n v="1911488"/>
    <n v="1704190"/>
    <n v="12.29"/>
    <n v="72"/>
    <n v="703"/>
    <x v="2"/>
    <x v="1"/>
    <x v="804"/>
    <x v="1"/>
    <n v="33574.805501265793"/>
    <n v="2417385.9960911372"/>
    <n v="713195.99609113717"/>
    <n v="7"/>
    <x v="1"/>
  </r>
  <r>
    <s v="L0976"/>
    <s v="Deepika Joshi"/>
    <n v="30"/>
    <s v="F"/>
    <x v="1"/>
    <n v="1292027"/>
    <n v="987220"/>
    <n v="10.65"/>
    <n v="36"/>
    <n v="709"/>
    <x v="3"/>
    <x v="1"/>
    <x v="805"/>
    <x v="0"/>
    <n v="32156.933106810506"/>
    <n v="1157649.5918451783"/>
    <n v="170429.59184517828"/>
    <n v="6"/>
    <x v="1"/>
  </r>
  <r>
    <s v="L0977"/>
    <s v="Arjun Mehta"/>
    <n v="45"/>
    <s v="F"/>
    <x v="2"/>
    <n v="771046"/>
    <n v="1509437"/>
    <n v="8.19"/>
    <n v="60"/>
    <n v="668"/>
    <x v="0"/>
    <x v="0"/>
    <x v="806"/>
    <x v="3"/>
    <n v="30743.37864280845"/>
    <n v="1844602.7185685069"/>
    <n v="335165.71856850688"/>
    <n v="6"/>
    <x v="0"/>
  </r>
  <r>
    <s v="L0978"/>
    <s v="Amit Yadav"/>
    <n v="33"/>
    <s v="F"/>
    <x v="2"/>
    <n v="850434"/>
    <n v="343409"/>
    <n v="13.87"/>
    <n v="96"/>
    <n v="789"/>
    <x v="3"/>
    <x v="0"/>
    <x v="531"/>
    <x v="3"/>
    <n v="5940.1512092789035"/>
    <n v="570254.51609077468"/>
    <n v="226845.51609077468"/>
    <n v="4"/>
    <x v="4"/>
  </r>
  <r>
    <s v="L0979"/>
    <s v="Arjun Mehta"/>
    <n v="28"/>
    <s v="F"/>
    <x v="1"/>
    <n v="998265"/>
    <n v="433490"/>
    <n v="13.11"/>
    <n v="36"/>
    <n v="843"/>
    <x v="0"/>
    <x v="0"/>
    <x v="807"/>
    <x v="2"/>
    <n v="14628.96937564867"/>
    <n v="526642.89752335218"/>
    <n v="93152.897523352178"/>
    <n v="1"/>
    <x v="2"/>
  </r>
  <r>
    <s v="L0980"/>
    <s v="Sneha Pillai"/>
    <n v="53"/>
    <s v="M"/>
    <x v="0"/>
    <n v="1140060"/>
    <n v="765652"/>
    <n v="10.06"/>
    <n v="36"/>
    <n v="781"/>
    <x v="1"/>
    <x v="1"/>
    <x v="718"/>
    <x v="1"/>
    <n v="24727.010179539495"/>
    <n v="890172.36646342184"/>
    <n v="124520.36646342184"/>
    <n v="1"/>
    <x v="4"/>
  </r>
  <r>
    <s v="L0981"/>
    <s v="Meena George"/>
    <n v="42"/>
    <s v="F"/>
    <x v="0"/>
    <n v="1325880"/>
    <n v="1571808"/>
    <n v="8.86"/>
    <n v="72"/>
    <n v="800"/>
    <x v="1"/>
    <x v="0"/>
    <x v="808"/>
    <x v="3"/>
    <n v="28223.592581652902"/>
    <n v="2032098.6658790088"/>
    <n v="460290.66587900883"/>
    <n v="7"/>
    <x v="2"/>
  </r>
  <r>
    <s v="L0982"/>
    <s v="Amit Yadav"/>
    <n v="33"/>
    <s v="F"/>
    <x v="2"/>
    <n v="1968688"/>
    <n v="1628793"/>
    <n v="8.0399999999999991"/>
    <n v="72"/>
    <n v="784"/>
    <x v="3"/>
    <x v="1"/>
    <x v="333"/>
    <x v="0"/>
    <n v="28589.842014256428"/>
    <n v="2058468.6250264628"/>
    <n v="429675.62502646283"/>
    <n v="6"/>
    <x v="4"/>
  </r>
  <r>
    <s v="L0983"/>
    <s v="Neha Sharma"/>
    <n v="38"/>
    <s v="F"/>
    <x v="0"/>
    <n v="1733872"/>
    <n v="1662366"/>
    <n v="7.98"/>
    <n v="96"/>
    <n v="810"/>
    <x v="0"/>
    <x v="1"/>
    <x v="809"/>
    <x v="0"/>
    <n v="23483.440075532188"/>
    <n v="2254410.2472510901"/>
    <n v="592044.24725109013"/>
    <n v="1"/>
    <x v="2"/>
  </r>
  <r>
    <s v="L0984"/>
    <s v="Mohit Jain"/>
    <n v="36"/>
    <s v="M"/>
    <x v="1"/>
    <n v="318093"/>
    <n v="964224"/>
    <n v="13.45"/>
    <n v="60"/>
    <n v="699"/>
    <x v="0"/>
    <x v="1"/>
    <x v="810"/>
    <x v="3"/>
    <n v="22161.816191573129"/>
    <n v="1329708.9714943878"/>
    <n v="365484.97149438784"/>
    <n v="5"/>
    <x v="0"/>
  </r>
  <r>
    <s v="L0985"/>
    <s v="Kiran Menon"/>
    <n v="54"/>
    <s v="F"/>
    <x v="0"/>
    <n v="1803925"/>
    <n v="1942685"/>
    <n v="9.9499999999999993"/>
    <n v="84"/>
    <n v="841"/>
    <x v="1"/>
    <x v="1"/>
    <x v="811"/>
    <x v="2"/>
    <n v="32200.704569004502"/>
    <n v="2704859.1837963783"/>
    <n v="762174.18379637832"/>
    <n v="6"/>
    <x v="2"/>
  </r>
  <r>
    <s v="L0986"/>
    <s v="Tanya Rao"/>
    <n v="42"/>
    <s v="F"/>
    <x v="2"/>
    <n v="1609020"/>
    <n v="384667"/>
    <n v="13.27"/>
    <n v="96"/>
    <n v="797"/>
    <x v="1"/>
    <x v="1"/>
    <x v="615"/>
    <x v="2"/>
    <n v="6523.4290245759203"/>
    <n v="626249.1863592884"/>
    <n v="241582.1863592884"/>
    <n v="6"/>
    <x v="4"/>
  </r>
  <r>
    <s v="L0987"/>
    <s v="Deepika Joshi"/>
    <n v="48"/>
    <s v="M"/>
    <x v="2"/>
    <n v="676449"/>
    <n v="762838"/>
    <n v="8.43"/>
    <n v="36"/>
    <n v="686"/>
    <x v="3"/>
    <x v="1"/>
    <x v="411"/>
    <x v="0"/>
    <n v="24056.181550876492"/>
    <n v="866022.53583155375"/>
    <n v="103184.53583155375"/>
    <n v="1"/>
    <x v="0"/>
  </r>
  <r>
    <s v="L0988"/>
    <s v="Kiran Menon"/>
    <n v="55"/>
    <s v="F"/>
    <x v="1"/>
    <n v="1517214"/>
    <n v="1130381"/>
    <n v="8.65"/>
    <n v="48"/>
    <n v="674"/>
    <x v="3"/>
    <x v="1"/>
    <x v="812"/>
    <x v="1"/>
    <n v="27942.094341194446"/>
    <n v="1341220.5283773334"/>
    <n v="210839.52837733342"/>
    <n v="1"/>
    <x v="0"/>
  </r>
  <r>
    <s v="L0989"/>
    <s v="Sneha Pillai"/>
    <n v="53"/>
    <s v="M"/>
    <x v="1"/>
    <n v="1557026"/>
    <n v="795984"/>
    <n v="13.48"/>
    <n v="120"/>
    <n v="609"/>
    <x v="2"/>
    <x v="0"/>
    <x v="813"/>
    <x v="2"/>
    <n v="12111.310115945051"/>
    <n v="1453357.213913406"/>
    <n v="657373.21391340601"/>
    <n v="1"/>
    <x v="3"/>
  </r>
  <r>
    <s v="L0990"/>
    <s v="Isha Verma"/>
    <n v="39"/>
    <s v="F"/>
    <x v="2"/>
    <n v="895386"/>
    <n v="1004170"/>
    <n v="13.29"/>
    <n v="84"/>
    <n v="788"/>
    <x v="3"/>
    <x v="1"/>
    <x v="756"/>
    <x v="3"/>
    <n v="18426.514359905919"/>
    <n v="1547827.2062320972"/>
    <n v="543657.20623209723"/>
    <n v="7"/>
    <x v="4"/>
  </r>
  <r>
    <s v="L0991"/>
    <s v="Isha Verma"/>
    <n v="32"/>
    <s v="F"/>
    <x v="2"/>
    <n v="596198"/>
    <n v="231009"/>
    <n v="7.56"/>
    <n v="60"/>
    <n v="631"/>
    <x v="1"/>
    <x v="1"/>
    <x v="814"/>
    <x v="0"/>
    <n v="4635.5357762205876"/>
    <n v="278132.14657323528"/>
    <n v="47123.146573235281"/>
    <n v="1"/>
    <x v="3"/>
  </r>
  <r>
    <s v="L0992"/>
    <s v="Vikram Das"/>
    <n v="28"/>
    <s v="F"/>
    <x v="2"/>
    <n v="746196"/>
    <n v="1664844"/>
    <n v="7.52"/>
    <n v="60"/>
    <n v="799"/>
    <x v="0"/>
    <x v="0"/>
    <x v="815"/>
    <x v="2"/>
    <n v="33375.883332409547"/>
    <n v="2002552.9999445728"/>
    <n v="337708.9999445728"/>
    <n v="6"/>
    <x v="4"/>
  </r>
  <r>
    <s v="L0993"/>
    <s v="Neha Sharma"/>
    <n v="55"/>
    <s v="M"/>
    <x v="2"/>
    <n v="1447104"/>
    <n v="518272"/>
    <n v="11.72"/>
    <n v="72"/>
    <n v="713"/>
    <x v="3"/>
    <x v="1"/>
    <x v="816"/>
    <x v="3"/>
    <n v="10057.011841455604"/>
    <n v="724104.85258480348"/>
    <n v="205832.85258480348"/>
    <n v="7"/>
    <x v="1"/>
  </r>
  <r>
    <s v="L0994"/>
    <s v="Amit Yadav"/>
    <n v="49"/>
    <s v="F"/>
    <x v="1"/>
    <n v="1025701"/>
    <n v="899562"/>
    <n v="12.4"/>
    <n v="84"/>
    <n v="795"/>
    <x v="1"/>
    <x v="0"/>
    <x v="817"/>
    <x v="0"/>
    <n v="16072.797459032725"/>
    <n v="1350114.9865587489"/>
    <n v="450552.98655874887"/>
    <n v="4"/>
    <x v="4"/>
  </r>
  <r>
    <s v="L0995"/>
    <s v="Deepika Joshi"/>
    <n v="33"/>
    <s v="M"/>
    <x v="0"/>
    <n v="1995896"/>
    <n v="534569"/>
    <n v="14.15"/>
    <n v="84"/>
    <n v="771"/>
    <x v="1"/>
    <x v="1"/>
    <x v="818"/>
    <x v="0"/>
    <n v="10062.17724357209"/>
    <n v="845222.88846005558"/>
    <n v="310653.88846005558"/>
    <n v="3"/>
    <x v="4"/>
  </r>
  <r>
    <s v="L0996"/>
    <s v="Sneha Pillai"/>
    <n v="36"/>
    <s v="F"/>
    <x v="0"/>
    <n v="1216367"/>
    <n v="1267144"/>
    <n v="10.45"/>
    <n v="72"/>
    <n v="747"/>
    <x v="3"/>
    <x v="1"/>
    <x v="393"/>
    <x v="1"/>
    <n v="23763.470728033379"/>
    <n v="1710969.8924184032"/>
    <n v="443825.89241840318"/>
    <n v="3"/>
    <x v="1"/>
  </r>
  <r>
    <s v="L0997"/>
    <s v="Amit Yadav"/>
    <n v="36"/>
    <s v="F"/>
    <x v="2"/>
    <n v="1093502"/>
    <n v="943547"/>
    <n v="8.7100000000000009"/>
    <n v="72"/>
    <n v="718"/>
    <x v="1"/>
    <x v="1"/>
    <x v="819"/>
    <x v="2"/>
    <n v="16872.455057755189"/>
    <n v="1214816.7641583737"/>
    <n v="271269.7641583737"/>
    <n v="3"/>
    <x v="1"/>
  </r>
  <r>
    <s v="L0998"/>
    <s v="Arjun Mehta"/>
    <n v="35"/>
    <s v="F"/>
    <x v="2"/>
    <n v="954874"/>
    <n v="414628"/>
    <n v="14.26"/>
    <n v="48"/>
    <n v="692"/>
    <x v="0"/>
    <x v="1"/>
    <x v="820"/>
    <x v="0"/>
    <n v="11384.47389612296"/>
    <n v="546454.74701390206"/>
    <n v="131826.74701390206"/>
    <n v="2"/>
    <x v="0"/>
  </r>
  <r>
    <s v="L0999"/>
    <s v="Arjun Mehta"/>
    <n v="33"/>
    <s v="M"/>
    <x v="0"/>
    <n v="1103843"/>
    <n v="1977219"/>
    <n v="10.8"/>
    <n v="96"/>
    <n v="804"/>
    <x v="0"/>
    <x v="1"/>
    <x v="445"/>
    <x v="3"/>
    <n v="30846.111517618927"/>
    <n v="2961226.7056914167"/>
    <n v="984007.70569141675"/>
    <n v="3"/>
    <x v="2"/>
  </r>
  <r>
    <s v="L1000"/>
    <s v="Deepika Joshi"/>
    <n v="56"/>
    <s v="M"/>
    <x v="2"/>
    <n v="992381"/>
    <n v="707116"/>
    <n v="8.69"/>
    <n v="120"/>
    <n v="768"/>
    <x v="1"/>
    <x v="1"/>
    <x v="116"/>
    <x v="3"/>
    <n v="8839.2447390942289"/>
    <n v="1060709.3686913075"/>
    <n v="353593.36869130749"/>
    <n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5">
  <location ref="A3:C8" firstHeaderRow="1" firstDataRow="2" firstDataCol="1"/>
  <pivotFields count="18">
    <pivotField showAll="0"/>
    <pivotField showAll="0"/>
    <pivotField showAll="0"/>
    <pivotField showAll="0"/>
    <pivotField showAll="0"/>
    <pivotField numFmtId="165" showAll="0"/>
    <pivotField numFmtId="165" showAll="0"/>
    <pivotField showAll="0"/>
    <pivotField showAll="0"/>
    <pivotField showAll="0"/>
    <pivotField axis="axisRow" showAll="0">
      <items count="5">
        <item x="1"/>
        <item x="0"/>
        <item x="2"/>
        <item x="3"/>
        <item t="default"/>
      </items>
    </pivotField>
    <pivotField axis="axisCol" dataField="1" showAll="0">
      <items count="3">
        <item x="0"/>
        <item x="1"/>
        <item t="default"/>
      </items>
    </pivotField>
    <pivotField numFmtId="164" showAll="0"/>
    <pivotField showAll="0"/>
    <pivotField numFmtId="8" showAll="0"/>
    <pivotField numFmtId="8" showAll="0"/>
    <pivotField numFmtId="8" showAll="0"/>
    <pivotField showAll="0"/>
  </pivotFields>
  <rowFields count="1">
    <field x="10"/>
  </rowFields>
  <rowItems count="4">
    <i>
      <x/>
    </i>
    <i>
      <x v="1"/>
    </i>
    <i>
      <x v="2"/>
    </i>
    <i>
      <x v="3"/>
    </i>
  </rowItems>
  <colFields count="1">
    <field x="11"/>
  </colFields>
  <colItems count="2">
    <i>
      <x/>
    </i>
    <i>
      <x v="1"/>
    </i>
  </colItems>
  <dataFields count="1">
    <dataField name="Count of Loan_Status" fld="11"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4" format="4" series="1">
      <pivotArea type="data" outline="0" fieldPosition="0">
        <references count="2">
          <reference field="4294967294" count="1" selected="0">
            <x v="0"/>
          </reference>
          <reference field="11" count="1" selected="0">
            <x v="0"/>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8" firstHeaderRow="1" firstDataRow="1" firstDataCol="1" rowPageCount="1" colPageCount="1"/>
  <pivotFields count="18">
    <pivotField showAll="0"/>
    <pivotField showAll="0"/>
    <pivotField showAll="0"/>
    <pivotField showAll="0"/>
    <pivotField showAll="0"/>
    <pivotField numFmtId="165" showAll="0"/>
    <pivotField numFmtId="165" showAll="0"/>
    <pivotField showAll="0"/>
    <pivotField showAll="0"/>
    <pivotField showAll="0"/>
    <pivotField showAll="0"/>
    <pivotField axis="axisPage" dataField="1" showAll="0">
      <items count="3">
        <item x="0"/>
        <item x="1"/>
        <item t="default"/>
      </items>
    </pivotField>
    <pivotField numFmtId="164" showAll="0"/>
    <pivotField axis="axisRow" showAll="0">
      <items count="5">
        <item x="1"/>
        <item x="2"/>
        <item x="0"/>
        <item x="3"/>
        <item t="default"/>
      </items>
    </pivotField>
    <pivotField numFmtId="8" showAll="0"/>
    <pivotField numFmtId="8" showAll="0"/>
    <pivotField numFmtId="8" showAll="0"/>
    <pivotField showAll="0"/>
  </pivotFields>
  <rowFields count="1">
    <field x="13"/>
  </rowFields>
  <rowItems count="5">
    <i>
      <x/>
    </i>
    <i>
      <x v="1"/>
    </i>
    <i>
      <x v="2"/>
    </i>
    <i>
      <x v="3"/>
    </i>
    <i t="grand">
      <x/>
    </i>
  </rowItems>
  <colItems count="1">
    <i/>
  </colItems>
  <pageFields count="1">
    <pageField fld="11" item="0" hier="-1"/>
  </pageFields>
  <dataFields count="1">
    <dataField name="Count of Loan_Status" fld="11" subtotal="count" baseField="0" baseItem="0"/>
  </dataFields>
  <chartFormats count="11">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3" count="1" selected="0">
            <x v="0"/>
          </reference>
        </references>
      </pivotArea>
    </chartFormat>
    <chartFormat chart="7" format="8">
      <pivotArea type="data" outline="0" fieldPosition="0">
        <references count="2">
          <reference field="4294967294" count="1" selected="0">
            <x v="0"/>
          </reference>
          <reference field="13" count="1" selected="0">
            <x v="1"/>
          </reference>
        </references>
      </pivotArea>
    </chartFormat>
    <chartFormat chart="7" format="9">
      <pivotArea type="data" outline="0" fieldPosition="0">
        <references count="2">
          <reference field="4294967294" count="1" selected="0">
            <x v="0"/>
          </reference>
          <reference field="13" count="1" selected="0">
            <x v="2"/>
          </reference>
        </references>
      </pivotArea>
    </chartFormat>
    <chartFormat chart="7" format="10">
      <pivotArea type="data" outline="0" fieldPosition="0">
        <references count="2">
          <reference field="4294967294" count="1" selected="0">
            <x v="0"/>
          </reference>
          <reference field="13" count="1" selected="0">
            <x v="3"/>
          </reference>
        </references>
      </pivotArea>
    </chartFormat>
    <chartFormat chart="4" format="1">
      <pivotArea type="data" outline="0" fieldPosition="0">
        <references count="2">
          <reference field="4294967294" count="1" selected="0">
            <x v="0"/>
          </reference>
          <reference field="13" count="1" selected="0">
            <x v="0"/>
          </reference>
        </references>
      </pivotArea>
    </chartFormat>
    <chartFormat chart="4" format="2">
      <pivotArea type="data" outline="0" fieldPosition="0">
        <references count="2">
          <reference field="4294967294" count="1" selected="0">
            <x v="0"/>
          </reference>
          <reference field="13" count="1" selected="0">
            <x v="1"/>
          </reference>
        </references>
      </pivotArea>
    </chartFormat>
    <chartFormat chart="4" format="3">
      <pivotArea type="data" outline="0" fieldPosition="0">
        <references count="2">
          <reference field="4294967294" count="1" selected="0">
            <x v="0"/>
          </reference>
          <reference field="13" count="1" selected="0">
            <x v="2"/>
          </reference>
        </references>
      </pivotArea>
    </chartFormat>
    <chartFormat chart="4" format="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8">
  <location ref="A3:B6" firstHeaderRow="1" firstDataRow="1" firstDataCol="1"/>
  <pivotFields count="18">
    <pivotField showAll="0"/>
    <pivotField showAll="0"/>
    <pivotField showAll="0"/>
    <pivotField showAll="0"/>
    <pivotField axis="axisRow" showAll="0">
      <items count="4">
        <item x="2"/>
        <item x="0"/>
        <item x="1"/>
        <item t="default"/>
      </items>
    </pivotField>
    <pivotField numFmtId="165" showAll="0"/>
    <pivotField dataField="1" numFmtId="165" showAll="0"/>
    <pivotField showAll="0"/>
    <pivotField showAll="0"/>
    <pivotField showAll="0"/>
    <pivotField showAll="0"/>
    <pivotField showAll="0"/>
    <pivotField numFmtId="164" showAll="0"/>
    <pivotField showAll="0"/>
    <pivotField numFmtId="8" showAll="0"/>
    <pivotField numFmtId="8" showAll="0"/>
    <pivotField numFmtId="8" showAll="0"/>
    <pivotField showAll="0"/>
  </pivotFields>
  <rowFields count="1">
    <field x="4"/>
  </rowFields>
  <rowItems count="3">
    <i>
      <x/>
    </i>
    <i>
      <x v="1"/>
    </i>
    <i>
      <x v="2"/>
    </i>
  </rowItems>
  <colItems count="1">
    <i/>
  </colItems>
  <dataFields count="1">
    <dataField name="Average of Loan_Amount" fld="6" subtotal="average" baseField="4" baseItem="1" numFmtId="165"/>
  </dataFields>
  <formats count="3">
    <format dxfId="5">
      <pivotArea outline="0" collapsedLevelsAreSubtotals="1" fieldPosition="0"/>
    </format>
    <format dxfId="4">
      <pivotArea outline="0" collapsedLevelsAreSubtotals="1" fieldPosition="0"/>
    </format>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3:B9" firstHeaderRow="1" firstDataRow="1" firstDataCol="1" rowPageCount="1" colPageCount="1"/>
  <pivotFields count="22">
    <pivotField showAll="0"/>
    <pivotField showAll="0"/>
    <pivotField showAll="0"/>
    <pivotField showAll="0"/>
    <pivotField showAll="0">
      <items count="4">
        <item x="2"/>
        <item x="0"/>
        <item x="1"/>
        <item t="default"/>
      </items>
    </pivotField>
    <pivotField numFmtId="165" showAll="0"/>
    <pivotField numFmtId="165" showAll="0"/>
    <pivotField showAll="0"/>
    <pivotField showAll="0"/>
    <pivotField showAll="0"/>
    <pivotField showAll="0">
      <items count="5">
        <item x="1"/>
        <item x="0"/>
        <item x="2"/>
        <item x="3"/>
        <item t="default"/>
      </items>
    </pivotField>
    <pivotField axis="axisPage" dataField="1" showAll="0">
      <items count="3">
        <item x="0"/>
        <item x="1"/>
        <item t="default"/>
      </items>
    </pivotField>
    <pivotField numFmtId="164" showAll="0">
      <items count="822">
        <item x="63"/>
        <item x="530"/>
        <item x="557"/>
        <item x="11"/>
        <item x="177"/>
        <item x="1"/>
        <item x="577"/>
        <item x="454"/>
        <item x="304"/>
        <item x="709"/>
        <item x="666"/>
        <item x="331"/>
        <item x="610"/>
        <item x="729"/>
        <item x="120"/>
        <item x="179"/>
        <item x="749"/>
        <item x="740"/>
        <item x="808"/>
        <item x="646"/>
        <item x="503"/>
        <item x="604"/>
        <item x="20"/>
        <item x="627"/>
        <item x="804"/>
        <item x="748"/>
        <item x="221"/>
        <item x="169"/>
        <item x="196"/>
        <item x="170"/>
        <item x="707"/>
        <item x="408"/>
        <item x="204"/>
        <item x="507"/>
        <item x="632"/>
        <item x="655"/>
        <item x="558"/>
        <item x="528"/>
        <item x="92"/>
        <item x="302"/>
        <item x="397"/>
        <item x="706"/>
        <item x="229"/>
        <item x="4"/>
        <item x="777"/>
        <item x="278"/>
        <item x="279"/>
        <item x="761"/>
        <item x="421"/>
        <item x="470"/>
        <item x="137"/>
        <item x="174"/>
        <item x="737"/>
        <item x="163"/>
        <item x="364"/>
        <item x="723"/>
        <item x="328"/>
        <item x="187"/>
        <item x="307"/>
        <item x="130"/>
        <item x="797"/>
        <item x="545"/>
        <item x="480"/>
        <item x="7"/>
        <item x="744"/>
        <item x="816"/>
        <item x="2"/>
        <item x="561"/>
        <item x="574"/>
        <item x="256"/>
        <item x="520"/>
        <item x="641"/>
        <item x="143"/>
        <item x="249"/>
        <item x="346"/>
        <item x="412"/>
        <item x="593"/>
        <item x="349"/>
        <item x="662"/>
        <item x="552"/>
        <item x="750"/>
        <item x="683"/>
        <item x="142"/>
        <item x="756"/>
        <item x="731"/>
        <item x="448"/>
        <item x="488"/>
        <item x="24"/>
        <item x="639"/>
        <item x="89"/>
        <item x="663"/>
        <item x="800"/>
        <item x="721"/>
        <item x="444"/>
        <item x="104"/>
        <item x="368"/>
        <item x="762"/>
        <item x="69"/>
        <item x="483"/>
        <item x="406"/>
        <item x="767"/>
        <item x="580"/>
        <item x="306"/>
        <item x="332"/>
        <item x="202"/>
        <item x="85"/>
        <item x="102"/>
        <item x="596"/>
        <item x="145"/>
        <item x="560"/>
        <item x="190"/>
        <item x="42"/>
        <item x="404"/>
        <item x="495"/>
        <item x="14"/>
        <item x="669"/>
        <item x="272"/>
        <item x="644"/>
        <item x="387"/>
        <item x="584"/>
        <item x="106"/>
        <item x="752"/>
        <item x="405"/>
        <item x="375"/>
        <item x="58"/>
        <item x="571"/>
        <item x="515"/>
        <item x="300"/>
        <item x="447"/>
        <item x="251"/>
        <item x="535"/>
        <item x="401"/>
        <item x="211"/>
        <item x="768"/>
        <item x="791"/>
        <item x="369"/>
        <item x="105"/>
        <item x="432"/>
        <item x="407"/>
        <item x="293"/>
        <item x="344"/>
        <item x="322"/>
        <item x="138"/>
        <item x="623"/>
        <item x="713"/>
        <item x="97"/>
        <item x="579"/>
        <item x="181"/>
        <item x="319"/>
        <item x="252"/>
        <item x="188"/>
        <item x="598"/>
        <item x="231"/>
        <item x="335"/>
        <item x="446"/>
        <item x="148"/>
        <item x="508"/>
        <item x="698"/>
        <item x="310"/>
        <item x="581"/>
        <item x="212"/>
        <item x="645"/>
        <item x="239"/>
        <item x="260"/>
        <item x="318"/>
        <item x="682"/>
        <item x="811"/>
        <item x="38"/>
        <item x="719"/>
        <item x="458"/>
        <item x="219"/>
        <item x="542"/>
        <item x="438"/>
        <item x="356"/>
        <item x="462"/>
        <item x="290"/>
        <item x="747"/>
        <item x="544"/>
        <item x="697"/>
        <item x="815"/>
        <item x="624"/>
        <item x="626"/>
        <item x="326"/>
        <item x="73"/>
        <item x="78"/>
        <item x="696"/>
        <item x="806"/>
        <item x="153"/>
        <item x="708"/>
        <item x="428"/>
        <item x="617"/>
        <item x="185"/>
        <item x="261"/>
        <item x="429"/>
        <item x="34"/>
        <item x="540"/>
        <item x="36"/>
        <item x="631"/>
        <item x="803"/>
        <item x="205"/>
        <item x="232"/>
        <item x="414"/>
        <item x="758"/>
        <item x="569"/>
        <item x="277"/>
        <item x="640"/>
        <item x="348"/>
        <item x="688"/>
        <item x="615"/>
        <item x="547"/>
        <item x="704"/>
        <item x="0"/>
        <item x="29"/>
        <item x="54"/>
        <item x="376"/>
        <item x="443"/>
        <item x="33"/>
        <item x="779"/>
        <item x="705"/>
        <item x="513"/>
        <item x="68"/>
        <item x="333"/>
        <item x="392"/>
        <item x="334"/>
        <item x="383"/>
        <item x="194"/>
        <item x="172"/>
        <item x="773"/>
        <item x="497"/>
        <item x="131"/>
        <item x="184"/>
        <item x="160"/>
        <item x="391"/>
        <item x="590"/>
        <item x="461"/>
        <item x="201"/>
        <item x="486"/>
        <item x="735"/>
        <item x="330"/>
        <item x="676"/>
        <item x="155"/>
        <item x="441"/>
        <item x="353"/>
        <item x="370"/>
        <item x="715"/>
        <item x="518"/>
        <item x="247"/>
        <item x="533"/>
        <item x="371"/>
        <item x="805"/>
        <item x="122"/>
        <item x="712"/>
        <item x="501"/>
        <item x="477"/>
        <item x="717"/>
        <item x="180"/>
        <item x="389"/>
        <item x="114"/>
        <item x="799"/>
        <item x="582"/>
        <item x="146"/>
        <item x="541"/>
        <item x="554"/>
        <item x="109"/>
        <item x="3"/>
        <item x="236"/>
        <item x="519"/>
        <item x="107"/>
        <item x="321"/>
        <item x="457"/>
        <item x="527"/>
        <item x="464"/>
        <item x="45"/>
        <item x="147"/>
        <item x="108"/>
        <item x="361"/>
        <item x="652"/>
        <item x="132"/>
        <item x="390"/>
        <item x="637"/>
        <item x="700"/>
        <item x="435"/>
        <item x="270"/>
        <item x="498"/>
        <item x="730"/>
        <item x="57"/>
        <item x="795"/>
        <item x="350"/>
        <item x="259"/>
        <item x="741"/>
        <item x="199"/>
        <item x="492"/>
        <item x="516"/>
        <item x="141"/>
        <item x="801"/>
        <item x="385"/>
        <item x="714"/>
        <item x="442"/>
        <item x="128"/>
        <item x="670"/>
        <item x="732"/>
        <item x="606"/>
        <item x="781"/>
        <item x="81"/>
        <item x="701"/>
        <item x="49"/>
        <item x="327"/>
        <item x="810"/>
        <item x="770"/>
        <item x="352"/>
        <item x="296"/>
        <item x="726"/>
        <item x="785"/>
        <item x="686"/>
        <item x="522"/>
        <item x="504"/>
        <item x="703"/>
        <item x="766"/>
        <item x="191"/>
        <item x="161"/>
        <item x="398"/>
        <item x="320"/>
        <item x="228"/>
        <item x="616"/>
        <item x="243"/>
        <item x="410"/>
        <item x="611"/>
        <item x="765"/>
        <item x="672"/>
        <item x="664"/>
        <item x="291"/>
        <item x="746"/>
        <item x="323"/>
        <item x="235"/>
        <item x="298"/>
        <item x="566"/>
        <item x="534"/>
        <item x="798"/>
        <item x="733"/>
        <item x="46"/>
        <item x="427"/>
        <item x="681"/>
        <item x="738"/>
        <item x="238"/>
        <item x="459"/>
        <item x="523"/>
        <item x="602"/>
        <item x="250"/>
        <item x="478"/>
        <item x="359"/>
        <item x="50"/>
        <item x="650"/>
        <item x="476"/>
        <item x="312"/>
        <item x="583"/>
        <item x="691"/>
        <item x="671"/>
        <item x="84"/>
        <item x="140"/>
        <item x="159"/>
        <item x="44"/>
        <item x="343"/>
        <item x="563"/>
        <item x="417"/>
        <item x="241"/>
        <item x="409"/>
        <item x="41"/>
        <item x="485"/>
        <item x="355"/>
        <item x="659"/>
        <item x="230"/>
        <item x="605"/>
        <item x="763"/>
        <item x="551"/>
        <item x="469"/>
        <item x="182"/>
        <item x="538"/>
        <item x="692"/>
        <item x="635"/>
        <item x="657"/>
        <item x="12"/>
        <item x="550"/>
        <item x="618"/>
        <item x="564"/>
        <item x="127"/>
        <item x="339"/>
        <item x="621"/>
        <item x="490"/>
        <item x="690"/>
        <item x="802"/>
        <item x="382"/>
        <item x="783"/>
        <item x="753"/>
        <item x="613"/>
        <item x="491"/>
        <item x="788"/>
        <item x="91"/>
        <item x="570"/>
        <item x="402"/>
        <item x="289"/>
        <item x="455"/>
        <item x="13"/>
        <item x="151"/>
        <item x="546"/>
        <item x="237"/>
        <item x="329"/>
        <item x="336"/>
        <item x="453"/>
        <item x="98"/>
        <item x="345"/>
        <item x="463"/>
        <item x="424"/>
        <item x="724"/>
        <item x="258"/>
        <item x="677"/>
        <item x="693"/>
        <item x="509"/>
        <item x="55"/>
        <item x="600"/>
        <item x="96"/>
        <item x="286"/>
        <item x="396"/>
        <item x="573"/>
        <item x="90"/>
        <item x="144"/>
        <item x="388"/>
        <item x="629"/>
        <item x="415"/>
        <item x="280"/>
        <item x="214"/>
        <item x="135"/>
        <item x="649"/>
        <item x="597"/>
        <item x="589"/>
        <item x="234"/>
        <item x="413"/>
        <item x="418"/>
        <item x="373"/>
        <item x="529"/>
        <item x="790"/>
        <item x="578"/>
        <item x="472"/>
        <item x="739"/>
        <item x="537"/>
        <item x="532"/>
        <item x="699"/>
        <item x="687"/>
        <item x="502"/>
        <item x="778"/>
        <item x="599"/>
        <item x="595"/>
        <item x="61"/>
        <item x="340"/>
        <item x="313"/>
        <item x="505"/>
        <item x="112"/>
        <item x="88"/>
        <item x="817"/>
        <item x="796"/>
        <item x="449"/>
        <item x="111"/>
        <item x="67"/>
        <item x="514"/>
        <item x="10"/>
        <item x="115"/>
        <item x="283"/>
        <item x="787"/>
        <item x="40"/>
        <item x="110"/>
        <item x="727"/>
        <item x="565"/>
        <item x="217"/>
        <item x="60"/>
        <item x="51"/>
        <item x="200"/>
        <item x="72"/>
        <item x="222"/>
        <item x="17"/>
        <item x="248"/>
        <item x="466"/>
        <item x="354"/>
        <item x="481"/>
        <item x="77"/>
        <item x="531"/>
        <item x="338"/>
        <item x="358"/>
        <item x="543"/>
        <item x="539"/>
        <item x="113"/>
        <item x="31"/>
        <item x="227"/>
        <item x="751"/>
        <item x="103"/>
        <item x="167"/>
        <item x="288"/>
        <item x="32"/>
        <item x="342"/>
        <item x="233"/>
        <item x="614"/>
        <item x="56"/>
        <item x="553"/>
        <item x="82"/>
        <item x="568"/>
        <item x="674"/>
        <item x="213"/>
        <item x="789"/>
        <item x="792"/>
        <item x="225"/>
        <item x="242"/>
        <item x="207"/>
        <item x="786"/>
        <item x="133"/>
        <item x="506"/>
        <item x="484"/>
        <item x="66"/>
        <item x="437"/>
        <item x="734"/>
        <item x="156"/>
        <item x="479"/>
        <item x="760"/>
        <item x="315"/>
        <item x="337"/>
        <item x="121"/>
        <item x="347"/>
        <item x="271"/>
        <item x="496"/>
        <item x="377"/>
        <item x="25"/>
        <item x="628"/>
        <item x="673"/>
        <item x="468"/>
        <item x="678"/>
        <item x="183"/>
        <item x="445"/>
        <item x="255"/>
        <item x="720"/>
        <item x="764"/>
        <item x="53"/>
        <item x="308"/>
        <item x="471"/>
        <item x="517"/>
        <item x="287"/>
        <item x="380"/>
        <item x="152"/>
        <item x="592"/>
        <item x="754"/>
        <item x="125"/>
        <item x="818"/>
        <item x="139"/>
        <item x="26"/>
        <item x="198"/>
        <item x="757"/>
        <item x="208"/>
        <item x="559"/>
        <item x="460"/>
        <item x="284"/>
        <item x="164"/>
        <item x="64"/>
        <item x="524"/>
        <item x="86"/>
        <item x="16"/>
        <item x="381"/>
        <item x="6"/>
        <item x="493"/>
        <item x="119"/>
        <item x="755"/>
        <item x="419"/>
        <item x="317"/>
        <item x="653"/>
        <item x="123"/>
        <item x="710"/>
        <item x="771"/>
        <item x="118"/>
        <item x="303"/>
        <item x="386"/>
        <item x="638"/>
        <item x="294"/>
        <item x="784"/>
        <item x="360"/>
        <item x="420"/>
        <item x="245"/>
        <item x="311"/>
        <item x="299"/>
        <item x="473"/>
        <item x="743"/>
        <item x="526"/>
        <item x="521"/>
        <item x="274"/>
        <item x="21"/>
        <item x="684"/>
        <item x="266"/>
        <item x="702"/>
        <item x="433"/>
        <item x="819"/>
        <item x="434"/>
        <item x="393"/>
        <item x="440"/>
        <item x="74"/>
        <item x="366"/>
        <item x="101"/>
        <item x="651"/>
        <item x="776"/>
        <item x="282"/>
        <item x="203"/>
        <item x="70"/>
        <item x="431"/>
        <item x="367"/>
        <item x="736"/>
        <item x="263"/>
        <item x="474"/>
        <item x="18"/>
        <item x="620"/>
        <item x="285"/>
        <item x="226"/>
        <item x="622"/>
        <item x="601"/>
        <item x="374"/>
        <item x="716"/>
        <item x="324"/>
        <item x="511"/>
        <item x="94"/>
        <item x="636"/>
        <item x="30"/>
        <item x="680"/>
        <item x="499"/>
        <item x="264"/>
        <item x="769"/>
        <item x="395"/>
        <item x="216"/>
        <item x="452"/>
        <item x="562"/>
        <item x="206"/>
        <item x="667"/>
        <item x="9"/>
        <item x="772"/>
        <item x="456"/>
        <item x="685"/>
        <item x="197"/>
        <item x="647"/>
        <item x="425"/>
        <item x="422"/>
        <item x="116"/>
        <item x="134"/>
        <item x="15"/>
        <item x="305"/>
        <item x="586"/>
        <item x="642"/>
        <item x="603"/>
        <item x="37"/>
        <item x="325"/>
        <item x="654"/>
        <item x="467"/>
        <item x="100"/>
        <item x="65"/>
        <item x="450"/>
        <item x="793"/>
        <item x="171"/>
        <item x="665"/>
        <item x="27"/>
        <item x="494"/>
        <item x="95"/>
        <item x="782"/>
        <item x="129"/>
        <item x="372"/>
        <item x="297"/>
        <item x="215"/>
        <item x="154"/>
        <item x="694"/>
        <item x="71"/>
        <item x="117"/>
        <item x="265"/>
        <item x="292"/>
        <item x="362"/>
        <item x="660"/>
        <item x="83"/>
        <item x="572"/>
        <item x="619"/>
        <item x="728"/>
        <item x="79"/>
        <item x="510"/>
        <item x="59"/>
        <item x="295"/>
        <item x="668"/>
        <item x="301"/>
        <item x="661"/>
        <item x="742"/>
        <item x="43"/>
        <item x="218"/>
        <item x="625"/>
        <item x="722"/>
        <item x="28"/>
        <item x="316"/>
        <item x="658"/>
        <item x="416"/>
        <item x="630"/>
        <item x="489"/>
        <item x="487"/>
        <item x="384"/>
        <item x="136"/>
        <item x="585"/>
        <item x="594"/>
        <item x="76"/>
        <item x="93"/>
        <item x="436"/>
        <item x="549"/>
        <item x="399"/>
        <item x="47"/>
        <item x="774"/>
        <item x="608"/>
        <item x="166"/>
        <item x="240"/>
        <item x="309"/>
        <item x="262"/>
        <item x="556"/>
        <item x="820"/>
        <item x="5"/>
        <item x="612"/>
        <item x="633"/>
        <item x="500"/>
        <item x="224"/>
        <item x="149"/>
        <item x="158"/>
        <item x="193"/>
        <item x="378"/>
        <item x="157"/>
        <item x="807"/>
        <item x="275"/>
        <item x="8"/>
        <item x="39"/>
        <item x="22"/>
        <item x="19"/>
        <item x="634"/>
        <item x="99"/>
        <item x="403"/>
        <item x="689"/>
        <item x="794"/>
        <item x="267"/>
        <item x="341"/>
        <item x="363"/>
        <item x="607"/>
        <item x="150"/>
        <item x="244"/>
        <item x="268"/>
        <item x="725"/>
        <item x="195"/>
        <item x="365"/>
        <item x="512"/>
        <item x="165"/>
        <item x="759"/>
        <item x="394"/>
        <item x="253"/>
        <item x="411"/>
        <item x="62"/>
        <item x="209"/>
        <item x="695"/>
        <item x="780"/>
        <item x="35"/>
        <item x="525"/>
        <item x="423"/>
        <item x="400"/>
        <item x="124"/>
        <item x="351"/>
        <item x="711"/>
        <item x="220"/>
        <item x="176"/>
        <item x="475"/>
        <item x="314"/>
        <item x="718"/>
        <item x="679"/>
        <item x="656"/>
        <item x="426"/>
        <item x="675"/>
        <item x="80"/>
        <item x="254"/>
        <item x="809"/>
        <item x="276"/>
        <item x="168"/>
        <item x="643"/>
        <item x="246"/>
        <item x="173"/>
        <item x="813"/>
        <item x="587"/>
        <item x="23"/>
        <item x="536"/>
        <item x="575"/>
        <item x="439"/>
        <item x="745"/>
        <item x="357"/>
        <item x="192"/>
        <item x="814"/>
        <item x="178"/>
        <item x="567"/>
        <item x="812"/>
        <item x="591"/>
        <item x="482"/>
        <item x="281"/>
        <item x="75"/>
        <item x="648"/>
        <item x="555"/>
        <item x="451"/>
        <item x="87"/>
        <item x="162"/>
        <item x="126"/>
        <item x="609"/>
        <item x="576"/>
        <item x="269"/>
        <item x="186"/>
        <item x="775"/>
        <item x="189"/>
        <item x="379"/>
        <item x="175"/>
        <item x="48"/>
        <item x="273"/>
        <item x="223"/>
        <item x="210"/>
        <item x="257"/>
        <item x="465"/>
        <item x="548"/>
        <item x="430"/>
        <item x="588"/>
        <item x="52"/>
        <item t="default"/>
      </items>
    </pivotField>
    <pivotField showAll="0">
      <items count="5">
        <item x="1"/>
        <item x="2"/>
        <item x="0"/>
        <item x="3"/>
        <item t="default"/>
      </items>
    </pivotField>
    <pivotField numFmtId="8" showAll="0"/>
    <pivotField numFmtId="8" showAll="0"/>
    <pivotField numFmtId="8" showAll="0"/>
    <pivotField showAll="0"/>
    <pivotField axis="axisRow" showAll="0">
      <items count="6">
        <item x="3"/>
        <item x="0"/>
        <item x="1"/>
        <item x="4"/>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8"/>
  </rowFields>
  <rowItems count="6">
    <i>
      <x/>
    </i>
    <i>
      <x v="1"/>
    </i>
    <i>
      <x v="2"/>
    </i>
    <i>
      <x v="3"/>
    </i>
    <i>
      <x v="4"/>
    </i>
    <i t="grand">
      <x/>
    </i>
  </rowItems>
  <colItems count="1">
    <i/>
  </colItems>
  <pageFields count="1">
    <pageField fld="11" item="0" hier="-1"/>
  </pageFields>
  <dataFields count="1">
    <dataField name="Count of Loan_Status" fld="1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8">
  <location ref="A3:B10" firstHeaderRow="1" firstDataRow="1" firstDataCol="1"/>
  <pivotFields count="22">
    <pivotField showAll="0"/>
    <pivotField showAll="0"/>
    <pivotField showAll="0"/>
    <pivotField showAll="0"/>
    <pivotField showAll="0">
      <items count="4">
        <item x="2"/>
        <item x="0"/>
        <item x="1"/>
        <item t="default"/>
      </items>
    </pivotField>
    <pivotField numFmtId="165" showAll="0"/>
    <pivotField dataField="1" numFmtId="165" showAll="0"/>
    <pivotField showAll="0"/>
    <pivotField showAll="0"/>
    <pivotField showAll="0"/>
    <pivotField showAll="0">
      <items count="5">
        <item x="1"/>
        <item x="0"/>
        <item x="2"/>
        <item x="3"/>
        <item t="default"/>
      </items>
    </pivotField>
    <pivotField showAll="0"/>
    <pivotField axis="axisRow" numFmtId="164" showAll="0">
      <items count="822">
        <item x="63"/>
        <item x="530"/>
        <item x="557"/>
        <item x="11"/>
        <item x="177"/>
        <item x="1"/>
        <item x="577"/>
        <item x="454"/>
        <item x="304"/>
        <item x="709"/>
        <item x="666"/>
        <item x="331"/>
        <item x="610"/>
        <item x="729"/>
        <item x="120"/>
        <item x="179"/>
        <item x="749"/>
        <item x="740"/>
        <item x="808"/>
        <item x="646"/>
        <item x="503"/>
        <item x="604"/>
        <item x="20"/>
        <item x="627"/>
        <item x="804"/>
        <item x="748"/>
        <item x="221"/>
        <item x="169"/>
        <item x="196"/>
        <item x="170"/>
        <item x="707"/>
        <item x="408"/>
        <item x="204"/>
        <item x="507"/>
        <item x="632"/>
        <item x="655"/>
        <item x="558"/>
        <item x="528"/>
        <item x="92"/>
        <item x="302"/>
        <item x="397"/>
        <item x="706"/>
        <item x="229"/>
        <item x="4"/>
        <item x="777"/>
        <item x="278"/>
        <item x="279"/>
        <item x="761"/>
        <item x="421"/>
        <item x="470"/>
        <item x="137"/>
        <item x="174"/>
        <item x="737"/>
        <item x="163"/>
        <item x="364"/>
        <item x="723"/>
        <item x="328"/>
        <item x="187"/>
        <item x="307"/>
        <item x="130"/>
        <item x="797"/>
        <item x="545"/>
        <item x="480"/>
        <item x="7"/>
        <item x="744"/>
        <item x="816"/>
        <item x="2"/>
        <item x="561"/>
        <item x="574"/>
        <item x="256"/>
        <item x="520"/>
        <item x="641"/>
        <item x="143"/>
        <item x="249"/>
        <item x="346"/>
        <item x="412"/>
        <item x="593"/>
        <item x="349"/>
        <item x="662"/>
        <item x="552"/>
        <item x="750"/>
        <item x="683"/>
        <item x="142"/>
        <item x="756"/>
        <item x="731"/>
        <item x="448"/>
        <item x="488"/>
        <item x="24"/>
        <item x="639"/>
        <item x="89"/>
        <item x="663"/>
        <item x="800"/>
        <item x="721"/>
        <item x="444"/>
        <item x="104"/>
        <item x="368"/>
        <item x="762"/>
        <item x="69"/>
        <item x="483"/>
        <item x="406"/>
        <item x="767"/>
        <item x="580"/>
        <item x="306"/>
        <item x="332"/>
        <item x="202"/>
        <item x="85"/>
        <item x="102"/>
        <item x="596"/>
        <item x="145"/>
        <item x="560"/>
        <item x="190"/>
        <item x="42"/>
        <item x="404"/>
        <item x="495"/>
        <item x="14"/>
        <item x="669"/>
        <item x="272"/>
        <item x="644"/>
        <item x="387"/>
        <item x="584"/>
        <item x="106"/>
        <item x="752"/>
        <item x="405"/>
        <item x="375"/>
        <item x="58"/>
        <item x="571"/>
        <item x="515"/>
        <item x="300"/>
        <item x="447"/>
        <item x="251"/>
        <item x="535"/>
        <item x="401"/>
        <item x="211"/>
        <item x="768"/>
        <item x="791"/>
        <item x="369"/>
        <item x="105"/>
        <item x="432"/>
        <item x="407"/>
        <item x="293"/>
        <item x="344"/>
        <item x="322"/>
        <item x="138"/>
        <item x="623"/>
        <item x="713"/>
        <item x="97"/>
        <item x="579"/>
        <item x="181"/>
        <item x="319"/>
        <item x="252"/>
        <item x="188"/>
        <item x="598"/>
        <item x="231"/>
        <item x="335"/>
        <item x="446"/>
        <item x="148"/>
        <item x="508"/>
        <item x="698"/>
        <item x="310"/>
        <item x="581"/>
        <item x="212"/>
        <item x="645"/>
        <item x="239"/>
        <item x="260"/>
        <item x="318"/>
        <item x="682"/>
        <item x="811"/>
        <item x="38"/>
        <item x="719"/>
        <item x="458"/>
        <item x="219"/>
        <item x="542"/>
        <item x="438"/>
        <item x="356"/>
        <item x="462"/>
        <item x="290"/>
        <item x="747"/>
        <item x="544"/>
        <item x="697"/>
        <item x="815"/>
        <item x="624"/>
        <item x="626"/>
        <item x="326"/>
        <item x="73"/>
        <item x="78"/>
        <item x="696"/>
        <item x="806"/>
        <item x="153"/>
        <item x="708"/>
        <item x="428"/>
        <item x="617"/>
        <item x="185"/>
        <item x="261"/>
        <item x="429"/>
        <item x="34"/>
        <item x="540"/>
        <item x="36"/>
        <item x="631"/>
        <item x="803"/>
        <item x="205"/>
        <item x="232"/>
        <item x="414"/>
        <item x="758"/>
        <item x="569"/>
        <item x="277"/>
        <item x="640"/>
        <item x="348"/>
        <item x="688"/>
        <item x="615"/>
        <item x="547"/>
        <item x="704"/>
        <item x="0"/>
        <item x="29"/>
        <item x="54"/>
        <item x="376"/>
        <item x="443"/>
        <item x="33"/>
        <item x="779"/>
        <item x="705"/>
        <item x="513"/>
        <item x="68"/>
        <item x="333"/>
        <item x="392"/>
        <item x="334"/>
        <item x="383"/>
        <item x="194"/>
        <item x="172"/>
        <item x="773"/>
        <item x="497"/>
        <item x="131"/>
        <item x="184"/>
        <item x="160"/>
        <item x="391"/>
        <item x="590"/>
        <item x="461"/>
        <item x="201"/>
        <item x="486"/>
        <item x="735"/>
        <item x="330"/>
        <item x="676"/>
        <item x="155"/>
        <item x="441"/>
        <item x="353"/>
        <item x="370"/>
        <item x="715"/>
        <item x="518"/>
        <item x="247"/>
        <item x="533"/>
        <item x="371"/>
        <item x="805"/>
        <item x="122"/>
        <item x="712"/>
        <item x="501"/>
        <item x="477"/>
        <item x="717"/>
        <item x="180"/>
        <item x="389"/>
        <item x="114"/>
        <item x="799"/>
        <item x="582"/>
        <item x="146"/>
        <item x="541"/>
        <item x="554"/>
        <item x="109"/>
        <item x="3"/>
        <item x="236"/>
        <item x="519"/>
        <item x="107"/>
        <item x="321"/>
        <item x="457"/>
        <item x="527"/>
        <item x="464"/>
        <item x="45"/>
        <item x="147"/>
        <item x="108"/>
        <item x="361"/>
        <item x="652"/>
        <item x="132"/>
        <item x="390"/>
        <item x="637"/>
        <item x="700"/>
        <item x="435"/>
        <item x="270"/>
        <item x="498"/>
        <item x="730"/>
        <item x="57"/>
        <item x="795"/>
        <item x="350"/>
        <item x="259"/>
        <item x="741"/>
        <item x="199"/>
        <item x="492"/>
        <item x="516"/>
        <item x="141"/>
        <item x="801"/>
        <item x="385"/>
        <item x="714"/>
        <item x="442"/>
        <item x="128"/>
        <item x="670"/>
        <item x="732"/>
        <item x="606"/>
        <item x="781"/>
        <item x="81"/>
        <item x="701"/>
        <item x="49"/>
        <item x="327"/>
        <item x="810"/>
        <item x="770"/>
        <item x="352"/>
        <item x="296"/>
        <item x="726"/>
        <item x="785"/>
        <item x="686"/>
        <item x="522"/>
        <item x="504"/>
        <item x="703"/>
        <item x="766"/>
        <item x="191"/>
        <item x="161"/>
        <item x="398"/>
        <item x="320"/>
        <item x="228"/>
        <item x="616"/>
        <item x="243"/>
        <item x="410"/>
        <item x="611"/>
        <item x="765"/>
        <item x="672"/>
        <item x="664"/>
        <item x="291"/>
        <item x="746"/>
        <item x="323"/>
        <item x="235"/>
        <item x="298"/>
        <item x="566"/>
        <item x="534"/>
        <item x="798"/>
        <item x="733"/>
        <item x="46"/>
        <item x="427"/>
        <item x="681"/>
        <item x="738"/>
        <item x="238"/>
        <item x="459"/>
        <item x="523"/>
        <item x="602"/>
        <item x="250"/>
        <item x="478"/>
        <item x="359"/>
        <item x="50"/>
        <item x="650"/>
        <item x="476"/>
        <item x="312"/>
        <item x="583"/>
        <item x="691"/>
        <item x="671"/>
        <item x="84"/>
        <item x="140"/>
        <item x="159"/>
        <item x="44"/>
        <item x="343"/>
        <item x="563"/>
        <item x="417"/>
        <item x="241"/>
        <item x="409"/>
        <item x="41"/>
        <item x="485"/>
        <item x="355"/>
        <item x="659"/>
        <item x="230"/>
        <item x="605"/>
        <item x="763"/>
        <item x="551"/>
        <item x="469"/>
        <item x="182"/>
        <item x="538"/>
        <item x="692"/>
        <item x="635"/>
        <item x="657"/>
        <item x="12"/>
        <item x="550"/>
        <item x="618"/>
        <item x="564"/>
        <item x="127"/>
        <item x="339"/>
        <item x="621"/>
        <item x="490"/>
        <item x="690"/>
        <item x="802"/>
        <item x="382"/>
        <item x="783"/>
        <item x="753"/>
        <item x="613"/>
        <item x="491"/>
        <item x="788"/>
        <item x="91"/>
        <item x="570"/>
        <item x="402"/>
        <item x="289"/>
        <item x="455"/>
        <item x="13"/>
        <item x="151"/>
        <item x="546"/>
        <item x="237"/>
        <item x="329"/>
        <item x="336"/>
        <item x="453"/>
        <item x="98"/>
        <item x="345"/>
        <item x="463"/>
        <item x="424"/>
        <item x="724"/>
        <item x="258"/>
        <item x="677"/>
        <item x="693"/>
        <item x="509"/>
        <item x="55"/>
        <item x="600"/>
        <item x="96"/>
        <item x="286"/>
        <item x="396"/>
        <item x="573"/>
        <item x="90"/>
        <item x="144"/>
        <item x="388"/>
        <item x="629"/>
        <item x="415"/>
        <item x="280"/>
        <item x="214"/>
        <item x="135"/>
        <item x="649"/>
        <item x="597"/>
        <item x="589"/>
        <item x="234"/>
        <item x="413"/>
        <item x="418"/>
        <item x="373"/>
        <item x="529"/>
        <item x="790"/>
        <item x="578"/>
        <item x="472"/>
        <item x="739"/>
        <item x="537"/>
        <item x="532"/>
        <item x="699"/>
        <item x="687"/>
        <item x="502"/>
        <item x="778"/>
        <item x="599"/>
        <item x="595"/>
        <item x="61"/>
        <item x="340"/>
        <item x="313"/>
        <item x="505"/>
        <item x="112"/>
        <item x="88"/>
        <item x="817"/>
        <item x="796"/>
        <item x="449"/>
        <item x="111"/>
        <item x="67"/>
        <item x="514"/>
        <item x="10"/>
        <item x="115"/>
        <item x="283"/>
        <item x="787"/>
        <item x="40"/>
        <item x="110"/>
        <item x="727"/>
        <item x="565"/>
        <item x="217"/>
        <item x="60"/>
        <item x="51"/>
        <item x="200"/>
        <item x="72"/>
        <item x="222"/>
        <item x="17"/>
        <item x="248"/>
        <item x="466"/>
        <item x="354"/>
        <item x="481"/>
        <item x="77"/>
        <item x="531"/>
        <item x="338"/>
        <item x="358"/>
        <item x="543"/>
        <item x="539"/>
        <item x="113"/>
        <item x="31"/>
        <item x="227"/>
        <item x="751"/>
        <item x="103"/>
        <item x="167"/>
        <item x="288"/>
        <item x="32"/>
        <item x="342"/>
        <item x="233"/>
        <item x="614"/>
        <item x="56"/>
        <item x="553"/>
        <item x="82"/>
        <item x="568"/>
        <item x="674"/>
        <item x="213"/>
        <item x="789"/>
        <item x="792"/>
        <item x="225"/>
        <item x="242"/>
        <item x="207"/>
        <item x="786"/>
        <item x="133"/>
        <item x="506"/>
        <item x="484"/>
        <item x="66"/>
        <item x="437"/>
        <item x="734"/>
        <item x="156"/>
        <item x="479"/>
        <item x="760"/>
        <item x="315"/>
        <item x="337"/>
        <item x="121"/>
        <item x="347"/>
        <item x="271"/>
        <item x="496"/>
        <item x="377"/>
        <item x="25"/>
        <item x="628"/>
        <item x="673"/>
        <item x="468"/>
        <item x="678"/>
        <item x="183"/>
        <item x="445"/>
        <item x="255"/>
        <item x="720"/>
        <item x="764"/>
        <item x="53"/>
        <item x="308"/>
        <item x="471"/>
        <item x="517"/>
        <item x="287"/>
        <item x="380"/>
        <item x="152"/>
        <item x="592"/>
        <item x="754"/>
        <item x="125"/>
        <item x="818"/>
        <item x="139"/>
        <item x="26"/>
        <item x="198"/>
        <item x="757"/>
        <item x="208"/>
        <item x="559"/>
        <item x="460"/>
        <item x="284"/>
        <item x="164"/>
        <item x="64"/>
        <item x="524"/>
        <item x="86"/>
        <item x="16"/>
        <item x="381"/>
        <item x="6"/>
        <item x="493"/>
        <item x="119"/>
        <item x="755"/>
        <item x="419"/>
        <item x="317"/>
        <item x="653"/>
        <item x="123"/>
        <item x="710"/>
        <item x="771"/>
        <item x="118"/>
        <item x="303"/>
        <item x="386"/>
        <item x="638"/>
        <item x="294"/>
        <item x="784"/>
        <item x="360"/>
        <item x="420"/>
        <item x="245"/>
        <item x="311"/>
        <item x="299"/>
        <item x="473"/>
        <item x="743"/>
        <item x="526"/>
        <item x="521"/>
        <item x="274"/>
        <item x="21"/>
        <item x="684"/>
        <item x="266"/>
        <item x="702"/>
        <item x="433"/>
        <item x="819"/>
        <item x="434"/>
        <item x="393"/>
        <item x="440"/>
        <item x="74"/>
        <item x="366"/>
        <item x="101"/>
        <item x="651"/>
        <item x="776"/>
        <item x="282"/>
        <item x="203"/>
        <item x="70"/>
        <item x="431"/>
        <item x="367"/>
        <item x="736"/>
        <item x="263"/>
        <item x="474"/>
        <item x="18"/>
        <item x="620"/>
        <item x="285"/>
        <item x="226"/>
        <item x="622"/>
        <item x="601"/>
        <item x="374"/>
        <item x="716"/>
        <item x="324"/>
        <item x="511"/>
        <item x="94"/>
        <item x="636"/>
        <item x="30"/>
        <item x="680"/>
        <item x="499"/>
        <item x="264"/>
        <item x="769"/>
        <item x="395"/>
        <item x="216"/>
        <item x="452"/>
        <item x="562"/>
        <item x="206"/>
        <item x="667"/>
        <item x="9"/>
        <item x="772"/>
        <item x="456"/>
        <item x="685"/>
        <item x="197"/>
        <item x="647"/>
        <item x="425"/>
        <item x="422"/>
        <item x="116"/>
        <item x="134"/>
        <item x="15"/>
        <item x="305"/>
        <item x="586"/>
        <item x="642"/>
        <item x="603"/>
        <item x="37"/>
        <item x="325"/>
        <item x="654"/>
        <item x="467"/>
        <item x="100"/>
        <item x="65"/>
        <item x="450"/>
        <item x="793"/>
        <item x="171"/>
        <item x="665"/>
        <item x="27"/>
        <item x="494"/>
        <item x="95"/>
        <item x="782"/>
        <item x="129"/>
        <item x="372"/>
        <item x="297"/>
        <item x="215"/>
        <item x="154"/>
        <item x="694"/>
        <item x="71"/>
        <item x="117"/>
        <item x="265"/>
        <item x="292"/>
        <item x="362"/>
        <item x="660"/>
        <item x="83"/>
        <item x="572"/>
        <item x="619"/>
        <item x="728"/>
        <item x="79"/>
        <item x="510"/>
        <item x="59"/>
        <item x="295"/>
        <item x="668"/>
        <item x="301"/>
        <item x="661"/>
        <item x="742"/>
        <item x="43"/>
        <item x="218"/>
        <item x="625"/>
        <item x="722"/>
        <item x="28"/>
        <item x="316"/>
        <item x="658"/>
        <item x="416"/>
        <item x="630"/>
        <item x="489"/>
        <item x="487"/>
        <item x="384"/>
        <item x="136"/>
        <item x="585"/>
        <item x="594"/>
        <item x="76"/>
        <item x="93"/>
        <item x="436"/>
        <item x="549"/>
        <item x="399"/>
        <item x="47"/>
        <item x="774"/>
        <item x="608"/>
        <item x="166"/>
        <item x="240"/>
        <item x="309"/>
        <item x="262"/>
        <item x="556"/>
        <item x="820"/>
        <item x="5"/>
        <item x="612"/>
        <item x="633"/>
        <item x="500"/>
        <item x="224"/>
        <item x="149"/>
        <item x="158"/>
        <item x="193"/>
        <item x="378"/>
        <item x="157"/>
        <item x="807"/>
        <item x="275"/>
        <item x="8"/>
        <item x="39"/>
        <item x="22"/>
        <item x="19"/>
        <item x="634"/>
        <item x="99"/>
        <item x="403"/>
        <item x="689"/>
        <item x="794"/>
        <item x="267"/>
        <item x="341"/>
        <item x="363"/>
        <item x="607"/>
        <item x="150"/>
        <item x="244"/>
        <item x="268"/>
        <item x="725"/>
        <item x="195"/>
        <item x="365"/>
        <item x="512"/>
        <item x="165"/>
        <item x="759"/>
        <item x="394"/>
        <item x="253"/>
        <item x="411"/>
        <item x="62"/>
        <item x="209"/>
        <item x="695"/>
        <item x="780"/>
        <item x="35"/>
        <item x="525"/>
        <item x="423"/>
        <item x="400"/>
        <item x="124"/>
        <item x="351"/>
        <item x="711"/>
        <item x="220"/>
        <item x="176"/>
        <item x="475"/>
        <item x="314"/>
        <item x="718"/>
        <item x="679"/>
        <item x="656"/>
        <item x="426"/>
        <item x="675"/>
        <item x="80"/>
        <item x="254"/>
        <item x="809"/>
        <item x="276"/>
        <item x="168"/>
        <item x="643"/>
        <item x="246"/>
        <item x="173"/>
        <item x="813"/>
        <item x="587"/>
        <item x="23"/>
        <item x="536"/>
        <item x="575"/>
        <item x="439"/>
        <item x="745"/>
        <item x="357"/>
        <item x="192"/>
        <item x="814"/>
        <item x="178"/>
        <item x="567"/>
        <item x="812"/>
        <item x="591"/>
        <item x="482"/>
        <item x="281"/>
        <item x="75"/>
        <item x="648"/>
        <item x="555"/>
        <item x="451"/>
        <item x="87"/>
        <item x="162"/>
        <item x="126"/>
        <item x="609"/>
        <item x="576"/>
        <item x="269"/>
        <item x="186"/>
        <item x="775"/>
        <item x="189"/>
        <item x="379"/>
        <item x="175"/>
        <item x="48"/>
        <item x="273"/>
        <item x="223"/>
        <item x="210"/>
        <item x="257"/>
        <item x="465"/>
        <item x="548"/>
        <item x="430"/>
        <item x="588"/>
        <item x="52"/>
        <item t="default"/>
      </items>
    </pivotField>
    <pivotField showAll="0">
      <items count="5">
        <item x="1"/>
        <item x="2"/>
        <item x="0"/>
        <item x="3"/>
        <item t="default"/>
      </items>
    </pivotField>
    <pivotField numFmtId="8" showAll="0"/>
    <pivotField numFmtId="8" showAll="0"/>
    <pivotField numFmtId="8"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4">
    <field x="21"/>
    <field x="20"/>
    <field x="19"/>
    <field x="12"/>
  </rowFields>
  <rowItems count="7">
    <i>
      <x v="1"/>
    </i>
    <i>
      <x v="2"/>
    </i>
    <i>
      <x v="3"/>
    </i>
    <i>
      <x v="4"/>
    </i>
    <i>
      <x v="5"/>
    </i>
    <i>
      <x v="6"/>
    </i>
    <i>
      <x v="7"/>
    </i>
  </rowItems>
  <colItems count="1">
    <i/>
  </colItems>
  <dataFields count="1">
    <dataField name="Sum of Loan_Amount" fld="6" baseField="0" baseItem="0" numFmtId="16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BBC570-DB69-4AB0-9B87-A5CBFFC8EE6B}"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5">
  <location ref="A3:C7" firstHeaderRow="0" firstDataRow="1" firstDataCol="1"/>
  <pivotFields count="22">
    <pivotField showAll="0"/>
    <pivotField showAll="0"/>
    <pivotField showAll="0"/>
    <pivotField showAll="0"/>
    <pivotField showAll="0">
      <items count="4">
        <item x="2"/>
        <item x="0"/>
        <item x="1"/>
        <item t="default"/>
      </items>
    </pivotField>
    <pivotField numFmtId="165" showAll="0"/>
    <pivotField dataField="1" numFmtId="165" showAll="0"/>
    <pivotField dataField="1" showAll="0"/>
    <pivotField showAll="0"/>
    <pivotField showAll="0"/>
    <pivotField axis="axisRow" showAll="0">
      <items count="5">
        <item x="1"/>
        <item x="0"/>
        <item x="2"/>
        <item x="3"/>
        <item t="default"/>
      </items>
    </pivotField>
    <pivotField showAll="0"/>
    <pivotField numFmtId="164" showAll="0">
      <items count="822">
        <item x="63"/>
        <item x="530"/>
        <item x="557"/>
        <item x="11"/>
        <item x="177"/>
        <item x="1"/>
        <item x="577"/>
        <item x="454"/>
        <item x="304"/>
        <item x="709"/>
        <item x="666"/>
        <item x="331"/>
        <item x="610"/>
        <item x="729"/>
        <item x="120"/>
        <item x="179"/>
        <item x="749"/>
        <item x="740"/>
        <item x="808"/>
        <item x="646"/>
        <item x="503"/>
        <item x="604"/>
        <item x="20"/>
        <item x="627"/>
        <item x="804"/>
        <item x="748"/>
        <item x="221"/>
        <item x="169"/>
        <item x="196"/>
        <item x="170"/>
        <item x="707"/>
        <item x="408"/>
        <item x="204"/>
        <item x="507"/>
        <item x="632"/>
        <item x="655"/>
        <item x="558"/>
        <item x="528"/>
        <item x="92"/>
        <item x="302"/>
        <item x="397"/>
        <item x="706"/>
        <item x="229"/>
        <item x="4"/>
        <item x="777"/>
        <item x="278"/>
        <item x="279"/>
        <item x="761"/>
        <item x="421"/>
        <item x="470"/>
        <item x="137"/>
        <item x="174"/>
        <item x="737"/>
        <item x="163"/>
        <item x="364"/>
        <item x="723"/>
        <item x="328"/>
        <item x="187"/>
        <item x="307"/>
        <item x="130"/>
        <item x="797"/>
        <item x="545"/>
        <item x="480"/>
        <item x="7"/>
        <item x="744"/>
        <item x="816"/>
        <item x="2"/>
        <item x="561"/>
        <item x="574"/>
        <item x="256"/>
        <item x="520"/>
        <item x="641"/>
        <item x="143"/>
        <item x="249"/>
        <item x="346"/>
        <item x="412"/>
        <item x="593"/>
        <item x="349"/>
        <item x="662"/>
        <item x="552"/>
        <item x="750"/>
        <item x="683"/>
        <item x="142"/>
        <item x="756"/>
        <item x="731"/>
        <item x="448"/>
        <item x="488"/>
        <item x="24"/>
        <item x="639"/>
        <item x="89"/>
        <item x="663"/>
        <item x="800"/>
        <item x="721"/>
        <item x="444"/>
        <item x="104"/>
        <item x="368"/>
        <item x="762"/>
        <item x="69"/>
        <item x="483"/>
        <item x="406"/>
        <item x="767"/>
        <item x="580"/>
        <item x="306"/>
        <item x="332"/>
        <item x="202"/>
        <item x="85"/>
        <item x="102"/>
        <item x="596"/>
        <item x="145"/>
        <item x="560"/>
        <item x="190"/>
        <item x="42"/>
        <item x="404"/>
        <item x="495"/>
        <item x="14"/>
        <item x="669"/>
        <item x="272"/>
        <item x="644"/>
        <item x="387"/>
        <item x="584"/>
        <item x="106"/>
        <item x="752"/>
        <item x="405"/>
        <item x="375"/>
        <item x="58"/>
        <item x="571"/>
        <item x="515"/>
        <item x="300"/>
        <item x="447"/>
        <item x="251"/>
        <item x="535"/>
        <item x="401"/>
        <item x="211"/>
        <item x="768"/>
        <item x="791"/>
        <item x="369"/>
        <item x="105"/>
        <item x="432"/>
        <item x="407"/>
        <item x="293"/>
        <item x="344"/>
        <item x="322"/>
        <item x="138"/>
        <item x="623"/>
        <item x="713"/>
        <item x="97"/>
        <item x="579"/>
        <item x="181"/>
        <item x="319"/>
        <item x="252"/>
        <item x="188"/>
        <item x="598"/>
        <item x="231"/>
        <item x="335"/>
        <item x="446"/>
        <item x="148"/>
        <item x="508"/>
        <item x="698"/>
        <item x="310"/>
        <item x="581"/>
        <item x="212"/>
        <item x="645"/>
        <item x="239"/>
        <item x="260"/>
        <item x="318"/>
        <item x="682"/>
        <item x="811"/>
        <item x="38"/>
        <item x="719"/>
        <item x="458"/>
        <item x="219"/>
        <item x="542"/>
        <item x="438"/>
        <item x="356"/>
        <item x="462"/>
        <item x="290"/>
        <item x="747"/>
        <item x="544"/>
        <item x="697"/>
        <item x="815"/>
        <item x="624"/>
        <item x="626"/>
        <item x="326"/>
        <item x="73"/>
        <item x="78"/>
        <item x="696"/>
        <item x="806"/>
        <item x="153"/>
        <item x="708"/>
        <item x="428"/>
        <item x="617"/>
        <item x="185"/>
        <item x="261"/>
        <item x="429"/>
        <item x="34"/>
        <item x="540"/>
        <item x="36"/>
        <item x="631"/>
        <item x="803"/>
        <item x="205"/>
        <item x="232"/>
        <item x="414"/>
        <item x="758"/>
        <item x="569"/>
        <item x="277"/>
        <item x="640"/>
        <item x="348"/>
        <item x="688"/>
        <item x="615"/>
        <item x="547"/>
        <item x="704"/>
        <item x="0"/>
        <item x="29"/>
        <item x="54"/>
        <item x="376"/>
        <item x="443"/>
        <item x="33"/>
        <item x="779"/>
        <item x="705"/>
        <item x="513"/>
        <item x="68"/>
        <item x="333"/>
        <item x="392"/>
        <item x="334"/>
        <item x="383"/>
        <item x="194"/>
        <item x="172"/>
        <item x="773"/>
        <item x="497"/>
        <item x="131"/>
        <item x="184"/>
        <item x="160"/>
        <item x="391"/>
        <item x="590"/>
        <item x="461"/>
        <item x="201"/>
        <item x="486"/>
        <item x="735"/>
        <item x="330"/>
        <item x="676"/>
        <item x="155"/>
        <item x="441"/>
        <item x="353"/>
        <item x="370"/>
        <item x="715"/>
        <item x="518"/>
        <item x="247"/>
        <item x="533"/>
        <item x="371"/>
        <item x="805"/>
        <item x="122"/>
        <item x="712"/>
        <item x="501"/>
        <item x="477"/>
        <item x="717"/>
        <item x="180"/>
        <item x="389"/>
        <item x="114"/>
        <item x="799"/>
        <item x="582"/>
        <item x="146"/>
        <item x="541"/>
        <item x="554"/>
        <item x="109"/>
        <item x="3"/>
        <item x="236"/>
        <item x="519"/>
        <item x="107"/>
        <item x="321"/>
        <item x="457"/>
        <item x="527"/>
        <item x="464"/>
        <item x="45"/>
        <item x="147"/>
        <item x="108"/>
        <item x="361"/>
        <item x="652"/>
        <item x="132"/>
        <item x="390"/>
        <item x="637"/>
        <item x="700"/>
        <item x="435"/>
        <item x="270"/>
        <item x="498"/>
        <item x="730"/>
        <item x="57"/>
        <item x="795"/>
        <item x="350"/>
        <item x="259"/>
        <item x="741"/>
        <item x="199"/>
        <item x="492"/>
        <item x="516"/>
        <item x="141"/>
        <item x="801"/>
        <item x="385"/>
        <item x="714"/>
        <item x="442"/>
        <item x="128"/>
        <item x="670"/>
        <item x="732"/>
        <item x="606"/>
        <item x="781"/>
        <item x="81"/>
        <item x="701"/>
        <item x="49"/>
        <item x="327"/>
        <item x="810"/>
        <item x="770"/>
        <item x="352"/>
        <item x="296"/>
        <item x="726"/>
        <item x="785"/>
        <item x="686"/>
        <item x="522"/>
        <item x="504"/>
        <item x="703"/>
        <item x="766"/>
        <item x="191"/>
        <item x="161"/>
        <item x="398"/>
        <item x="320"/>
        <item x="228"/>
        <item x="616"/>
        <item x="243"/>
        <item x="410"/>
        <item x="611"/>
        <item x="765"/>
        <item x="672"/>
        <item x="664"/>
        <item x="291"/>
        <item x="746"/>
        <item x="323"/>
        <item x="235"/>
        <item x="298"/>
        <item x="566"/>
        <item x="534"/>
        <item x="798"/>
        <item x="733"/>
        <item x="46"/>
        <item x="427"/>
        <item x="681"/>
        <item x="738"/>
        <item x="238"/>
        <item x="459"/>
        <item x="523"/>
        <item x="602"/>
        <item x="250"/>
        <item x="478"/>
        <item x="359"/>
        <item x="50"/>
        <item x="650"/>
        <item x="476"/>
        <item x="312"/>
        <item x="583"/>
        <item x="691"/>
        <item x="671"/>
        <item x="84"/>
        <item x="140"/>
        <item x="159"/>
        <item x="44"/>
        <item x="343"/>
        <item x="563"/>
        <item x="417"/>
        <item x="241"/>
        <item x="409"/>
        <item x="41"/>
        <item x="485"/>
        <item x="355"/>
        <item x="659"/>
        <item x="230"/>
        <item x="605"/>
        <item x="763"/>
        <item x="551"/>
        <item x="469"/>
        <item x="182"/>
        <item x="538"/>
        <item x="692"/>
        <item x="635"/>
        <item x="657"/>
        <item x="12"/>
        <item x="550"/>
        <item x="618"/>
        <item x="564"/>
        <item x="127"/>
        <item x="339"/>
        <item x="621"/>
        <item x="490"/>
        <item x="690"/>
        <item x="802"/>
        <item x="382"/>
        <item x="783"/>
        <item x="753"/>
        <item x="613"/>
        <item x="491"/>
        <item x="788"/>
        <item x="91"/>
        <item x="570"/>
        <item x="402"/>
        <item x="289"/>
        <item x="455"/>
        <item x="13"/>
        <item x="151"/>
        <item x="546"/>
        <item x="237"/>
        <item x="329"/>
        <item x="336"/>
        <item x="453"/>
        <item x="98"/>
        <item x="345"/>
        <item x="463"/>
        <item x="424"/>
        <item x="724"/>
        <item x="258"/>
        <item x="677"/>
        <item x="693"/>
        <item x="509"/>
        <item x="55"/>
        <item x="600"/>
        <item x="96"/>
        <item x="286"/>
        <item x="396"/>
        <item x="573"/>
        <item x="90"/>
        <item x="144"/>
        <item x="388"/>
        <item x="629"/>
        <item x="415"/>
        <item x="280"/>
        <item x="214"/>
        <item x="135"/>
        <item x="649"/>
        <item x="597"/>
        <item x="589"/>
        <item x="234"/>
        <item x="413"/>
        <item x="418"/>
        <item x="373"/>
        <item x="529"/>
        <item x="790"/>
        <item x="578"/>
        <item x="472"/>
        <item x="739"/>
        <item x="537"/>
        <item x="532"/>
        <item x="699"/>
        <item x="687"/>
        <item x="502"/>
        <item x="778"/>
        <item x="599"/>
        <item x="595"/>
        <item x="61"/>
        <item x="340"/>
        <item x="313"/>
        <item x="505"/>
        <item x="112"/>
        <item x="88"/>
        <item x="817"/>
        <item x="796"/>
        <item x="449"/>
        <item x="111"/>
        <item x="67"/>
        <item x="514"/>
        <item x="10"/>
        <item x="115"/>
        <item x="283"/>
        <item x="787"/>
        <item x="40"/>
        <item x="110"/>
        <item x="727"/>
        <item x="565"/>
        <item x="217"/>
        <item x="60"/>
        <item x="51"/>
        <item x="200"/>
        <item x="72"/>
        <item x="222"/>
        <item x="17"/>
        <item x="248"/>
        <item x="466"/>
        <item x="354"/>
        <item x="481"/>
        <item x="77"/>
        <item x="531"/>
        <item x="338"/>
        <item x="358"/>
        <item x="543"/>
        <item x="539"/>
        <item x="113"/>
        <item x="31"/>
        <item x="227"/>
        <item x="751"/>
        <item x="103"/>
        <item x="167"/>
        <item x="288"/>
        <item x="32"/>
        <item x="342"/>
        <item x="233"/>
        <item x="614"/>
        <item x="56"/>
        <item x="553"/>
        <item x="82"/>
        <item x="568"/>
        <item x="674"/>
        <item x="213"/>
        <item x="789"/>
        <item x="792"/>
        <item x="225"/>
        <item x="242"/>
        <item x="207"/>
        <item x="786"/>
        <item x="133"/>
        <item x="506"/>
        <item x="484"/>
        <item x="66"/>
        <item x="437"/>
        <item x="734"/>
        <item x="156"/>
        <item x="479"/>
        <item x="760"/>
        <item x="315"/>
        <item x="337"/>
        <item x="121"/>
        <item x="347"/>
        <item x="271"/>
        <item x="496"/>
        <item x="377"/>
        <item x="25"/>
        <item x="628"/>
        <item x="673"/>
        <item x="468"/>
        <item x="678"/>
        <item x="183"/>
        <item x="445"/>
        <item x="255"/>
        <item x="720"/>
        <item x="764"/>
        <item x="53"/>
        <item x="308"/>
        <item x="471"/>
        <item x="517"/>
        <item x="287"/>
        <item x="380"/>
        <item x="152"/>
        <item x="592"/>
        <item x="754"/>
        <item x="125"/>
        <item x="818"/>
        <item x="139"/>
        <item x="26"/>
        <item x="198"/>
        <item x="757"/>
        <item x="208"/>
        <item x="559"/>
        <item x="460"/>
        <item x="284"/>
        <item x="164"/>
        <item x="64"/>
        <item x="524"/>
        <item x="86"/>
        <item x="16"/>
        <item x="381"/>
        <item x="6"/>
        <item x="493"/>
        <item x="119"/>
        <item x="755"/>
        <item x="419"/>
        <item x="317"/>
        <item x="653"/>
        <item x="123"/>
        <item x="710"/>
        <item x="771"/>
        <item x="118"/>
        <item x="303"/>
        <item x="386"/>
        <item x="638"/>
        <item x="294"/>
        <item x="784"/>
        <item x="360"/>
        <item x="420"/>
        <item x="245"/>
        <item x="311"/>
        <item x="299"/>
        <item x="473"/>
        <item x="743"/>
        <item x="526"/>
        <item x="521"/>
        <item x="274"/>
        <item x="21"/>
        <item x="684"/>
        <item x="266"/>
        <item x="702"/>
        <item x="433"/>
        <item x="819"/>
        <item x="434"/>
        <item x="393"/>
        <item x="440"/>
        <item x="74"/>
        <item x="366"/>
        <item x="101"/>
        <item x="651"/>
        <item x="776"/>
        <item x="282"/>
        <item x="203"/>
        <item x="70"/>
        <item x="431"/>
        <item x="367"/>
        <item x="736"/>
        <item x="263"/>
        <item x="474"/>
        <item x="18"/>
        <item x="620"/>
        <item x="285"/>
        <item x="226"/>
        <item x="622"/>
        <item x="601"/>
        <item x="374"/>
        <item x="716"/>
        <item x="324"/>
        <item x="511"/>
        <item x="94"/>
        <item x="636"/>
        <item x="30"/>
        <item x="680"/>
        <item x="499"/>
        <item x="264"/>
        <item x="769"/>
        <item x="395"/>
        <item x="216"/>
        <item x="452"/>
        <item x="562"/>
        <item x="206"/>
        <item x="667"/>
        <item x="9"/>
        <item x="772"/>
        <item x="456"/>
        <item x="685"/>
        <item x="197"/>
        <item x="647"/>
        <item x="425"/>
        <item x="422"/>
        <item x="116"/>
        <item x="134"/>
        <item x="15"/>
        <item x="305"/>
        <item x="586"/>
        <item x="642"/>
        <item x="603"/>
        <item x="37"/>
        <item x="325"/>
        <item x="654"/>
        <item x="467"/>
        <item x="100"/>
        <item x="65"/>
        <item x="450"/>
        <item x="793"/>
        <item x="171"/>
        <item x="665"/>
        <item x="27"/>
        <item x="494"/>
        <item x="95"/>
        <item x="782"/>
        <item x="129"/>
        <item x="372"/>
        <item x="297"/>
        <item x="215"/>
        <item x="154"/>
        <item x="694"/>
        <item x="71"/>
        <item x="117"/>
        <item x="265"/>
        <item x="292"/>
        <item x="362"/>
        <item x="660"/>
        <item x="83"/>
        <item x="572"/>
        <item x="619"/>
        <item x="728"/>
        <item x="79"/>
        <item x="510"/>
        <item x="59"/>
        <item x="295"/>
        <item x="668"/>
        <item x="301"/>
        <item x="661"/>
        <item x="742"/>
        <item x="43"/>
        <item x="218"/>
        <item x="625"/>
        <item x="722"/>
        <item x="28"/>
        <item x="316"/>
        <item x="658"/>
        <item x="416"/>
        <item x="630"/>
        <item x="489"/>
        <item x="487"/>
        <item x="384"/>
        <item x="136"/>
        <item x="585"/>
        <item x="594"/>
        <item x="76"/>
        <item x="93"/>
        <item x="436"/>
        <item x="549"/>
        <item x="399"/>
        <item x="47"/>
        <item x="774"/>
        <item x="608"/>
        <item x="166"/>
        <item x="240"/>
        <item x="309"/>
        <item x="262"/>
        <item x="556"/>
        <item x="820"/>
        <item x="5"/>
        <item x="612"/>
        <item x="633"/>
        <item x="500"/>
        <item x="224"/>
        <item x="149"/>
        <item x="158"/>
        <item x="193"/>
        <item x="378"/>
        <item x="157"/>
        <item x="807"/>
        <item x="275"/>
        <item x="8"/>
        <item x="39"/>
        <item x="22"/>
        <item x="19"/>
        <item x="634"/>
        <item x="99"/>
        <item x="403"/>
        <item x="689"/>
        <item x="794"/>
        <item x="267"/>
        <item x="341"/>
        <item x="363"/>
        <item x="607"/>
        <item x="150"/>
        <item x="244"/>
        <item x="268"/>
        <item x="725"/>
        <item x="195"/>
        <item x="365"/>
        <item x="512"/>
        <item x="165"/>
        <item x="759"/>
        <item x="394"/>
        <item x="253"/>
        <item x="411"/>
        <item x="62"/>
        <item x="209"/>
        <item x="695"/>
        <item x="780"/>
        <item x="35"/>
        <item x="525"/>
        <item x="423"/>
        <item x="400"/>
        <item x="124"/>
        <item x="351"/>
        <item x="711"/>
        <item x="220"/>
        <item x="176"/>
        <item x="475"/>
        <item x="314"/>
        <item x="718"/>
        <item x="679"/>
        <item x="656"/>
        <item x="426"/>
        <item x="675"/>
        <item x="80"/>
        <item x="254"/>
        <item x="809"/>
        <item x="276"/>
        <item x="168"/>
        <item x="643"/>
        <item x="246"/>
        <item x="173"/>
        <item x="813"/>
        <item x="587"/>
        <item x="23"/>
        <item x="536"/>
        <item x="575"/>
        <item x="439"/>
        <item x="745"/>
        <item x="357"/>
        <item x="192"/>
        <item x="814"/>
        <item x="178"/>
        <item x="567"/>
        <item x="812"/>
        <item x="591"/>
        <item x="482"/>
        <item x="281"/>
        <item x="75"/>
        <item x="648"/>
        <item x="555"/>
        <item x="451"/>
        <item x="87"/>
        <item x="162"/>
        <item x="126"/>
        <item x="609"/>
        <item x="576"/>
        <item x="269"/>
        <item x="186"/>
        <item x="775"/>
        <item x="189"/>
        <item x="379"/>
        <item x="175"/>
        <item x="48"/>
        <item x="273"/>
        <item x="223"/>
        <item x="210"/>
        <item x="257"/>
        <item x="465"/>
        <item x="548"/>
        <item x="430"/>
        <item x="588"/>
        <item x="52"/>
        <item t="default"/>
      </items>
    </pivotField>
    <pivotField showAll="0">
      <items count="5">
        <item x="1"/>
        <item x="2"/>
        <item x="0"/>
        <item x="3"/>
        <item t="default"/>
      </items>
    </pivotField>
    <pivotField numFmtId="8" showAll="0"/>
    <pivotField numFmtId="8" showAll="0"/>
    <pivotField numFmtId="8"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0"/>
  </rowFields>
  <rowItems count="4">
    <i>
      <x/>
    </i>
    <i>
      <x v="1"/>
    </i>
    <i>
      <x v="2"/>
    </i>
    <i>
      <x v="3"/>
    </i>
  </rowItems>
  <colFields count="1">
    <field x="-2"/>
  </colFields>
  <colItems count="2">
    <i>
      <x/>
    </i>
    <i i="1">
      <x v="1"/>
    </i>
  </colItems>
  <dataFields count="2">
    <dataField name="Average of Interest_Rate" fld="7" subtotal="average" baseField="10" baseItem="0"/>
    <dataField name="Average of Loan_Amount" fld="6" subtotal="average" baseField="10" baseItem="0" numFmtId="165"/>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0D3865-FA48-4623-897E-011BB282E514}" name="PivotTable1"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9" firstHeaderRow="1" firstDataRow="2" firstDataCol="1"/>
  <pivotFields count="22">
    <pivotField showAll="0"/>
    <pivotField showAll="0"/>
    <pivotField showAll="0"/>
    <pivotField showAll="0"/>
    <pivotField axis="axisCol" dataField="1" showAll="0">
      <items count="4">
        <item x="2"/>
        <item x="0"/>
        <item x="1"/>
        <item t="default"/>
      </items>
    </pivotField>
    <pivotField numFmtId="165" showAll="0"/>
    <pivotField numFmtId="165" showAll="0"/>
    <pivotField showAll="0"/>
    <pivotField showAll="0"/>
    <pivotField showAll="0"/>
    <pivotField axis="axisRow" showAll="0">
      <items count="5">
        <item x="1"/>
        <item x="0"/>
        <item x="2"/>
        <item x="3"/>
        <item t="default"/>
      </items>
    </pivotField>
    <pivotField showAll="0">
      <items count="3">
        <item x="0"/>
        <item x="1"/>
        <item t="default"/>
      </items>
    </pivotField>
    <pivotField numFmtId="164" showAll="0">
      <items count="822">
        <item x="63"/>
        <item x="530"/>
        <item x="557"/>
        <item x="11"/>
        <item x="177"/>
        <item x="1"/>
        <item x="577"/>
        <item x="454"/>
        <item x="304"/>
        <item x="709"/>
        <item x="666"/>
        <item x="331"/>
        <item x="610"/>
        <item x="729"/>
        <item x="120"/>
        <item x="179"/>
        <item x="749"/>
        <item x="740"/>
        <item x="808"/>
        <item x="646"/>
        <item x="503"/>
        <item x="604"/>
        <item x="20"/>
        <item x="627"/>
        <item x="804"/>
        <item x="748"/>
        <item x="221"/>
        <item x="169"/>
        <item x="196"/>
        <item x="170"/>
        <item x="707"/>
        <item x="408"/>
        <item x="204"/>
        <item x="507"/>
        <item x="632"/>
        <item x="655"/>
        <item x="558"/>
        <item x="528"/>
        <item x="92"/>
        <item x="302"/>
        <item x="397"/>
        <item x="706"/>
        <item x="229"/>
        <item x="4"/>
        <item x="777"/>
        <item x="278"/>
        <item x="279"/>
        <item x="761"/>
        <item x="421"/>
        <item x="470"/>
        <item x="137"/>
        <item x="174"/>
        <item x="737"/>
        <item x="163"/>
        <item x="364"/>
        <item x="723"/>
        <item x="328"/>
        <item x="187"/>
        <item x="307"/>
        <item x="130"/>
        <item x="797"/>
        <item x="545"/>
        <item x="480"/>
        <item x="7"/>
        <item x="744"/>
        <item x="816"/>
        <item x="2"/>
        <item x="561"/>
        <item x="574"/>
        <item x="256"/>
        <item x="520"/>
        <item x="641"/>
        <item x="143"/>
        <item x="249"/>
        <item x="346"/>
        <item x="412"/>
        <item x="593"/>
        <item x="349"/>
        <item x="662"/>
        <item x="552"/>
        <item x="750"/>
        <item x="683"/>
        <item x="142"/>
        <item x="756"/>
        <item x="731"/>
        <item x="448"/>
        <item x="488"/>
        <item x="24"/>
        <item x="639"/>
        <item x="89"/>
        <item x="663"/>
        <item x="800"/>
        <item x="721"/>
        <item x="444"/>
        <item x="104"/>
        <item x="368"/>
        <item x="762"/>
        <item x="69"/>
        <item x="483"/>
        <item x="406"/>
        <item x="767"/>
        <item x="580"/>
        <item x="306"/>
        <item x="332"/>
        <item x="202"/>
        <item x="85"/>
        <item x="102"/>
        <item x="596"/>
        <item x="145"/>
        <item x="560"/>
        <item x="190"/>
        <item x="42"/>
        <item x="404"/>
        <item x="495"/>
        <item x="14"/>
        <item x="669"/>
        <item x="272"/>
        <item x="644"/>
        <item x="387"/>
        <item x="584"/>
        <item x="106"/>
        <item x="752"/>
        <item x="405"/>
        <item x="375"/>
        <item x="58"/>
        <item x="571"/>
        <item x="515"/>
        <item x="300"/>
        <item x="447"/>
        <item x="251"/>
        <item x="535"/>
        <item x="401"/>
        <item x="211"/>
        <item x="768"/>
        <item x="791"/>
        <item x="369"/>
        <item x="105"/>
        <item x="432"/>
        <item x="407"/>
        <item x="293"/>
        <item x="344"/>
        <item x="322"/>
        <item x="138"/>
        <item x="623"/>
        <item x="713"/>
        <item x="97"/>
        <item x="579"/>
        <item x="181"/>
        <item x="319"/>
        <item x="252"/>
        <item x="188"/>
        <item x="598"/>
        <item x="231"/>
        <item x="335"/>
        <item x="446"/>
        <item x="148"/>
        <item x="508"/>
        <item x="698"/>
        <item x="310"/>
        <item x="581"/>
        <item x="212"/>
        <item x="645"/>
        <item x="239"/>
        <item x="260"/>
        <item x="318"/>
        <item x="682"/>
        <item x="811"/>
        <item x="38"/>
        <item x="719"/>
        <item x="458"/>
        <item x="219"/>
        <item x="542"/>
        <item x="438"/>
        <item x="356"/>
        <item x="462"/>
        <item x="290"/>
        <item x="747"/>
        <item x="544"/>
        <item x="697"/>
        <item x="815"/>
        <item x="624"/>
        <item x="626"/>
        <item x="326"/>
        <item x="73"/>
        <item x="78"/>
        <item x="696"/>
        <item x="806"/>
        <item x="153"/>
        <item x="708"/>
        <item x="428"/>
        <item x="617"/>
        <item x="185"/>
        <item x="261"/>
        <item x="429"/>
        <item x="34"/>
        <item x="540"/>
        <item x="36"/>
        <item x="631"/>
        <item x="803"/>
        <item x="205"/>
        <item x="232"/>
        <item x="414"/>
        <item x="758"/>
        <item x="569"/>
        <item x="277"/>
        <item x="640"/>
        <item x="348"/>
        <item x="688"/>
        <item x="615"/>
        <item x="547"/>
        <item x="704"/>
        <item x="0"/>
        <item x="29"/>
        <item x="54"/>
        <item x="376"/>
        <item x="443"/>
        <item x="33"/>
        <item x="779"/>
        <item x="705"/>
        <item x="513"/>
        <item x="68"/>
        <item x="333"/>
        <item x="392"/>
        <item x="334"/>
        <item x="383"/>
        <item x="194"/>
        <item x="172"/>
        <item x="773"/>
        <item x="497"/>
        <item x="131"/>
        <item x="184"/>
        <item x="160"/>
        <item x="391"/>
        <item x="590"/>
        <item x="461"/>
        <item x="201"/>
        <item x="486"/>
        <item x="735"/>
        <item x="330"/>
        <item x="676"/>
        <item x="155"/>
        <item x="441"/>
        <item x="353"/>
        <item x="370"/>
        <item x="715"/>
        <item x="518"/>
        <item x="247"/>
        <item x="533"/>
        <item x="371"/>
        <item x="805"/>
        <item x="122"/>
        <item x="712"/>
        <item x="501"/>
        <item x="477"/>
        <item x="717"/>
        <item x="180"/>
        <item x="389"/>
        <item x="114"/>
        <item x="799"/>
        <item x="582"/>
        <item x="146"/>
        <item x="541"/>
        <item x="554"/>
        <item x="109"/>
        <item x="3"/>
        <item x="236"/>
        <item x="519"/>
        <item x="107"/>
        <item x="321"/>
        <item x="457"/>
        <item x="527"/>
        <item x="464"/>
        <item x="45"/>
        <item x="147"/>
        <item x="108"/>
        <item x="361"/>
        <item x="652"/>
        <item x="132"/>
        <item x="390"/>
        <item x="637"/>
        <item x="700"/>
        <item x="435"/>
        <item x="270"/>
        <item x="498"/>
        <item x="730"/>
        <item x="57"/>
        <item x="795"/>
        <item x="350"/>
        <item x="259"/>
        <item x="741"/>
        <item x="199"/>
        <item x="492"/>
        <item x="516"/>
        <item x="141"/>
        <item x="801"/>
        <item x="385"/>
        <item x="714"/>
        <item x="442"/>
        <item x="128"/>
        <item x="670"/>
        <item x="732"/>
        <item x="606"/>
        <item x="781"/>
        <item x="81"/>
        <item x="701"/>
        <item x="49"/>
        <item x="327"/>
        <item x="810"/>
        <item x="770"/>
        <item x="352"/>
        <item x="296"/>
        <item x="726"/>
        <item x="785"/>
        <item x="686"/>
        <item x="522"/>
        <item x="504"/>
        <item x="703"/>
        <item x="766"/>
        <item x="191"/>
        <item x="161"/>
        <item x="398"/>
        <item x="320"/>
        <item x="228"/>
        <item x="616"/>
        <item x="243"/>
        <item x="410"/>
        <item x="611"/>
        <item x="765"/>
        <item x="672"/>
        <item x="664"/>
        <item x="291"/>
        <item x="746"/>
        <item x="323"/>
        <item x="235"/>
        <item x="298"/>
        <item x="566"/>
        <item x="534"/>
        <item x="798"/>
        <item x="733"/>
        <item x="46"/>
        <item x="427"/>
        <item x="681"/>
        <item x="738"/>
        <item x="238"/>
        <item x="459"/>
        <item x="523"/>
        <item x="602"/>
        <item x="250"/>
        <item x="478"/>
        <item x="359"/>
        <item x="50"/>
        <item x="650"/>
        <item x="476"/>
        <item x="312"/>
        <item x="583"/>
        <item x="691"/>
        <item x="671"/>
        <item x="84"/>
        <item x="140"/>
        <item x="159"/>
        <item x="44"/>
        <item x="343"/>
        <item x="563"/>
        <item x="417"/>
        <item x="241"/>
        <item x="409"/>
        <item x="41"/>
        <item x="485"/>
        <item x="355"/>
        <item x="659"/>
        <item x="230"/>
        <item x="605"/>
        <item x="763"/>
        <item x="551"/>
        <item x="469"/>
        <item x="182"/>
        <item x="538"/>
        <item x="692"/>
        <item x="635"/>
        <item x="657"/>
        <item x="12"/>
        <item x="550"/>
        <item x="618"/>
        <item x="564"/>
        <item x="127"/>
        <item x="339"/>
        <item x="621"/>
        <item x="490"/>
        <item x="690"/>
        <item x="802"/>
        <item x="382"/>
        <item x="783"/>
        <item x="753"/>
        <item x="613"/>
        <item x="491"/>
        <item x="788"/>
        <item x="91"/>
        <item x="570"/>
        <item x="402"/>
        <item x="289"/>
        <item x="455"/>
        <item x="13"/>
        <item x="151"/>
        <item x="546"/>
        <item x="237"/>
        <item x="329"/>
        <item x="336"/>
        <item x="453"/>
        <item x="98"/>
        <item x="345"/>
        <item x="463"/>
        <item x="424"/>
        <item x="724"/>
        <item x="258"/>
        <item x="677"/>
        <item x="693"/>
        <item x="509"/>
        <item x="55"/>
        <item x="600"/>
        <item x="96"/>
        <item x="286"/>
        <item x="396"/>
        <item x="573"/>
        <item x="90"/>
        <item x="144"/>
        <item x="388"/>
        <item x="629"/>
        <item x="415"/>
        <item x="280"/>
        <item x="214"/>
        <item x="135"/>
        <item x="649"/>
        <item x="597"/>
        <item x="589"/>
        <item x="234"/>
        <item x="413"/>
        <item x="418"/>
        <item x="373"/>
        <item x="529"/>
        <item x="790"/>
        <item x="578"/>
        <item x="472"/>
        <item x="739"/>
        <item x="537"/>
        <item x="532"/>
        <item x="699"/>
        <item x="687"/>
        <item x="502"/>
        <item x="778"/>
        <item x="599"/>
        <item x="595"/>
        <item x="61"/>
        <item x="340"/>
        <item x="313"/>
        <item x="505"/>
        <item x="112"/>
        <item x="88"/>
        <item x="817"/>
        <item x="796"/>
        <item x="449"/>
        <item x="111"/>
        <item x="67"/>
        <item x="514"/>
        <item x="10"/>
        <item x="115"/>
        <item x="283"/>
        <item x="787"/>
        <item x="40"/>
        <item x="110"/>
        <item x="727"/>
        <item x="565"/>
        <item x="217"/>
        <item x="60"/>
        <item x="51"/>
        <item x="200"/>
        <item x="72"/>
        <item x="222"/>
        <item x="17"/>
        <item x="248"/>
        <item x="466"/>
        <item x="354"/>
        <item x="481"/>
        <item x="77"/>
        <item x="531"/>
        <item x="338"/>
        <item x="358"/>
        <item x="543"/>
        <item x="539"/>
        <item x="113"/>
        <item x="31"/>
        <item x="227"/>
        <item x="751"/>
        <item x="103"/>
        <item x="167"/>
        <item x="288"/>
        <item x="32"/>
        <item x="342"/>
        <item x="233"/>
        <item x="614"/>
        <item x="56"/>
        <item x="553"/>
        <item x="82"/>
        <item x="568"/>
        <item x="674"/>
        <item x="213"/>
        <item x="789"/>
        <item x="792"/>
        <item x="225"/>
        <item x="242"/>
        <item x="207"/>
        <item x="786"/>
        <item x="133"/>
        <item x="506"/>
        <item x="484"/>
        <item x="66"/>
        <item x="437"/>
        <item x="734"/>
        <item x="156"/>
        <item x="479"/>
        <item x="760"/>
        <item x="315"/>
        <item x="337"/>
        <item x="121"/>
        <item x="347"/>
        <item x="271"/>
        <item x="496"/>
        <item x="377"/>
        <item x="25"/>
        <item x="628"/>
        <item x="673"/>
        <item x="468"/>
        <item x="678"/>
        <item x="183"/>
        <item x="445"/>
        <item x="255"/>
        <item x="720"/>
        <item x="764"/>
        <item x="53"/>
        <item x="308"/>
        <item x="471"/>
        <item x="517"/>
        <item x="287"/>
        <item x="380"/>
        <item x="152"/>
        <item x="592"/>
        <item x="754"/>
        <item x="125"/>
        <item x="818"/>
        <item x="139"/>
        <item x="26"/>
        <item x="198"/>
        <item x="757"/>
        <item x="208"/>
        <item x="559"/>
        <item x="460"/>
        <item x="284"/>
        <item x="164"/>
        <item x="64"/>
        <item x="524"/>
        <item x="86"/>
        <item x="16"/>
        <item x="381"/>
        <item x="6"/>
        <item x="493"/>
        <item x="119"/>
        <item x="755"/>
        <item x="419"/>
        <item x="317"/>
        <item x="653"/>
        <item x="123"/>
        <item x="710"/>
        <item x="771"/>
        <item x="118"/>
        <item x="303"/>
        <item x="386"/>
        <item x="638"/>
        <item x="294"/>
        <item x="784"/>
        <item x="360"/>
        <item x="420"/>
        <item x="245"/>
        <item x="311"/>
        <item x="299"/>
        <item x="473"/>
        <item x="743"/>
        <item x="526"/>
        <item x="521"/>
        <item x="274"/>
        <item x="21"/>
        <item x="684"/>
        <item x="266"/>
        <item x="702"/>
        <item x="433"/>
        <item x="819"/>
        <item x="434"/>
        <item x="393"/>
        <item x="440"/>
        <item x="74"/>
        <item x="366"/>
        <item x="101"/>
        <item x="651"/>
        <item x="776"/>
        <item x="282"/>
        <item x="203"/>
        <item x="70"/>
        <item x="431"/>
        <item x="367"/>
        <item x="736"/>
        <item x="263"/>
        <item x="474"/>
        <item x="18"/>
        <item x="620"/>
        <item x="285"/>
        <item x="226"/>
        <item x="622"/>
        <item x="601"/>
        <item x="374"/>
        <item x="716"/>
        <item x="324"/>
        <item x="511"/>
        <item x="94"/>
        <item x="636"/>
        <item x="30"/>
        <item x="680"/>
        <item x="499"/>
        <item x="264"/>
        <item x="769"/>
        <item x="395"/>
        <item x="216"/>
        <item x="452"/>
        <item x="562"/>
        <item x="206"/>
        <item x="667"/>
        <item x="9"/>
        <item x="772"/>
        <item x="456"/>
        <item x="685"/>
        <item x="197"/>
        <item x="647"/>
        <item x="425"/>
        <item x="422"/>
        <item x="116"/>
        <item x="134"/>
        <item x="15"/>
        <item x="305"/>
        <item x="586"/>
        <item x="642"/>
        <item x="603"/>
        <item x="37"/>
        <item x="325"/>
        <item x="654"/>
        <item x="467"/>
        <item x="100"/>
        <item x="65"/>
        <item x="450"/>
        <item x="793"/>
        <item x="171"/>
        <item x="665"/>
        <item x="27"/>
        <item x="494"/>
        <item x="95"/>
        <item x="782"/>
        <item x="129"/>
        <item x="372"/>
        <item x="297"/>
        <item x="215"/>
        <item x="154"/>
        <item x="694"/>
        <item x="71"/>
        <item x="117"/>
        <item x="265"/>
        <item x="292"/>
        <item x="362"/>
        <item x="660"/>
        <item x="83"/>
        <item x="572"/>
        <item x="619"/>
        <item x="728"/>
        <item x="79"/>
        <item x="510"/>
        <item x="59"/>
        <item x="295"/>
        <item x="668"/>
        <item x="301"/>
        <item x="661"/>
        <item x="742"/>
        <item x="43"/>
        <item x="218"/>
        <item x="625"/>
        <item x="722"/>
        <item x="28"/>
        <item x="316"/>
        <item x="658"/>
        <item x="416"/>
        <item x="630"/>
        <item x="489"/>
        <item x="487"/>
        <item x="384"/>
        <item x="136"/>
        <item x="585"/>
        <item x="594"/>
        <item x="76"/>
        <item x="93"/>
        <item x="436"/>
        <item x="549"/>
        <item x="399"/>
        <item x="47"/>
        <item x="774"/>
        <item x="608"/>
        <item x="166"/>
        <item x="240"/>
        <item x="309"/>
        <item x="262"/>
        <item x="556"/>
        <item x="820"/>
        <item x="5"/>
        <item x="612"/>
        <item x="633"/>
        <item x="500"/>
        <item x="224"/>
        <item x="149"/>
        <item x="158"/>
        <item x="193"/>
        <item x="378"/>
        <item x="157"/>
        <item x="807"/>
        <item x="275"/>
        <item x="8"/>
        <item x="39"/>
        <item x="22"/>
        <item x="19"/>
        <item x="634"/>
        <item x="99"/>
        <item x="403"/>
        <item x="689"/>
        <item x="794"/>
        <item x="267"/>
        <item x="341"/>
        <item x="363"/>
        <item x="607"/>
        <item x="150"/>
        <item x="244"/>
        <item x="268"/>
        <item x="725"/>
        <item x="195"/>
        <item x="365"/>
        <item x="512"/>
        <item x="165"/>
        <item x="759"/>
        <item x="394"/>
        <item x="253"/>
        <item x="411"/>
        <item x="62"/>
        <item x="209"/>
        <item x="695"/>
        <item x="780"/>
        <item x="35"/>
        <item x="525"/>
        <item x="423"/>
        <item x="400"/>
        <item x="124"/>
        <item x="351"/>
        <item x="711"/>
        <item x="220"/>
        <item x="176"/>
        <item x="475"/>
        <item x="314"/>
        <item x="718"/>
        <item x="679"/>
        <item x="656"/>
        <item x="426"/>
        <item x="675"/>
        <item x="80"/>
        <item x="254"/>
        <item x="809"/>
        <item x="276"/>
        <item x="168"/>
        <item x="643"/>
        <item x="246"/>
        <item x="173"/>
        <item x="813"/>
        <item x="587"/>
        <item x="23"/>
        <item x="536"/>
        <item x="575"/>
        <item x="439"/>
        <item x="745"/>
        <item x="357"/>
        <item x="192"/>
        <item x="814"/>
        <item x="178"/>
        <item x="567"/>
        <item x="812"/>
        <item x="591"/>
        <item x="482"/>
        <item x="281"/>
        <item x="75"/>
        <item x="648"/>
        <item x="555"/>
        <item x="451"/>
        <item x="87"/>
        <item x="162"/>
        <item x="126"/>
        <item x="609"/>
        <item x="576"/>
        <item x="269"/>
        <item x="186"/>
        <item x="775"/>
        <item x="189"/>
        <item x="379"/>
        <item x="175"/>
        <item x="48"/>
        <item x="273"/>
        <item x="223"/>
        <item x="210"/>
        <item x="257"/>
        <item x="465"/>
        <item x="548"/>
        <item x="430"/>
        <item x="588"/>
        <item x="52"/>
        <item t="default"/>
      </items>
    </pivotField>
    <pivotField showAll="0">
      <items count="5">
        <item x="1"/>
        <item x="2"/>
        <item x="0"/>
        <item x="3"/>
        <item t="default"/>
      </items>
    </pivotField>
    <pivotField numFmtId="8" showAll="0"/>
    <pivotField numFmtId="8" showAll="0"/>
    <pivotField numFmtId="8"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0"/>
  </rowFields>
  <rowItems count="5">
    <i>
      <x/>
    </i>
    <i>
      <x v="1"/>
    </i>
    <i>
      <x v="2"/>
    </i>
    <i>
      <x v="3"/>
    </i>
    <i t="grand">
      <x/>
    </i>
  </rowItems>
  <colFields count="1">
    <field x="4"/>
  </colFields>
  <colItems count="4">
    <i>
      <x/>
    </i>
    <i>
      <x v="1"/>
    </i>
    <i>
      <x v="2"/>
    </i>
    <i t="grand">
      <x/>
    </i>
  </colItems>
  <dataFields count="1">
    <dataField name="Count of Employment_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49269C16-5158-42C0-B5F9-51950C81F5F4}" sourceName="Employment_Type">
  <pivotTables>
    <pivotTable tabId="6" name="PivotTable5"/>
    <pivotTable tabId="5" name="PivotTable4"/>
    <pivotTable tabId="7" name="PivotTable1"/>
  </pivotTables>
  <data>
    <tabular pivotCacheId="3299970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 xr10:uid="{4DD1C187-8035-466A-BB7D-E1340CBC5A6C}" sourceName="Loan_Type">
  <pivotTables>
    <pivotTable tabId="6" name="PivotTable5"/>
    <pivotTable tabId="5" name="PivotTable4"/>
    <pivotTable tabId="7" name="PivotTable1"/>
  </pivotTables>
  <data>
    <tabular pivotCacheId="32999703">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A560A9-F7A2-4207-976C-DC841F656690}" sourceName="Region">
  <pivotTables>
    <pivotTable tabId="6" name="PivotTable5"/>
    <pivotTable tabId="5" name="PivotTable4"/>
    <pivotTable tabId="7" name="PivotTable1"/>
  </pivotTables>
  <data>
    <tabular pivotCacheId="32999703">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ment_Type" xr10:uid="{9D306C0E-D667-4D15-89AD-E3005601F0AE}" cache="Slicer_Employment_Type" caption="Employment_Type" rowHeight="234950"/>
  <slicer name="Loan_Type" xr10:uid="{DDC75031-77CA-4E31-B3C2-4AA454CC2BCB}" cache="Slicer_Loan_Type" caption="Loan_Type" rowHeight="234950"/>
  <slicer name="Region" xr10:uid="{04BB856C-7D89-4767-8E52-AE4979B4BACD}" cache="Slicer_Region" caption="Region"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8"/>
  <sheetViews>
    <sheetView workbookViewId="0">
      <selection activeCell="B7" sqref="B7"/>
    </sheetView>
  </sheetViews>
  <sheetFormatPr defaultRowHeight="14.4" x14ac:dyDescent="0.3"/>
  <cols>
    <col min="1" max="1" width="19.33203125" bestFit="1" customWidth="1"/>
    <col min="2" max="2" width="15.5546875" bestFit="1" customWidth="1"/>
    <col min="3" max="3" width="4.6640625" bestFit="1" customWidth="1"/>
  </cols>
  <sheetData>
    <row r="3" spans="1:3" x14ac:dyDescent="0.3">
      <c r="A3" s="4" t="s">
        <v>1055</v>
      </c>
      <c r="B3" s="4" t="s">
        <v>1072</v>
      </c>
    </row>
    <row r="4" spans="1:3" x14ac:dyDescent="0.3">
      <c r="A4" s="4" t="s">
        <v>1053</v>
      </c>
      <c r="B4" t="s">
        <v>1043</v>
      </c>
      <c r="C4" t="s">
        <v>1044</v>
      </c>
    </row>
    <row r="5" spans="1:3" x14ac:dyDescent="0.3">
      <c r="A5" s="5" t="s">
        <v>1040</v>
      </c>
      <c r="B5">
        <v>52</v>
      </c>
      <c r="C5">
        <v>206</v>
      </c>
    </row>
    <row r="6" spans="1:3" x14ac:dyDescent="0.3">
      <c r="A6" s="5" t="s">
        <v>1039</v>
      </c>
      <c r="B6">
        <v>45</v>
      </c>
      <c r="C6">
        <v>208</v>
      </c>
    </row>
    <row r="7" spans="1:3" x14ac:dyDescent="0.3">
      <c r="A7" s="5" t="s">
        <v>1041</v>
      </c>
      <c r="B7">
        <v>46</v>
      </c>
      <c r="C7">
        <v>201</v>
      </c>
    </row>
    <row r="8" spans="1:3" x14ac:dyDescent="0.3">
      <c r="A8" s="5" t="s">
        <v>1042</v>
      </c>
      <c r="B8">
        <v>53</v>
      </c>
      <c r="C8">
        <v>189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B6" sqref="B6"/>
    </sheetView>
  </sheetViews>
  <sheetFormatPr defaultRowHeight="14.4" x14ac:dyDescent="0.3"/>
  <cols>
    <col min="1" max="1" width="12.5546875" bestFit="1" customWidth="1"/>
    <col min="2" max="2" width="19.33203125" customWidth="1"/>
  </cols>
  <sheetData>
    <row r="1" spans="1:2" x14ac:dyDescent="0.3">
      <c r="A1" s="4" t="s">
        <v>11</v>
      </c>
      <c r="B1" t="s">
        <v>1043</v>
      </c>
    </row>
    <row r="3" spans="1:2" x14ac:dyDescent="0.3">
      <c r="A3" s="4" t="s">
        <v>1053</v>
      </c>
      <c r="B3" t="s">
        <v>1055</v>
      </c>
    </row>
    <row r="4" spans="1:2" x14ac:dyDescent="0.3">
      <c r="A4" s="5" t="s">
        <v>1046</v>
      </c>
      <c r="B4">
        <v>57</v>
      </c>
    </row>
    <row r="5" spans="1:2" x14ac:dyDescent="0.3">
      <c r="A5" s="5" t="s">
        <v>1047</v>
      </c>
      <c r="B5">
        <v>49</v>
      </c>
    </row>
    <row r="6" spans="1:2" x14ac:dyDescent="0.3">
      <c r="A6" s="5" t="s">
        <v>1045</v>
      </c>
      <c r="B6">
        <v>47</v>
      </c>
    </row>
    <row r="7" spans="1:2" x14ac:dyDescent="0.3">
      <c r="A7" s="5" t="s">
        <v>1048</v>
      </c>
      <c r="B7">
        <v>43</v>
      </c>
    </row>
    <row r="8" spans="1:2" x14ac:dyDescent="0.3">
      <c r="A8" s="5" t="s">
        <v>1054</v>
      </c>
      <c r="B8">
        <v>196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workbookViewId="0">
      <selection activeCell="B5" sqref="B5"/>
    </sheetView>
  </sheetViews>
  <sheetFormatPr defaultRowHeight="14.4" x14ac:dyDescent="0.3"/>
  <cols>
    <col min="1" max="1" width="12.6640625" bestFit="1" customWidth="1"/>
    <col min="2" max="2" width="22.88671875" bestFit="1" customWidth="1"/>
  </cols>
  <sheetData>
    <row r="3" spans="1:2" x14ac:dyDescent="0.3">
      <c r="A3" s="4" t="s">
        <v>1053</v>
      </c>
      <c r="B3" t="s">
        <v>1071</v>
      </c>
    </row>
    <row r="4" spans="1:2" x14ac:dyDescent="0.3">
      <c r="A4" s="5" t="s">
        <v>1038</v>
      </c>
      <c r="B4" s="6">
        <v>1091415.6578171093</v>
      </c>
    </row>
    <row r="5" spans="1:2" x14ac:dyDescent="0.3">
      <c r="A5" s="5" t="s">
        <v>1036</v>
      </c>
      <c r="B5" s="6">
        <v>1079794.3695014662</v>
      </c>
    </row>
    <row r="6" spans="1:2" x14ac:dyDescent="0.3">
      <c r="A6" s="5" t="s">
        <v>1037</v>
      </c>
      <c r="B6" s="6">
        <v>1059649.175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election activeCell="B6" sqref="B6"/>
    </sheetView>
  </sheetViews>
  <sheetFormatPr defaultRowHeight="14.4" x14ac:dyDescent="0.3"/>
  <cols>
    <col min="1" max="1" width="12.5546875" bestFit="1" customWidth="1"/>
    <col min="2" max="2" width="19.33203125" bestFit="1" customWidth="1"/>
  </cols>
  <sheetData>
    <row r="1" spans="1:2" x14ac:dyDescent="0.3">
      <c r="A1" s="4" t="s">
        <v>11</v>
      </c>
      <c r="B1" t="s">
        <v>1043</v>
      </c>
    </row>
    <row r="3" spans="1:2" x14ac:dyDescent="0.3">
      <c r="A3" s="4" t="s">
        <v>1053</v>
      </c>
      <c r="B3" t="s">
        <v>1055</v>
      </c>
    </row>
    <row r="4" spans="1:2" x14ac:dyDescent="0.3">
      <c r="A4" s="5" t="s">
        <v>1058</v>
      </c>
      <c r="B4" s="23">
        <v>47</v>
      </c>
    </row>
    <row r="5" spans="1:2" x14ac:dyDescent="0.3">
      <c r="A5" s="5" t="s">
        <v>1059</v>
      </c>
      <c r="B5" s="23">
        <v>36</v>
      </c>
    </row>
    <row r="6" spans="1:2" x14ac:dyDescent="0.3">
      <c r="A6" s="5" t="s">
        <v>1060</v>
      </c>
      <c r="B6" s="23">
        <v>42</v>
      </c>
    </row>
    <row r="7" spans="1:2" x14ac:dyDescent="0.3">
      <c r="A7" s="5" t="s">
        <v>1061</v>
      </c>
      <c r="B7" s="23">
        <v>39</v>
      </c>
    </row>
    <row r="8" spans="1:2" x14ac:dyDescent="0.3">
      <c r="A8" s="5" t="s">
        <v>1062</v>
      </c>
      <c r="B8" s="23">
        <v>32</v>
      </c>
    </row>
    <row r="9" spans="1:2" x14ac:dyDescent="0.3">
      <c r="A9" s="5" t="s">
        <v>1054</v>
      </c>
      <c r="B9" s="23">
        <v>196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48AC-D06C-43FE-99A9-D3839A640EB2}">
  <dimension ref="A1:W32"/>
  <sheetViews>
    <sheetView showGridLines="0" tabSelected="1" workbookViewId="0">
      <selection activeCell="U21" sqref="U21"/>
    </sheetView>
  </sheetViews>
  <sheetFormatPr defaultRowHeight="14.4" x14ac:dyDescent="0.3"/>
  <sheetData>
    <row r="1" spans="1:23" x14ac:dyDescent="0.3">
      <c r="A1" s="19" t="s">
        <v>1073</v>
      </c>
      <c r="B1" s="20"/>
      <c r="C1" s="20"/>
      <c r="D1" s="20"/>
      <c r="E1" s="20"/>
      <c r="F1" s="20"/>
      <c r="G1" s="20"/>
      <c r="H1" s="20"/>
      <c r="I1" s="20"/>
      <c r="J1" s="20"/>
      <c r="K1" s="20"/>
      <c r="L1" s="20"/>
      <c r="M1" s="20"/>
      <c r="N1" s="20"/>
      <c r="O1" s="20"/>
      <c r="P1" s="20"/>
      <c r="Q1" s="20"/>
      <c r="R1" s="20"/>
      <c r="S1" s="20"/>
      <c r="T1" s="20"/>
      <c r="U1" s="20"/>
      <c r="V1" s="20"/>
      <c r="W1" s="20"/>
    </row>
    <row r="2" spans="1:23" x14ac:dyDescent="0.3">
      <c r="A2" s="20"/>
      <c r="B2" s="20"/>
      <c r="C2" s="20"/>
      <c r="D2" s="20"/>
      <c r="E2" s="20"/>
      <c r="F2" s="20"/>
      <c r="G2" s="20"/>
      <c r="H2" s="20"/>
      <c r="I2" s="20"/>
      <c r="J2" s="20"/>
      <c r="K2" s="20"/>
      <c r="L2" s="20"/>
      <c r="M2" s="20"/>
      <c r="N2" s="20"/>
      <c r="O2" s="20"/>
      <c r="P2" s="20"/>
      <c r="Q2" s="20"/>
      <c r="R2" s="20"/>
      <c r="S2" s="20"/>
      <c r="T2" s="20"/>
      <c r="U2" s="20"/>
      <c r="V2" s="20"/>
      <c r="W2" s="20"/>
    </row>
    <row r="3" spans="1:23" x14ac:dyDescent="0.3">
      <c r="A3" s="7"/>
      <c r="B3" s="7"/>
      <c r="C3" s="7"/>
      <c r="D3" s="7"/>
      <c r="E3" s="7"/>
      <c r="F3" s="7"/>
      <c r="G3" s="7"/>
      <c r="H3" s="7"/>
      <c r="I3" s="7"/>
      <c r="J3" s="7"/>
      <c r="K3" s="7"/>
      <c r="L3" s="7"/>
      <c r="M3" s="7"/>
      <c r="N3" s="7"/>
      <c r="O3" s="7"/>
      <c r="P3" s="7"/>
      <c r="Q3" s="7"/>
      <c r="R3" s="7"/>
      <c r="S3" s="7"/>
      <c r="T3" s="7"/>
      <c r="U3" s="7"/>
      <c r="V3" s="7"/>
      <c r="W3" s="7"/>
    </row>
    <row r="4" spans="1:23" x14ac:dyDescent="0.3">
      <c r="A4" s="7"/>
      <c r="B4" s="7"/>
      <c r="C4" s="7"/>
      <c r="D4" s="7"/>
      <c r="E4" s="7"/>
      <c r="F4" s="7"/>
      <c r="G4" s="7"/>
      <c r="H4" s="7"/>
      <c r="I4" s="7"/>
      <c r="J4" s="7"/>
      <c r="K4" s="7"/>
      <c r="L4" s="7"/>
      <c r="M4" s="7"/>
      <c r="N4" s="7"/>
      <c r="O4" s="7"/>
      <c r="P4" s="7"/>
      <c r="Q4" s="7"/>
      <c r="R4" s="7"/>
      <c r="S4" s="7"/>
      <c r="T4" s="7"/>
      <c r="U4" s="7"/>
      <c r="V4" s="7"/>
      <c r="W4" s="7"/>
    </row>
    <row r="5" spans="1:23" x14ac:dyDescent="0.3">
      <c r="A5" s="7"/>
      <c r="B5" s="7"/>
      <c r="C5" s="7"/>
      <c r="D5" s="7"/>
      <c r="E5" s="7"/>
      <c r="F5" s="7"/>
      <c r="G5" s="7"/>
      <c r="H5" s="7"/>
      <c r="I5" s="7"/>
      <c r="J5" s="7"/>
      <c r="K5" s="7"/>
      <c r="L5" s="7"/>
      <c r="M5" s="7"/>
      <c r="N5" s="7"/>
      <c r="O5" s="7"/>
      <c r="P5" s="7"/>
      <c r="Q5" s="7"/>
      <c r="R5" s="7"/>
      <c r="S5" s="7"/>
      <c r="T5" s="7"/>
      <c r="U5" s="7"/>
      <c r="V5" s="7"/>
      <c r="W5" s="7"/>
    </row>
    <row r="6" spans="1:23" x14ac:dyDescent="0.3">
      <c r="A6" s="7"/>
      <c r="B6" s="7"/>
      <c r="C6" s="7"/>
      <c r="D6" s="7"/>
      <c r="E6" s="7"/>
      <c r="F6" s="7"/>
      <c r="G6" s="7"/>
      <c r="H6" s="7"/>
      <c r="I6" s="7"/>
      <c r="J6" s="7"/>
      <c r="K6" s="7"/>
      <c r="L6" s="7"/>
      <c r="M6" s="7"/>
      <c r="N6" s="7"/>
      <c r="O6" s="7"/>
      <c r="P6" s="7"/>
      <c r="Q6" s="7"/>
      <c r="R6" s="7"/>
      <c r="S6" s="7"/>
      <c r="T6" s="7"/>
      <c r="U6" s="7"/>
      <c r="V6" s="7"/>
      <c r="W6" s="7"/>
    </row>
    <row r="7" spans="1:23" x14ac:dyDescent="0.3">
      <c r="A7" s="7"/>
      <c r="B7" s="7"/>
      <c r="C7" s="7"/>
      <c r="D7" s="7"/>
      <c r="E7" s="7"/>
      <c r="F7" s="7"/>
      <c r="G7" s="7"/>
      <c r="H7" s="7"/>
      <c r="I7" s="7"/>
      <c r="J7" s="7"/>
      <c r="K7" s="7"/>
      <c r="L7" s="7"/>
      <c r="M7" s="7"/>
      <c r="N7" s="7"/>
      <c r="O7" s="7"/>
      <c r="P7" s="7"/>
      <c r="Q7" s="7"/>
      <c r="R7" s="7"/>
      <c r="S7" s="7"/>
      <c r="T7" s="7"/>
      <c r="U7" s="7"/>
      <c r="V7" s="7"/>
      <c r="W7" s="7"/>
    </row>
    <row r="8" spans="1:23" x14ac:dyDescent="0.3">
      <c r="A8" s="7"/>
      <c r="B8" s="7"/>
      <c r="C8" s="7"/>
      <c r="D8" s="7"/>
      <c r="E8" s="7"/>
      <c r="F8" s="7"/>
      <c r="G8" s="7"/>
      <c r="H8" s="7"/>
      <c r="I8" s="7"/>
      <c r="J8" s="7"/>
      <c r="K8" s="7"/>
      <c r="L8" s="7"/>
      <c r="M8" s="7"/>
      <c r="N8" s="7"/>
      <c r="O8" s="7"/>
      <c r="P8" s="7"/>
      <c r="Q8" s="7"/>
      <c r="R8" s="7"/>
      <c r="S8" s="7"/>
      <c r="T8" s="7"/>
      <c r="U8" s="7"/>
      <c r="V8" s="7"/>
      <c r="W8" s="7"/>
    </row>
    <row r="9" spans="1:23" x14ac:dyDescent="0.3">
      <c r="A9" s="7"/>
      <c r="B9" s="7"/>
      <c r="C9" s="7"/>
      <c r="D9" s="7"/>
      <c r="E9" s="7"/>
      <c r="F9" s="7"/>
      <c r="G9" s="7"/>
      <c r="H9" s="7"/>
      <c r="I9" s="7"/>
      <c r="J9" s="7"/>
      <c r="K9" s="7"/>
      <c r="L9" s="7"/>
      <c r="M9" s="7"/>
      <c r="N9" s="7"/>
      <c r="O9" s="7"/>
      <c r="P9" s="7"/>
      <c r="Q9" s="7"/>
      <c r="R9" s="7"/>
      <c r="S9" s="7"/>
      <c r="T9" s="7"/>
      <c r="U9" s="7"/>
      <c r="V9" s="7"/>
      <c r="W9" s="7"/>
    </row>
    <row r="10" spans="1:23" x14ac:dyDescent="0.3">
      <c r="A10" s="7"/>
      <c r="B10" s="7"/>
      <c r="C10" s="7"/>
      <c r="D10" s="7"/>
      <c r="E10" s="7"/>
      <c r="F10" s="7"/>
      <c r="G10" s="7"/>
      <c r="H10" s="7"/>
      <c r="I10" s="7"/>
      <c r="J10" s="7"/>
      <c r="K10" s="7"/>
      <c r="L10" s="7"/>
      <c r="M10" s="7"/>
      <c r="N10" s="7"/>
      <c r="O10" s="7"/>
      <c r="P10" s="7"/>
      <c r="Q10" s="7"/>
      <c r="R10" s="7"/>
      <c r="S10" s="7"/>
      <c r="T10" s="7"/>
      <c r="U10" s="7"/>
      <c r="V10" s="7"/>
      <c r="W10" s="7"/>
    </row>
    <row r="11" spans="1:23" x14ac:dyDescent="0.3">
      <c r="A11" s="7"/>
      <c r="B11" s="7"/>
      <c r="C11" s="7"/>
      <c r="D11" s="7"/>
      <c r="E11" s="7"/>
      <c r="F11" s="7"/>
      <c r="G11" s="7"/>
      <c r="H11" s="7"/>
      <c r="I11" s="7"/>
      <c r="J11" s="7"/>
      <c r="K11" s="7"/>
      <c r="L11" s="7"/>
      <c r="M11" s="7"/>
      <c r="N11" s="7"/>
      <c r="O11" s="7"/>
      <c r="P11" s="7"/>
      <c r="Q11" s="7"/>
      <c r="R11" s="7"/>
      <c r="S11" s="7"/>
      <c r="T11" s="7"/>
      <c r="U11" s="7"/>
      <c r="V11" s="7"/>
      <c r="W11" s="7"/>
    </row>
    <row r="12" spans="1:23" x14ac:dyDescent="0.3">
      <c r="A12" s="7"/>
      <c r="B12" s="7"/>
      <c r="C12" s="7"/>
      <c r="D12" s="7"/>
      <c r="E12" s="7"/>
      <c r="F12" s="7"/>
      <c r="G12" s="7"/>
      <c r="H12" s="7"/>
      <c r="I12" s="7"/>
      <c r="J12" s="7"/>
      <c r="K12" s="7"/>
      <c r="L12" s="7"/>
      <c r="M12" s="7"/>
      <c r="N12" s="7"/>
      <c r="O12" s="7"/>
      <c r="P12" s="7"/>
      <c r="Q12" s="7"/>
      <c r="R12" s="7"/>
      <c r="S12" s="7"/>
      <c r="T12" s="7"/>
      <c r="U12" s="7"/>
      <c r="V12" s="7"/>
      <c r="W12" s="7"/>
    </row>
    <row r="13" spans="1:23" x14ac:dyDescent="0.3">
      <c r="A13" s="7"/>
      <c r="B13" s="7"/>
      <c r="C13" s="7"/>
      <c r="D13" s="7"/>
      <c r="E13" s="7"/>
      <c r="F13" s="7"/>
      <c r="G13" s="7"/>
      <c r="H13" s="7"/>
      <c r="I13" s="7"/>
      <c r="J13" s="7"/>
      <c r="K13" s="7"/>
      <c r="L13" s="7"/>
      <c r="M13" s="7"/>
      <c r="N13" s="7"/>
      <c r="O13" s="7"/>
      <c r="P13" s="7"/>
      <c r="Q13" s="7"/>
      <c r="R13" s="7"/>
      <c r="S13" s="7"/>
      <c r="T13" s="7"/>
      <c r="U13" s="7"/>
      <c r="V13" s="7"/>
      <c r="W13" s="7"/>
    </row>
    <row r="14" spans="1:23" x14ac:dyDescent="0.3">
      <c r="A14" s="7"/>
      <c r="B14" s="7"/>
      <c r="C14" s="7"/>
      <c r="D14" s="7"/>
      <c r="E14" s="7"/>
      <c r="F14" s="7"/>
      <c r="G14" s="7"/>
      <c r="H14" s="7"/>
      <c r="I14" s="7"/>
      <c r="J14" s="7"/>
      <c r="K14" s="7"/>
      <c r="L14" s="7"/>
      <c r="M14" s="7"/>
      <c r="N14" s="7"/>
      <c r="O14" s="7"/>
      <c r="P14" s="7"/>
      <c r="Q14" s="7"/>
      <c r="R14" s="7"/>
      <c r="S14" s="7"/>
      <c r="T14" s="7"/>
      <c r="U14" s="7"/>
      <c r="V14" s="7"/>
      <c r="W14" s="7"/>
    </row>
    <row r="15" spans="1:23" x14ac:dyDescent="0.3">
      <c r="A15" s="7"/>
      <c r="B15" s="7"/>
      <c r="C15" s="7"/>
      <c r="D15" s="7"/>
      <c r="E15" s="7"/>
      <c r="F15" s="7"/>
      <c r="G15" s="7"/>
      <c r="H15" s="7"/>
      <c r="I15" s="7"/>
      <c r="J15" s="7"/>
      <c r="K15" s="7"/>
      <c r="L15" s="7"/>
      <c r="M15" s="7"/>
      <c r="N15" s="7"/>
      <c r="O15" s="7"/>
      <c r="P15" s="7"/>
      <c r="Q15" s="7"/>
      <c r="R15" s="7"/>
      <c r="S15" s="7"/>
      <c r="T15" s="7"/>
      <c r="U15" s="7"/>
      <c r="V15" s="7"/>
      <c r="W15" s="7"/>
    </row>
    <row r="16" spans="1:23" x14ac:dyDescent="0.3">
      <c r="A16" s="7"/>
      <c r="B16" s="7"/>
      <c r="C16" s="7"/>
      <c r="D16" s="7"/>
      <c r="E16" s="7"/>
      <c r="F16" s="7"/>
      <c r="G16" s="7"/>
      <c r="H16" s="7"/>
      <c r="I16" s="7"/>
      <c r="J16" s="7"/>
      <c r="K16" s="7"/>
      <c r="L16" s="7"/>
      <c r="M16" s="7"/>
      <c r="N16" s="7"/>
      <c r="O16" s="7"/>
      <c r="P16" s="7"/>
      <c r="Q16" s="7"/>
      <c r="R16" s="7"/>
      <c r="S16" s="7"/>
      <c r="T16" s="7"/>
      <c r="U16" s="7"/>
      <c r="V16" s="7"/>
      <c r="W16" s="7"/>
    </row>
    <row r="17" spans="1:23" x14ac:dyDescent="0.3">
      <c r="A17" s="7"/>
      <c r="B17" s="7"/>
      <c r="C17" s="7"/>
      <c r="D17" s="7"/>
      <c r="E17" s="7"/>
      <c r="F17" s="7"/>
      <c r="G17" s="7"/>
      <c r="H17" s="7"/>
      <c r="I17" s="7"/>
      <c r="J17" s="7"/>
      <c r="K17" s="7"/>
      <c r="L17" s="7"/>
      <c r="M17" s="7"/>
      <c r="N17" s="7"/>
      <c r="O17" s="7"/>
      <c r="P17" s="7"/>
      <c r="Q17" s="7"/>
      <c r="R17" s="7"/>
      <c r="S17" s="7"/>
      <c r="T17" s="7"/>
      <c r="U17" s="7"/>
      <c r="V17" s="7"/>
      <c r="W17" s="7"/>
    </row>
    <row r="18" spans="1:23" x14ac:dyDescent="0.3">
      <c r="A18" s="7"/>
      <c r="B18" s="7"/>
      <c r="C18" s="7"/>
      <c r="D18" s="7"/>
      <c r="E18" s="7"/>
      <c r="F18" s="7"/>
      <c r="G18" s="7"/>
      <c r="H18" s="7"/>
      <c r="I18" s="7"/>
      <c r="J18" s="7"/>
      <c r="K18" s="7"/>
      <c r="L18" s="7"/>
      <c r="M18" s="7"/>
      <c r="N18" s="7"/>
      <c r="O18" s="7"/>
      <c r="P18" s="7"/>
      <c r="Q18" s="7"/>
      <c r="R18" s="7"/>
      <c r="S18" s="7"/>
      <c r="T18" s="7"/>
      <c r="U18" s="7"/>
      <c r="V18" s="7"/>
      <c r="W18" s="7"/>
    </row>
    <row r="19" spans="1:23" x14ac:dyDescent="0.3">
      <c r="A19" s="7"/>
      <c r="B19" s="7"/>
      <c r="C19" s="7"/>
      <c r="D19" s="7"/>
      <c r="E19" s="7"/>
      <c r="F19" s="7"/>
      <c r="G19" s="7"/>
      <c r="H19" s="7"/>
      <c r="I19" s="7"/>
      <c r="J19" s="7"/>
      <c r="K19" s="7"/>
      <c r="L19" s="7"/>
      <c r="M19" s="7"/>
      <c r="N19" s="7"/>
      <c r="O19" s="7"/>
      <c r="P19" s="7"/>
      <c r="Q19" s="7"/>
      <c r="R19" s="7"/>
      <c r="S19" s="7"/>
      <c r="T19" s="7"/>
      <c r="U19" s="7"/>
      <c r="V19" s="7"/>
      <c r="W19" s="7"/>
    </row>
    <row r="20" spans="1:23" x14ac:dyDescent="0.3">
      <c r="A20" s="7"/>
      <c r="B20" s="7"/>
      <c r="C20" s="7"/>
      <c r="D20" s="7"/>
      <c r="E20" s="7"/>
      <c r="F20" s="7"/>
      <c r="G20" s="7"/>
      <c r="H20" s="7"/>
      <c r="I20" s="7"/>
      <c r="J20" s="7"/>
      <c r="K20" s="7"/>
      <c r="L20" s="7"/>
      <c r="M20" s="7"/>
      <c r="N20" s="7"/>
      <c r="O20" s="7"/>
      <c r="P20" s="7"/>
      <c r="Q20" s="7"/>
      <c r="R20" s="7"/>
      <c r="S20" s="7"/>
      <c r="T20" s="7"/>
      <c r="U20" s="7"/>
      <c r="V20" s="7"/>
      <c r="W20" s="7"/>
    </row>
    <row r="21" spans="1:23" x14ac:dyDescent="0.3">
      <c r="A21" s="7"/>
      <c r="B21" s="7"/>
      <c r="C21" s="7"/>
      <c r="D21" s="7"/>
      <c r="E21" s="7"/>
      <c r="F21" s="7"/>
      <c r="G21" s="7"/>
      <c r="H21" s="7"/>
      <c r="I21" s="7"/>
      <c r="J21" s="7"/>
      <c r="K21" s="7"/>
      <c r="L21" s="7"/>
      <c r="M21" s="7"/>
      <c r="N21" s="7"/>
      <c r="O21" s="7"/>
      <c r="P21" s="7"/>
      <c r="Q21" s="7"/>
      <c r="R21" s="7"/>
      <c r="S21" s="7"/>
      <c r="T21" s="7"/>
      <c r="U21" s="7"/>
      <c r="V21" s="7"/>
      <c r="W21" s="7"/>
    </row>
    <row r="22" spans="1:23" x14ac:dyDescent="0.3">
      <c r="A22" s="7"/>
      <c r="B22" s="7"/>
      <c r="C22" s="7"/>
      <c r="D22" s="7"/>
      <c r="E22" s="7"/>
      <c r="F22" s="7"/>
      <c r="G22" s="7"/>
      <c r="H22" s="7"/>
      <c r="I22" s="7"/>
      <c r="J22" s="7"/>
      <c r="K22" s="7"/>
      <c r="L22" s="7"/>
      <c r="M22" s="7"/>
      <c r="N22" s="7"/>
      <c r="O22" s="7"/>
      <c r="P22" s="7"/>
      <c r="Q22" s="7"/>
      <c r="R22" s="7"/>
      <c r="S22" s="7"/>
      <c r="T22" s="7"/>
      <c r="U22" s="7"/>
      <c r="V22" s="7"/>
      <c r="W22" s="7"/>
    </row>
    <row r="23" spans="1:23" x14ac:dyDescent="0.3">
      <c r="A23" s="7"/>
      <c r="B23" s="7"/>
      <c r="C23" s="7"/>
      <c r="D23" s="7"/>
      <c r="E23" s="7"/>
      <c r="F23" s="7"/>
      <c r="G23" s="7"/>
      <c r="H23" s="7"/>
      <c r="I23" s="7"/>
      <c r="J23" s="7"/>
      <c r="K23" s="7"/>
      <c r="L23" s="7"/>
      <c r="M23" s="7"/>
      <c r="N23" s="7"/>
      <c r="O23" s="7"/>
      <c r="P23" s="7"/>
      <c r="Q23" s="7"/>
      <c r="R23" s="7"/>
      <c r="S23" s="7"/>
      <c r="T23" s="7"/>
      <c r="U23" s="7"/>
      <c r="V23" s="7"/>
      <c r="W23" s="7"/>
    </row>
    <row r="24" spans="1:23" x14ac:dyDescent="0.3">
      <c r="A24" s="7"/>
      <c r="B24" s="7"/>
      <c r="C24" s="7"/>
      <c r="D24" s="7"/>
      <c r="E24" s="7"/>
      <c r="F24" s="7"/>
      <c r="G24" s="7"/>
      <c r="H24" s="7"/>
      <c r="I24" s="7"/>
      <c r="J24" s="7"/>
      <c r="K24" s="7"/>
      <c r="L24" s="7"/>
      <c r="M24" s="7"/>
      <c r="N24" s="7"/>
      <c r="O24" s="7"/>
      <c r="P24" s="7"/>
      <c r="Q24" s="7"/>
      <c r="R24" s="7"/>
      <c r="S24" s="7"/>
      <c r="T24" s="7"/>
      <c r="U24" s="7"/>
      <c r="V24" s="7"/>
      <c r="W24" s="7"/>
    </row>
    <row r="25" spans="1:23" x14ac:dyDescent="0.3">
      <c r="A25" s="7"/>
      <c r="B25" s="7"/>
      <c r="C25" s="7"/>
      <c r="D25" s="7"/>
      <c r="E25" s="7"/>
      <c r="F25" s="7"/>
      <c r="G25" s="7"/>
      <c r="H25" s="7"/>
      <c r="I25" s="7"/>
      <c r="J25" s="7"/>
      <c r="K25" s="7"/>
      <c r="L25" s="7"/>
      <c r="M25" s="7"/>
      <c r="N25" s="7"/>
      <c r="O25" s="7"/>
      <c r="P25" s="7"/>
      <c r="Q25" s="7"/>
      <c r="R25" s="7"/>
      <c r="S25" s="7"/>
      <c r="T25" s="7"/>
      <c r="U25" s="7"/>
      <c r="V25" s="7"/>
      <c r="W25" s="7"/>
    </row>
    <row r="26" spans="1:23" x14ac:dyDescent="0.3">
      <c r="A26" s="7"/>
      <c r="B26" s="7"/>
      <c r="C26" s="7"/>
      <c r="D26" s="7"/>
      <c r="E26" s="7"/>
      <c r="F26" s="7"/>
      <c r="G26" s="7"/>
      <c r="H26" s="7"/>
      <c r="I26" s="7"/>
      <c r="J26" s="7"/>
      <c r="K26" s="7"/>
      <c r="L26" s="7"/>
      <c r="M26" s="7"/>
      <c r="N26" s="7"/>
      <c r="O26" s="7"/>
      <c r="P26" s="7"/>
      <c r="Q26" s="7"/>
      <c r="R26" s="7"/>
      <c r="S26" s="7"/>
      <c r="T26" s="7"/>
      <c r="U26" s="7"/>
      <c r="V26" s="7"/>
      <c r="W26" s="7"/>
    </row>
    <row r="27" spans="1:23" x14ac:dyDescent="0.3">
      <c r="A27" s="7"/>
      <c r="B27" s="7"/>
      <c r="C27" s="7"/>
      <c r="D27" s="7"/>
      <c r="E27" s="7"/>
      <c r="F27" s="7"/>
      <c r="G27" s="7"/>
      <c r="H27" s="7"/>
      <c r="I27" s="7"/>
      <c r="J27" s="7"/>
      <c r="K27" s="7"/>
      <c r="L27" s="7"/>
      <c r="M27" s="7"/>
      <c r="N27" s="7"/>
      <c r="O27" s="7"/>
      <c r="P27" s="7"/>
      <c r="Q27" s="7"/>
      <c r="R27" s="7"/>
      <c r="S27" s="7"/>
      <c r="T27" s="7"/>
      <c r="U27" s="7"/>
      <c r="V27" s="7"/>
      <c r="W27" s="7"/>
    </row>
    <row r="28" spans="1:23" x14ac:dyDescent="0.3">
      <c r="A28" s="7"/>
      <c r="B28" s="7"/>
      <c r="C28" s="7"/>
      <c r="D28" s="7"/>
      <c r="E28" s="7"/>
      <c r="F28" s="7"/>
      <c r="G28" s="7"/>
      <c r="H28" s="7"/>
      <c r="I28" s="7"/>
      <c r="J28" s="7"/>
      <c r="K28" s="7"/>
      <c r="L28" s="7"/>
      <c r="M28" s="7"/>
      <c r="N28" s="7"/>
      <c r="O28" s="7"/>
      <c r="P28" s="7"/>
      <c r="Q28" s="7"/>
      <c r="R28" s="7"/>
      <c r="S28" s="7"/>
      <c r="T28" s="7"/>
      <c r="U28" s="7"/>
      <c r="V28" s="7"/>
      <c r="W28" s="7"/>
    </row>
    <row r="29" spans="1:23" x14ac:dyDescent="0.3">
      <c r="A29" s="7"/>
      <c r="B29" s="7"/>
      <c r="C29" s="7"/>
      <c r="D29" s="7"/>
      <c r="E29" s="7"/>
      <c r="F29" s="7"/>
      <c r="G29" s="7"/>
      <c r="H29" s="7"/>
      <c r="I29" s="7"/>
      <c r="J29" s="7"/>
      <c r="K29" s="7"/>
      <c r="L29" s="7"/>
      <c r="M29" s="7"/>
      <c r="N29" s="7"/>
      <c r="O29" s="7"/>
      <c r="P29" s="7"/>
      <c r="Q29" s="7"/>
      <c r="R29" s="7"/>
      <c r="S29" s="7"/>
      <c r="T29" s="7"/>
      <c r="U29" s="7"/>
      <c r="V29" s="7"/>
      <c r="W29" s="7"/>
    </row>
    <row r="30" spans="1:23" x14ac:dyDescent="0.3">
      <c r="A30" s="7"/>
      <c r="B30" s="7"/>
      <c r="C30" s="7"/>
      <c r="D30" s="7"/>
      <c r="E30" s="7"/>
      <c r="F30" s="7"/>
      <c r="G30" s="7"/>
      <c r="H30" s="7"/>
      <c r="I30" s="7"/>
      <c r="J30" s="7"/>
      <c r="K30" s="7"/>
      <c r="L30" s="7"/>
      <c r="M30" s="7"/>
      <c r="N30" s="7"/>
      <c r="O30" s="7"/>
      <c r="P30" s="7"/>
      <c r="Q30" s="7"/>
      <c r="R30" s="7"/>
      <c r="S30" s="7"/>
      <c r="T30" s="7"/>
      <c r="U30" s="7"/>
      <c r="V30" s="7"/>
      <c r="W30" s="7"/>
    </row>
    <row r="31" spans="1:23" x14ac:dyDescent="0.3">
      <c r="A31" s="7"/>
      <c r="B31" s="7"/>
      <c r="C31" s="7"/>
      <c r="D31" s="7"/>
      <c r="E31" s="7"/>
      <c r="F31" s="7"/>
      <c r="G31" s="7"/>
      <c r="H31" s="7"/>
      <c r="I31" s="7"/>
      <c r="J31" s="7"/>
      <c r="K31" s="7"/>
      <c r="L31" s="7"/>
      <c r="M31" s="7"/>
      <c r="N31" s="7"/>
      <c r="O31" s="7"/>
      <c r="P31" s="7"/>
      <c r="Q31" s="7"/>
      <c r="R31" s="7"/>
      <c r="S31" s="7"/>
      <c r="T31" s="7"/>
      <c r="U31" s="7"/>
      <c r="V31" s="7"/>
      <c r="W31" s="7"/>
    </row>
    <row r="32" spans="1:23" x14ac:dyDescent="0.3">
      <c r="A32" s="7"/>
      <c r="B32" s="7"/>
      <c r="C32" s="7"/>
      <c r="D32" s="7"/>
      <c r="E32" s="7"/>
      <c r="F32" s="7"/>
      <c r="G32" s="7"/>
      <c r="H32" s="7"/>
      <c r="I32" s="7"/>
      <c r="J32" s="7"/>
      <c r="K32" s="7"/>
      <c r="L32" s="7"/>
      <c r="M32" s="7"/>
      <c r="N32" s="7"/>
      <c r="O32" s="7"/>
      <c r="P32" s="7"/>
      <c r="Q32" s="7"/>
      <c r="R32" s="7"/>
      <c r="S32" s="7"/>
      <c r="T32" s="7"/>
      <c r="U32" s="7"/>
      <c r="V32" s="7"/>
      <c r="W32" s="7"/>
    </row>
  </sheetData>
  <mergeCells count="1">
    <mergeCell ref="A1: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10"/>
  <sheetViews>
    <sheetView workbookViewId="0">
      <selection activeCell="B5" sqref="B5"/>
    </sheetView>
  </sheetViews>
  <sheetFormatPr defaultRowHeight="14.4" x14ac:dyDescent="0.3"/>
  <cols>
    <col min="1" max="1" width="12.5546875" bestFit="1" customWidth="1"/>
    <col min="2" max="2" width="19.6640625" bestFit="1" customWidth="1"/>
  </cols>
  <sheetData>
    <row r="3" spans="1:2" x14ac:dyDescent="0.3">
      <c r="A3" s="4" t="s">
        <v>1053</v>
      </c>
      <c r="B3" t="s">
        <v>1056</v>
      </c>
    </row>
    <row r="4" spans="1:2" x14ac:dyDescent="0.3">
      <c r="A4" s="5" t="s">
        <v>1063</v>
      </c>
      <c r="B4" s="6">
        <v>171340915</v>
      </c>
    </row>
    <row r="5" spans="1:2" x14ac:dyDescent="0.3">
      <c r="A5" s="5" t="s">
        <v>1064</v>
      </c>
      <c r="B5" s="6">
        <v>160134041</v>
      </c>
    </row>
    <row r="6" spans="1:2" x14ac:dyDescent="0.3">
      <c r="A6" s="5" t="s">
        <v>1065</v>
      </c>
      <c r="B6" s="6">
        <v>140250258</v>
      </c>
    </row>
    <row r="7" spans="1:2" x14ac:dyDescent="0.3">
      <c r="A7" s="5" t="s">
        <v>1066</v>
      </c>
      <c r="B7" s="6">
        <v>156088949</v>
      </c>
    </row>
    <row r="8" spans="1:2" x14ac:dyDescent="0.3">
      <c r="A8" s="5" t="s">
        <v>1067</v>
      </c>
      <c r="B8" s="6">
        <v>146004441</v>
      </c>
    </row>
    <row r="9" spans="1:2" x14ac:dyDescent="0.3">
      <c r="A9" s="5" t="s">
        <v>1068</v>
      </c>
      <c r="B9" s="6">
        <v>161576276</v>
      </c>
    </row>
    <row r="10" spans="1:2" x14ac:dyDescent="0.3">
      <c r="A10" s="5" t="s">
        <v>1069</v>
      </c>
      <c r="B10" s="6">
        <v>141892644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8DC90-45F6-40D0-8635-8F47F9FF827A}">
  <dimension ref="A3:C7"/>
  <sheetViews>
    <sheetView workbookViewId="0">
      <selection activeCell="B5" sqref="B5"/>
    </sheetView>
  </sheetViews>
  <sheetFormatPr defaultRowHeight="14.4" x14ac:dyDescent="0.3"/>
  <cols>
    <col min="1" max="1" width="12.5546875" bestFit="1" customWidth="1"/>
    <col min="2" max="2" width="22.109375" bestFit="1" customWidth="1"/>
    <col min="3" max="3" width="22.88671875" bestFit="1" customWidth="1"/>
  </cols>
  <sheetData>
    <row r="3" spans="1:3" x14ac:dyDescent="0.3">
      <c r="A3" s="4" t="s">
        <v>1053</v>
      </c>
      <c r="B3" t="s">
        <v>1070</v>
      </c>
      <c r="C3" t="s">
        <v>1071</v>
      </c>
    </row>
    <row r="4" spans="1:3" x14ac:dyDescent="0.3">
      <c r="A4" s="5" t="s">
        <v>1040</v>
      </c>
      <c r="B4" s="23">
        <v>11.356007751937977</v>
      </c>
      <c r="C4" s="6">
        <v>1091587.9069767443</v>
      </c>
    </row>
    <row r="5" spans="1:3" x14ac:dyDescent="0.3">
      <c r="A5" s="5" t="s">
        <v>1039</v>
      </c>
      <c r="B5" s="23">
        <v>11.261264822134391</v>
      </c>
      <c r="C5" s="6">
        <v>1080481.4703557312</v>
      </c>
    </row>
    <row r="6" spans="1:3" x14ac:dyDescent="0.3">
      <c r="A6" s="5" t="s">
        <v>1041</v>
      </c>
      <c r="B6" s="23">
        <v>11.340404858299587</v>
      </c>
      <c r="C6" s="6">
        <v>1069508.9271255061</v>
      </c>
    </row>
    <row r="7" spans="1:3" x14ac:dyDescent="0.3">
      <c r="A7" s="5" t="s">
        <v>1042</v>
      </c>
      <c r="B7" s="23">
        <v>11.566322314049582</v>
      </c>
      <c r="C7" s="6">
        <v>1066641.8471074379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4CC18-FB85-4E5E-B24F-9CD484B94E1B}">
  <dimension ref="A3:E9"/>
  <sheetViews>
    <sheetView workbookViewId="0">
      <selection activeCell="D8" sqref="D8"/>
    </sheetView>
  </sheetViews>
  <sheetFormatPr defaultRowHeight="14.4" x14ac:dyDescent="0.3"/>
  <cols>
    <col min="1" max="1" width="25" bestFit="1" customWidth="1"/>
    <col min="2" max="2" width="15.5546875" bestFit="1" customWidth="1"/>
    <col min="3" max="3" width="7.6640625" bestFit="1" customWidth="1"/>
    <col min="4" max="4" width="13.33203125" bestFit="1" customWidth="1"/>
    <col min="5" max="5" width="10.77734375" bestFit="1" customWidth="1"/>
  </cols>
  <sheetData>
    <row r="3" spans="1:5" x14ac:dyDescent="0.3">
      <c r="A3" s="4" t="s">
        <v>1081</v>
      </c>
      <c r="B3" s="4" t="s">
        <v>1072</v>
      </c>
    </row>
    <row r="4" spans="1:5" x14ac:dyDescent="0.3">
      <c r="A4" s="4" t="s">
        <v>1053</v>
      </c>
      <c r="B4" t="s">
        <v>1038</v>
      </c>
      <c r="C4" t="s">
        <v>1036</v>
      </c>
      <c r="D4" t="s">
        <v>1037</v>
      </c>
      <c r="E4" t="s">
        <v>1054</v>
      </c>
    </row>
    <row r="5" spans="1:5" x14ac:dyDescent="0.3">
      <c r="A5" s="5" t="s">
        <v>1040</v>
      </c>
      <c r="B5">
        <v>94</v>
      </c>
      <c r="C5">
        <v>89</v>
      </c>
      <c r="D5">
        <v>75</v>
      </c>
      <c r="E5">
        <v>258</v>
      </c>
    </row>
    <row r="6" spans="1:5" x14ac:dyDescent="0.3">
      <c r="A6" s="5" t="s">
        <v>1039</v>
      </c>
      <c r="B6">
        <v>71</v>
      </c>
      <c r="C6">
        <v>90</v>
      </c>
      <c r="D6">
        <v>92</v>
      </c>
      <c r="E6">
        <v>253</v>
      </c>
    </row>
    <row r="7" spans="1:5" x14ac:dyDescent="0.3">
      <c r="A7" s="5" t="s">
        <v>1041</v>
      </c>
      <c r="B7">
        <v>92</v>
      </c>
      <c r="C7">
        <v>80</v>
      </c>
      <c r="D7">
        <v>75</v>
      </c>
      <c r="E7">
        <v>247</v>
      </c>
    </row>
    <row r="8" spans="1:5" x14ac:dyDescent="0.3">
      <c r="A8" s="5" t="s">
        <v>1042</v>
      </c>
      <c r="B8">
        <v>82</v>
      </c>
      <c r="C8">
        <v>82</v>
      </c>
      <c r="D8">
        <v>78</v>
      </c>
      <c r="E8">
        <v>242</v>
      </c>
    </row>
    <row r="9" spans="1:5" x14ac:dyDescent="0.3">
      <c r="A9" s="5" t="s">
        <v>1054</v>
      </c>
      <c r="B9">
        <v>339</v>
      </c>
      <c r="C9">
        <v>341</v>
      </c>
      <c r="D9">
        <v>320</v>
      </c>
      <c r="E9">
        <v>1000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1001"/>
  <sheetViews>
    <sheetView workbookViewId="0">
      <selection activeCell="T27" sqref="T27"/>
    </sheetView>
  </sheetViews>
  <sheetFormatPr defaultRowHeight="14.4" x14ac:dyDescent="0.3"/>
  <cols>
    <col min="1" max="1" width="7.88671875" bestFit="1" customWidth="1"/>
    <col min="2" max="2" width="15.21875" bestFit="1" customWidth="1"/>
    <col min="3" max="3" width="4.21875" bestFit="1" customWidth="1"/>
    <col min="4" max="4" width="7.109375" bestFit="1" customWidth="1"/>
    <col min="5" max="5" width="17" bestFit="1" customWidth="1"/>
    <col min="6" max="6" width="14.44140625" style="1" bestFit="1" customWidth="1"/>
    <col min="7" max="7" width="13.88671875" style="1" bestFit="1" customWidth="1"/>
    <col min="8" max="8" width="12.21875" bestFit="1" customWidth="1"/>
    <col min="9" max="9" width="18.21875" bestFit="1" customWidth="1"/>
    <col min="10" max="10" width="11.6640625" bestFit="1" customWidth="1"/>
    <col min="11" max="11" width="12.44140625" bestFit="1" customWidth="1"/>
    <col min="12" max="12" width="11.33203125" bestFit="1" customWidth="1"/>
    <col min="13" max="13" width="10.33203125" bestFit="1" customWidth="1"/>
    <col min="14" max="14" width="6.77734375" bestFit="1" customWidth="1"/>
    <col min="15" max="15" width="12" bestFit="1" customWidth="1"/>
    <col min="16" max="16" width="19.88671875" bestFit="1" customWidth="1"/>
    <col min="17" max="17" width="14.6640625" bestFit="1" customWidth="1"/>
    <col min="19" max="19" width="16.88671875" bestFit="1" customWidth="1"/>
    <col min="20" max="20" width="16.88671875" customWidth="1"/>
    <col min="21" max="21" width="12.44140625" bestFit="1" customWidth="1"/>
    <col min="22" max="22" width="16.33203125" bestFit="1" customWidth="1"/>
  </cols>
  <sheetData>
    <row r="1" spans="1:23" x14ac:dyDescent="0.3">
      <c r="A1" s="2" t="s">
        <v>0</v>
      </c>
      <c r="B1" s="2" t="s">
        <v>1</v>
      </c>
      <c r="C1" s="2" t="s">
        <v>2</v>
      </c>
      <c r="D1" s="2" t="s">
        <v>3</v>
      </c>
      <c r="E1" s="2" t="s">
        <v>4</v>
      </c>
      <c r="F1" s="3" t="s">
        <v>5</v>
      </c>
      <c r="G1" s="3" t="s">
        <v>6</v>
      </c>
      <c r="H1" s="2" t="s">
        <v>7</v>
      </c>
      <c r="I1" s="2" t="s">
        <v>8</v>
      </c>
      <c r="J1" s="2" t="s">
        <v>9</v>
      </c>
      <c r="K1" s="2" t="s">
        <v>10</v>
      </c>
      <c r="L1" s="2" t="s">
        <v>11</v>
      </c>
      <c r="M1" s="2" t="s">
        <v>12</v>
      </c>
      <c r="N1" s="2" t="s">
        <v>13</v>
      </c>
      <c r="O1" s="2" t="s">
        <v>1049</v>
      </c>
      <c r="P1" s="10" t="s">
        <v>1050</v>
      </c>
      <c r="Q1" s="10" t="s">
        <v>1051</v>
      </c>
      <c r="R1" s="10" t="s">
        <v>1052</v>
      </c>
      <c r="S1" s="10" t="s">
        <v>1057</v>
      </c>
      <c r="T1" s="8"/>
    </row>
    <row r="2" spans="1:23" x14ac:dyDescent="0.3">
      <c r="A2" s="11" t="s">
        <v>14</v>
      </c>
      <c r="B2" s="11" t="s">
        <v>1014</v>
      </c>
      <c r="C2" s="11">
        <v>53</v>
      </c>
      <c r="D2" s="11" t="s">
        <v>1034</v>
      </c>
      <c r="E2" s="11" t="s">
        <v>1036</v>
      </c>
      <c r="F2" s="12">
        <v>1559545</v>
      </c>
      <c r="G2" s="12">
        <v>1896607</v>
      </c>
      <c r="H2" s="11">
        <v>10.58</v>
      </c>
      <c r="I2" s="11">
        <v>120</v>
      </c>
      <c r="J2" s="11">
        <v>684</v>
      </c>
      <c r="K2" s="11" t="s">
        <v>1039</v>
      </c>
      <c r="L2" s="11" t="s">
        <v>1043</v>
      </c>
      <c r="M2" s="13">
        <v>43694</v>
      </c>
      <c r="N2" s="11" t="s">
        <v>1045</v>
      </c>
      <c r="O2" s="14">
        <f>PMT(H2/1200,I2,-G2)</f>
        <v>25676.899223733013</v>
      </c>
      <c r="P2" s="14">
        <f>O2*I2</f>
        <v>3081227.9068479617</v>
      </c>
      <c r="Q2" s="14">
        <f>P2-G2</f>
        <v>1184620.9068479617</v>
      </c>
      <c r="R2" s="11">
        <f ca="1">(YEAR(TODAY())-YEAR(M2))</f>
        <v>6</v>
      </c>
      <c r="S2" s="11" t="str">
        <f>IF(J2&lt;650,"600-649",
IF(J2&lt;700,"650-699",
IF(J2&lt;750,"700-749",
IF(J2&lt;800,"750-799","800-850"))))</f>
        <v>650-699</v>
      </c>
    </row>
    <row r="3" spans="1:23" x14ac:dyDescent="0.3">
      <c r="A3" s="11" t="s">
        <v>15</v>
      </c>
      <c r="B3" s="11" t="s">
        <v>1015</v>
      </c>
      <c r="C3" s="11">
        <v>33</v>
      </c>
      <c r="D3" s="11" t="s">
        <v>1035</v>
      </c>
      <c r="E3" s="11" t="s">
        <v>1036</v>
      </c>
      <c r="F3" s="12">
        <v>906411</v>
      </c>
      <c r="G3" s="12">
        <v>1934916</v>
      </c>
      <c r="H3" s="11">
        <v>7.98</v>
      </c>
      <c r="I3" s="11">
        <v>72</v>
      </c>
      <c r="J3" s="11">
        <v>743</v>
      </c>
      <c r="K3" s="11" t="s">
        <v>1039</v>
      </c>
      <c r="L3" s="11" t="s">
        <v>1044</v>
      </c>
      <c r="M3" s="13">
        <v>43123</v>
      </c>
      <c r="N3" s="11" t="s">
        <v>1045</v>
      </c>
      <c r="O3" s="14">
        <f t="shared" ref="O3:O66" si="0">PMT(H3/1200,I3,-G3)</f>
        <v>33906.455503768135</v>
      </c>
      <c r="P3" s="14">
        <f t="shared" ref="P3:P66" si="1">O3*I3</f>
        <v>2441264.7962713055</v>
      </c>
      <c r="Q3" s="14">
        <f t="shared" ref="Q3:Q66" si="2">P3-G3</f>
        <v>506348.79627130553</v>
      </c>
      <c r="R3" s="11">
        <f t="shared" ref="R3:R66" ca="1" si="3">(YEAR(TODAY())-YEAR(M3))</f>
        <v>7</v>
      </c>
      <c r="S3" s="11" t="str">
        <f t="shared" ref="S3:S66" si="4">IF(J3&lt;650,"600-649",
IF(J3&lt;700,"650-699",
IF(J3&lt;750,"700-749",
IF(J3&lt;800,"750-799","800-850"))))</f>
        <v>700-749</v>
      </c>
      <c r="U3" s="21" t="s">
        <v>1074</v>
      </c>
      <c r="V3" s="21"/>
      <c r="W3" s="21"/>
    </row>
    <row r="4" spans="1:23" x14ac:dyDescent="0.3">
      <c r="A4" s="11" t="s">
        <v>16</v>
      </c>
      <c r="B4" s="11" t="s">
        <v>1016</v>
      </c>
      <c r="C4" s="11">
        <v>56</v>
      </c>
      <c r="D4" s="11" t="s">
        <v>1035</v>
      </c>
      <c r="E4" s="11" t="s">
        <v>1037</v>
      </c>
      <c r="F4" s="12">
        <v>559073</v>
      </c>
      <c r="G4" s="12">
        <v>1726509</v>
      </c>
      <c r="H4" s="11">
        <v>12.09</v>
      </c>
      <c r="I4" s="11">
        <v>48</v>
      </c>
      <c r="J4" s="11">
        <v>686</v>
      </c>
      <c r="K4" s="11" t="s">
        <v>1040</v>
      </c>
      <c r="L4" s="11" t="s">
        <v>1044</v>
      </c>
      <c r="M4" s="13">
        <v>43277</v>
      </c>
      <c r="N4" s="11" t="s">
        <v>1045</v>
      </c>
      <c r="O4" s="14">
        <f t="shared" si="0"/>
        <v>45541.934315552739</v>
      </c>
      <c r="P4" s="14">
        <f t="shared" si="1"/>
        <v>2186012.8471465316</v>
      </c>
      <c r="Q4" s="14">
        <f t="shared" si="2"/>
        <v>459503.84714653157</v>
      </c>
      <c r="R4" s="11">
        <f t="shared" ca="1" si="3"/>
        <v>7</v>
      </c>
      <c r="S4" s="11" t="str">
        <f t="shared" si="4"/>
        <v>650-699</v>
      </c>
      <c r="U4" s="21"/>
      <c r="V4" s="21"/>
      <c r="W4" s="21"/>
    </row>
    <row r="5" spans="1:23" x14ac:dyDescent="0.3">
      <c r="A5" s="11" t="s">
        <v>17</v>
      </c>
      <c r="B5" s="11" t="s">
        <v>1016</v>
      </c>
      <c r="C5" s="11">
        <v>49</v>
      </c>
      <c r="D5" s="11" t="s">
        <v>1035</v>
      </c>
      <c r="E5" s="11" t="s">
        <v>1036</v>
      </c>
      <c r="F5" s="12">
        <v>1720556</v>
      </c>
      <c r="G5" s="12">
        <v>1503158</v>
      </c>
      <c r="H5" s="11">
        <v>11.01</v>
      </c>
      <c r="I5" s="11">
        <v>84</v>
      </c>
      <c r="J5" s="11">
        <v>832</v>
      </c>
      <c r="K5" s="11" t="s">
        <v>1041</v>
      </c>
      <c r="L5" s="11" t="s">
        <v>1044</v>
      </c>
      <c r="M5" s="13">
        <v>43860</v>
      </c>
      <c r="N5" s="11" t="s">
        <v>1045</v>
      </c>
      <c r="O5" s="14">
        <f t="shared" si="0"/>
        <v>25745.631472382302</v>
      </c>
      <c r="P5" s="14">
        <f t="shared" si="1"/>
        <v>2162633.0436801133</v>
      </c>
      <c r="Q5" s="14">
        <f t="shared" si="2"/>
        <v>659475.04368011327</v>
      </c>
      <c r="R5" s="11">
        <f t="shared" ca="1" si="3"/>
        <v>5</v>
      </c>
      <c r="S5" s="11" t="str">
        <f t="shared" si="4"/>
        <v>800-850</v>
      </c>
      <c r="U5" s="16" t="s">
        <v>1075</v>
      </c>
      <c r="V5" s="16" t="s">
        <v>1076</v>
      </c>
    </row>
    <row r="6" spans="1:23" x14ac:dyDescent="0.3">
      <c r="A6" s="11" t="s">
        <v>18</v>
      </c>
      <c r="B6" s="11" t="s">
        <v>1017</v>
      </c>
      <c r="C6" s="11">
        <v>28</v>
      </c>
      <c r="D6" s="11" t="s">
        <v>1034</v>
      </c>
      <c r="E6" s="11" t="s">
        <v>1036</v>
      </c>
      <c r="F6" s="12">
        <v>1057812</v>
      </c>
      <c r="G6" s="12">
        <v>1531645</v>
      </c>
      <c r="H6" s="11">
        <v>11.04</v>
      </c>
      <c r="I6" s="11">
        <v>48</v>
      </c>
      <c r="J6" s="11">
        <v>672</v>
      </c>
      <c r="K6" s="11" t="s">
        <v>1042</v>
      </c>
      <c r="L6" s="11" t="s">
        <v>1044</v>
      </c>
      <c r="M6" s="13">
        <v>43223</v>
      </c>
      <c r="N6" s="11" t="s">
        <v>1046</v>
      </c>
      <c r="O6" s="14">
        <f t="shared" si="0"/>
        <v>39615.924587436646</v>
      </c>
      <c r="P6" s="14">
        <f t="shared" si="1"/>
        <v>1901564.380196959</v>
      </c>
      <c r="Q6" s="14">
        <f t="shared" si="2"/>
        <v>369919.38019695901</v>
      </c>
      <c r="R6" s="11">
        <f t="shared" ca="1" si="3"/>
        <v>7</v>
      </c>
      <c r="S6" s="11" t="str">
        <f t="shared" si="4"/>
        <v>650-699</v>
      </c>
      <c r="U6" s="11" t="s">
        <v>1040</v>
      </c>
      <c r="V6" s="15">
        <f>SUMIF(K:K,U6,G:G)</f>
        <v>281629680</v>
      </c>
    </row>
    <row r="7" spans="1:23" x14ac:dyDescent="0.3">
      <c r="A7" s="11" t="s">
        <v>19</v>
      </c>
      <c r="B7" s="11" t="s">
        <v>1014</v>
      </c>
      <c r="C7" s="11">
        <v>54</v>
      </c>
      <c r="D7" s="11" t="s">
        <v>1035</v>
      </c>
      <c r="E7" s="11" t="s">
        <v>1037</v>
      </c>
      <c r="F7" s="12">
        <v>1109203</v>
      </c>
      <c r="G7" s="12">
        <v>1300500</v>
      </c>
      <c r="H7" s="11">
        <v>10.050000000000001</v>
      </c>
      <c r="I7" s="11">
        <v>120</v>
      </c>
      <c r="J7" s="11">
        <v>614</v>
      </c>
      <c r="K7" s="11" t="s">
        <v>1041</v>
      </c>
      <c r="L7" s="11" t="s">
        <v>1044</v>
      </c>
      <c r="M7" s="13">
        <v>45273</v>
      </c>
      <c r="N7" s="11" t="s">
        <v>1047</v>
      </c>
      <c r="O7" s="14">
        <f t="shared" si="0"/>
        <v>17222.231428533731</v>
      </c>
      <c r="P7" s="14">
        <f t="shared" si="1"/>
        <v>2066667.7714240476</v>
      </c>
      <c r="Q7" s="14">
        <f t="shared" si="2"/>
        <v>766167.77142404765</v>
      </c>
      <c r="R7" s="11">
        <f t="shared" ca="1" si="3"/>
        <v>2</v>
      </c>
      <c r="S7" s="11" t="str">
        <f t="shared" si="4"/>
        <v>600-649</v>
      </c>
      <c r="U7" s="11" t="s">
        <v>1039</v>
      </c>
      <c r="V7" s="15">
        <f t="shared" ref="V7:V9" si="5">SUMIF(K:K,U7,G:G)</f>
        <v>273361812</v>
      </c>
    </row>
    <row r="8" spans="1:23" x14ac:dyDescent="0.3">
      <c r="A8" s="11" t="s">
        <v>20</v>
      </c>
      <c r="B8" s="11" t="s">
        <v>1018</v>
      </c>
      <c r="C8" s="11">
        <v>35</v>
      </c>
      <c r="D8" s="11" t="s">
        <v>1034</v>
      </c>
      <c r="E8" s="11" t="s">
        <v>1036</v>
      </c>
      <c r="F8" s="12">
        <v>1418999</v>
      </c>
      <c r="G8" s="12">
        <v>936676</v>
      </c>
      <c r="H8" s="11">
        <v>10.76</v>
      </c>
      <c r="I8" s="11">
        <v>96</v>
      </c>
      <c r="J8" s="11">
        <v>773</v>
      </c>
      <c r="K8" s="11" t="s">
        <v>1040</v>
      </c>
      <c r="L8" s="11" t="s">
        <v>1043</v>
      </c>
      <c r="M8" s="13">
        <v>44788</v>
      </c>
      <c r="N8" s="11" t="s">
        <v>1047</v>
      </c>
      <c r="O8" s="14">
        <f t="shared" si="0"/>
        <v>14592.7293610003</v>
      </c>
      <c r="P8" s="14">
        <f t="shared" si="1"/>
        <v>1400902.0186560289</v>
      </c>
      <c r="Q8" s="14">
        <f t="shared" si="2"/>
        <v>464226.0186560289</v>
      </c>
      <c r="R8" s="11">
        <f t="shared" ca="1" si="3"/>
        <v>3</v>
      </c>
      <c r="S8" s="11" t="str">
        <f t="shared" si="4"/>
        <v>750-799</v>
      </c>
      <c r="U8" s="11" t="s">
        <v>1041</v>
      </c>
      <c r="V8" s="15">
        <f t="shared" si="5"/>
        <v>264168705</v>
      </c>
    </row>
    <row r="9" spans="1:23" x14ac:dyDescent="0.3">
      <c r="A9" s="11" t="s">
        <v>21</v>
      </c>
      <c r="B9" s="11" t="s">
        <v>1016</v>
      </c>
      <c r="C9" s="11">
        <v>53</v>
      </c>
      <c r="D9" s="11" t="s">
        <v>1035</v>
      </c>
      <c r="E9" s="11" t="s">
        <v>1036</v>
      </c>
      <c r="F9" s="12">
        <v>1679830</v>
      </c>
      <c r="G9" s="12">
        <v>656065</v>
      </c>
      <c r="H9" s="11">
        <v>13.99</v>
      </c>
      <c r="I9" s="11">
        <v>36</v>
      </c>
      <c r="J9" s="11">
        <v>832</v>
      </c>
      <c r="K9" s="11" t="s">
        <v>1039</v>
      </c>
      <c r="L9" s="11" t="s">
        <v>1044</v>
      </c>
      <c r="M9" s="13">
        <v>43265</v>
      </c>
      <c r="N9" s="11" t="s">
        <v>1046</v>
      </c>
      <c r="O9" s="14">
        <f t="shared" si="0"/>
        <v>22419.560352201072</v>
      </c>
      <c r="P9" s="14">
        <f t="shared" si="1"/>
        <v>807104.1726792386</v>
      </c>
      <c r="Q9" s="14">
        <f t="shared" si="2"/>
        <v>151039.1726792386</v>
      </c>
      <c r="R9" s="11">
        <f t="shared" ca="1" si="3"/>
        <v>7</v>
      </c>
      <c r="S9" s="11" t="str">
        <f t="shared" si="4"/>
        <v>800-850</v>
      </c>
      <c r="U9" s="11" t="s">
        <v>1042</v>
      </c>
      <c r="V9" s="15">
        <f t="shared" si="5"/>
        <v>258127327</v>
      </c>
    </row>
    <row r="10" spans="1:23" x14ac:dyDescent="0.3">
      <c r="A10" s="11" t="s">
        <v>22</v>
      </c>
      <c r="B10" s="11" t="s">
        <v>1015</v>
      </c>
      <c r="C10" s="11">
        <v>48</v>
      </c>
      <c r="D10" s="11" t="s">
        <v>1035</v>
      </c>
      <c r="E10" s="11" t="s">
        <v>1037</v>
      </c>
      <c r="F10" s="12">
        <v>348744</v>
      </c>
      <c r="G10" s="12">
        <v>684365</v>
      </c>
      <c r="H10" s="11">
        <v>14.73</v>
      </c>
      <c r="I10" s="11">
        <v>60</v>
      </c>
      <c r="J10" s="11">
        <v>703</v>
      </c>
      <c r="K10" s="11" t="s">
        <v>1042</v>
      </c>
      <c r="L10" s="11" t="s">
        <v>1043</v>
      </c>
      <c r="M10" s="13">
        <v>45310</v>
      </c>
      <c r="N10" s="11" t="s">
        <v>1047</v>
      </c>
      <c r="O10" s="14">
        <f t="shared" si="0"/>
        <v>16184.163941259883</v>
      </c>
      <c r="P10" s="14">
        <f t="shared" si="1"/>
        <v>971049.83647559304</v>
      </c>
      <c r="Q10" s="14">
        <f t="shared" si="2"/>
        <v>286684.83647559304</v>
      </c>
      <c r="R10" s="11">
        <f t="shared" ca="1" si="3"/>
        <v>1</v>
      </c>
      <c r="S10" s="11" t="str">
        <f t="shared" si="4"/>
        <v>700-749</v>
      </c>
    </row>
    <row r="11" spans="1:23" x14ac:dyDescent="0.3">
      <c r="A11" s="11" t="s">
        <v>23</v>
      </c>
      <c r="B11" s="11" t="s">
        <v>1019</v>
      </c>
      <c r="C11" s="11">
        <v>38</v>
      </c>
      <c r="D11" s="11" t="s">
        <v>1034</v>
      </c>
      <c r="E11" s="11" t="s">
        <v>1037</v>
      </c>
      <c r="F11" s="12">
        <v>1034744</v>
      </c>
      <c r="G11" s="12">
        <v>361395</v>
      </c>
      <c r="H11" s="11">
        <v>12.53</v>
      </c>
      <c r="I11" s="11">
        <v>60</v>
      </c>
      <c r="J11" s="11">
        <v>813</v>
      </c>
      <c r="K11" s="11" t="s">
        <v>1041</v>
      </c>
      <c r="L11" s="11" t="s">
        <v>1044</v>
      </c>
      <c r="M11" s="13">
        <v>45036</v>
      </c>
      <c r="N11" s="11" t="s">
        <v>1046</v>
      </c>
      <c r="O11" s="14">
        <f t="shared" si="0"/>
        <v>8136.1579162020553</v>
      </c>
      <c r="P11" s="14">
        <f t="shared" si="1"/>
        <v>488169.47497212334</v>
      </c>
      <c r="Q11" s="14">
        <f t="shared" si="2"/>
        <v>126774.47497212334</v>
      </c>
      <c r="R11" s="11">
        <f t="shared" ca="1" si="3"/>
        <v>2</v>
      </c>
      <c r="S11" s="11" t="str">
        <f t="shared" si="4"/>
        <v>800-850</v>
      </c>
      <c r="U11" s="21" t="s">
        <v>1077</v>
      </c>
      <c r="V11" s="21"/>
      <c r="W11" s="21"/>
    </row>
    <row r="12" spans="1:23" x14ac:dyDescent="0.3">
      <c r="A12" s="11" t="s">
        <v>24</v>
      </c>
      <c r="B12" s="11" t="s">
        <v>1020</v>
      </c>
      <c r="C12" s="11">
        <v>48</v>
      </c>
      <c r="D12" s="11" t="s">
        <v>1035</v>
      </c>
      <c r="E12" s="11" t="s">
        <v>1037</v>
      </c>
      <c r="F12" s="12">
        <v>543972</v>
      </c>
      <c r="G12" s="12">
        <v>803441</v>
      </c>
      <c r="H12" s="11">
        <v>7.77</v>
      </c>
      <c r="I12" s="11">
        <v>36</v>
      </c>
      <c r="J12" s="11">
        <v>749</v>
      </c>
      <c r="K12" s="11" t="s">
        <v>1039</v>
      </c>
      <c r="L12" s="11" t="s">
        <v>1044</v>
      </c>
      <c r="M12" s="13">
        <v>44487</v>
      </c>
      <c r="N12" s="11" t="s">
        <v>1048</v>
      </c>
      <c r="O12" s="14">
        <f t="shared" si="0"/>
        <v>25091.759990711162</v>
      </c>
      <c r="P12" s="14">
        <f t="shared" si="1"/>
        <v>903303.35966560186</v>
      </c>
      <c r="Q12" s="14">
        <f t="shared" si="2"/>
        <v>99862.359665601864</v>
      </c>
      <c r="R12" s="11">
        <f t="shared" ca="1" si="3"/>
        <v>4</v>
      </c>
      <c r="S12" s="11" t="str">
        <f t="shared" si="4"/>
        <v>700-749</v>
      </c>
      <c r="U12" s="21"/>
      <c r="V12" s="21"/>
      <c r="W12" s="21"/>
    </row>
    <row r="13" spans="1:23" x14ac:dyDescent="0.3">
      <c r="A13" s="11" t="s">
        <v>25</v>
      </c>
      <c r="B13" s="11" t="s">
        <v>1021</v>
      </c>
      <c r="C13" s="11">
        <v>33</v>
      </c>
      <c r="D13" s="11" t="s">
        <v>1034</v>
      </c>
      <c r="E13" s="11" t="s">
        <v>1037</v>
      </c>
      <c r="F13" s="12">
        <v>1472509</v>
      </c>
      <c r="G13" s="12">
        <v>1597755</v>
      </c>
      <c r="H13" s="11">
        <v>11.53</v>
      </c>
      <c r="I13" s="11">
        <v>120</v>
      </c>
      <c r="J13" s="11">
        <v>726</v>
      </c>
      <c r="K13" s="11" t="s">
        <v>1041</v>
      </c>
      <c r="L13" s="11" t="s">
        <v>1044</v>
      </c>
      <c r="M13" s="13">
        <v>43119</v>
      </c>
      <c r="N13" s="11" t="s">
        <v>1048</v>
      </c>
      <c r="O13" s="14">
        <f t="shared" si="0"/>
        <v>22491.138535036684</v>
      </c>
      <c r="P13" s="14">
        <f t="shared" si="1"/>
        <v>2698936.6242044019</v>
      </c>
      <c r="Q13" s="14">
        <f t="shared" si="2"/>
        <v>1101181.6242044019</v>
      </c>
      <c r="R13" s="11">
        <f t="shared" ca="1" si="3"/>
        <v>7</v>
      </c>
      <c r="S13" s="11" t="str">
        <f t="shared" si="4"/>
        <v>700-749</v>
      </c>
      <c r="U13" s="21"/>
      <c r="V13" s="21"/>
      <c r="W13" s="21"/>
    </row>
    <row r="14" spans="1:23" x14ac:dyDescent="0.3">
      <c r="A14" s="11" t="s">
        <v>26</v>
      </c>
      <c r="B14" s="11" t="s">
        <v>1022</v>
      </c>
      <c r="C14" s="11">
        <v>43</v>
      </c>
      <c r="D14" s="11" t="s">
        <v>1035</v>
      </c>
      <c r="E14" s="11" t="s">
        <v>1036</v>
      </c>
      <c r="F14" s="12">
        <v>405485</v>
      </c>
      <c r="G14" s="12">
        <v>1188704</v>
      </c>
      <c r="H14" s="11">
        <v>9.5399999999999991</v>
      </c>
      <c r="I14" s="11">
        <v>96</v>
      </c>
      <c r="J14" s="11">
        <v>658</v>
      </c>
      <c r="K14" s="11" t="s">
        <v>1042</v>
      </c>
      <c r="L14" s="11" t="s">
        <v>1044</v>
      </c>
      <c r="M14" s="13">
        <v>44223</v>
      </c>
      <c r="N14" s="11" t="s">
        <v>1047</v>
      </c>
      <c r="O14" s="14">
        <f t="shared" si="0"/>
        <v>17749.554925499466</v>
      </c>
      <c r="P14" s="14">
        <f t="shared" si="1"/>
        <v>1703957.2728479486</v>
      </c>
      <c r="Q14" s="14">
        <f t="shared" si="2"/>
        <v>515253.2728479486</v>
      </c>
      <c r="R14" s="11">
        <f t="shared" ca="1" si="3"/>
        <v>4</v>
      </c>
      <c r="S14" s="11" t="str">
        <f t="shared" si="4"/>
        <v>650-699</v>
      </c>
      <c r="U14" s="17" t="s">
        <v>1078</v>
      </c>
      <c r="V14" s="6">
        <f>SUMIFS(G:G,N:N,"North",L:L,"Paid")</f>
        <v>207955391</v>
      </c>
    </row>
    <row r="15" spans="1:23" x14ac:dyDescent="0.3">
      <c r="A15" s="11" t="s">
        <v>27</v>
      </c>
      <c r="B15" s="11" t="s">
        <v>1023</v>
      </c>
      <c r="C15" s="11">
        <v>44</v>
      </c>
      <c r="D15" s="11" t="s">
        <v>1034</v>
      </c>
      <c r="E15" s="11" t="s">
        <v>1037</v>
      </c>
      <c r="F15" s="12">
        <v>769056</v>
      </c>
      <c r="G15" s="12">
        <v>508910</v>
      </c>
      <c r="H15" s="11">
        <v>9.9600000000000009</v>
      </c>
      <c r="I15" s="11">
        <v>72</v>
      </c>
      <c r="J15" s="11">
        <v>815</v>
      </c>
      <c r="K15" s="11" t="s">
        <v>1042</v>
      </c>
      <c r="L15" s="11" t="s">
        <v>1044</v>
      </c>
      <c r="M15" s="13">
        <v>44295</v>
      </c>
      <c r="N15" s="11" t="s">
        <v>1046</v>
      </c>
      <c r="O15" s="14">
        <f t="shared" si="0"/>
        <v>9417.7219717097596</v>
      </c>
      <c r="P15" s="14">
        <f t="shared" si="1"/>
        <v>678075.98196310271</v>
      </c>
      <c r="Q15" s="14">
        <f t="shared" si="2"/>
        <v>169165.98196310271</v>
      </c>
      <c r="R15" s="11">
        <f t="shared" ca="1" si="3"/>
        <v>4</v>
      </c>
      <c r="S15" s="11" t="str">
        <f t="shared" si="4"/>
        <v>800-850</v>
      </c>
    </row>
    <row r="16" spans="1:23" x14ac:dyDescent="0.3">
      <c r="A16" s="11" t="s">
        <v>28</v>
      </c>
      <c r="B16" s="11" t="s">
        <v>1014</v>
      </c>
      <c r="C16" s="11">
        <v>43</v>
      </c>
      <c r="D16" s="11" t="s">
        <v>1034</v>
      </c>
      <c r="E16" s="11" t="s">
        <v>1037</v>
      </c>
      <c r="F16" s="12">
        <v>1411713</v>
      </c>
      <c r="G16" s="12">
        <v>888810</v>
      </c>
      <c r="H16" s="11">
        <v>8.1999999999999993</v>
      </c>
      <c r="I16" s="11">
        <v>60</v>
      </c>
      <c r="J16" s="11">
        <v>727</v>
      </c>
      <c r="K16" s="11" t="s">
        <v>1039</v>
      </c>
      <c r="L16" s="11" t="s">
        <v>1043</v>
      </c>
      <c r="M16" s="13">
        <v>43426</v>
      </c>
      <c r="N16" s="11" t="s">
        <v>1048</v>
      </c>
      <c r="O16" s="14">
        <f t="shared" si="0"/>
        <v>18107.056313206729</v>
      </c>
      <c r="P16" s="14">
        <f t="shared" si="1"/>
        <v>1086423.3787924037</v>
      </c>
      <c r="Q16" s="14">
        <f t="shared" si="2"/>
        <v>197613.37879240373</v>
      </c>
      <c r="R16" s="11">
        <f t="shared" ca="1" si="3"/>
        <v>7</v>
      </c>
      <c r="S16" s="11" t="str">
        <f t="shared" si="4"/>
        <v>700-749</v>
      </c>
      <c r="U16" s="21" t="s">
        <v>1079</v>
      </c>
      <c r="V16" s="21"/>
      <c r="W16" s="21"/>
    </row>
    <row r="17" spans="1:23" x14ac:dyDescent="0.3">
      <c r="A17" s="11" t="s">
        <v>29</v>
      </c>
      <c r="B17" s="11" t="s">
        <v>1017</v>
      </c>
      <c r="C17" s="11">
        <v>32</v>
      </c>
      <c r="D17" s="11" t="s">
        <v>1034</v>
      </c>
      <c r="E17" s="11" t="s">
        <v>1038</v>
      </c>
      <c r="F17" s="12">
        <v>718149</v>
      </c>
      <c r="G17" s="12">
        <v>1372912</v>
      </c>
      <c r="H17" s="11">
        <v>14.02</v>
      </c>
      <c r="I17" s="11">
        <v>72</v>
      </c>
      <c r="J17" s="11">
        <v>620</v>
      </c>
      <c r="K17" s="11" t="s">
        <v>1039</v>
      </c>
      <c r="L17" s="11" t="s">
        <v>1044</v>
      </c>
      <c r="M17" s="13">
        <v>45063</v>
      </c>
      <c r="N17" s="11" t="s">
        <v>1048</v>
      </c>
      <c r="O17" s="14">
        <f t="shared" si="0"/>
        <v>28304.572113031965</v>
      </c>
      <c r="P17" s="14">
        <f t="shared" si="1"/>
        <v>2037929.1921383014</v>
      </c>
      <c r="Q17" s="14">
        <f t="shared" si="2"/>
        <v>665017.19213830144</v>
      </c>
      <c r="R17" s="11">
        <f t="shared" ca="1" si="3"/>
        <v>2</v>
      </c>
      <c r="S17" s="11" t="str">
        <f t="shared" si="4"/>
        <v>600-649</v>
      </c>
      <c r="U17" s="21"/>
      <c r="V17" s="21"/>
      <c r="W17" s="21"/>
    </row>
    <row r="18" spans="1:23" x14ac:dyDescent="0.3">
      <c r="A18" s="11" t="s">
        <v>30</v>
      </c>
      <c r="B18" s="11" t="s">
        <v>1020</v>
      </c>
      <c r="C18" s="11">
        <v>26</v>
      </c>
      <c r="D18" s="11" t="s">
        <v>1034</v>
      </c>
      <c r="E18" s="11" t="s">
        <v>1037</v>
      </c>
      <c r="F18" s="12">
        <v>1776570</v>
      </c>
      <c r="G18" s="12">
        <v>207067</v>
      </c>
      <c r="H18" s="11">
        <v>12.37</v>
      </c>
      <c r="I18" s="11">
        <v>36</v>
      </c>
      <c r="J18" s="11">
        <v>839</v>
      </c>
      <c r="K18" s="11" t="s">
        <v>1042</v>
      </c>
      <c r="L18" s="11" t="s">
        <v>1043</v>
      </c>
      <c r="M18" s="13">
        <v>44783</v>
      </c>
      <c r="N18" s="11" t="s">
        <v>1046</v>
      </c>
      <c r="O18" s="14">
        <f t="shared" si="0"/>
        <v>6914.2375972098771</v>
      </c>
      <c r="P18" s="14">
        <f t="shared" si="1"/>
        <v>248912.55349955556</v>
      </c>
      <c r="Q18" s="14">
        <f t="shared" si="2"/>
        <v>41845.553499555564</v>
      </c>
      <c r="R18" s="11">
        <f t="shared" ca="1" si="3"/>
        <v>3</v>
      </c>
      <c r="S18" s="11" t="str">
        <f t="shared" si="4"/>
        <v>800-850</v>
      </c>
      <c r="U18" s="17" t="s">
        <v>1078</v>
      </c>
      <c r="V18" s="9">
        <f>AVERAGEIFS(F:F,E:E,"Salaried",K:K,"Car Loan")</f>
        <v>1164067.7</v>
      </c>
    </row>
    <row r="19" spans="1:23" x14ac:dyDescent="0.3">
      <c r="A19" s="11" t="s">
        <v>31</v>
      </c>
      <c r="B19" s="11" t="s">
        <v>1024</v>
      </c>
      <c r="C19" s="11">
        <v>35</v>
      </c>
      <c r="D19" s="11" t="s">
        <v>1034</v>
      </c>
      <c r="E19" s="11" t="s">
        <v>1036</v>
      </c>
      <c r="F19" s="12">
        <v>1458086</v>
      </c>
      <c r="G19" s="12">
        <v>1422232</v>
      </c>
      <c r="H19" s="11">
        <v>11.02</v>
      </c>
      <c r="I19" s="11">
        <v>120</v>
      </c>
      <c r="J19" s="11">
        <v>809</v>
      </c>
      <c r="K19" s="11" t="s">
        <v>1042</v>
      </c>
      <c r="L19" s="11" t="s">
        <v>1044</v>
      </c>
      <c r="M19" s="13">
        <v>44527</v>
      </c>
      <c r="N19" s="11" t="s">
        <v>1048</v>
      </c>
      <c r="O19" s="14">
        <f t="shared" si="0"/>
        <v>19607.352128619437</v>
      </c>
      <c r="P19" s="14">
        <f t="shared" si="1"/>
        <v>2352882.2554343324</v>
      </c>
      <c r="Q19" s="14">
        <f t="shared" si="2"/>
        <v>930650.25543433242</v>
      </c>
      <c r="R19" s="11">
        <f t="shared" ca="1" si="3"/>
        <v>4</v>
      </c>
      <c r="S19" s="11" t="str">
        <f t="shared" si="4"/>
        <v>800-850</v>
      </c>
    </row>
    <row r="20" spans="1:23" x14ac:dyDescent="0.3">
      <c r="A20" s="11" t="s">
        <v>32</v>
      </c>
      <c r="B20" s="11" t="s">
        <v>1025</v>
      </c>
      <c r="C20" s="11">
        <v>49</v>
      </c>
      <c r="D20" s="11" t="s">
        <v>1034</v>
      </c>
      <c r="E20" s="11" t="s">
        <v>1037</v>
      </c>
      <c r="F20" s="12">
        <v>1422519</v>
      </c>
      <c r="G20" s="12">
        <v>1593381</v>
      </c>
      <c r="H20" s="11">
        <v>13.17</v>
      </c>
      <c r="I20" s="11">
        <v>84</v>
      </c>
      <c r="J20" s="11">
        <v>708</v>
      </c>
      <c r="K20" s="11" t="s">
        <v>1039</v>
      </c>
      <c r="L20" s="11" t="s">
        <v>1044</v>
      </c>
      <c r="M20" s="13">
        <v>44962</v>
      </c>
      <c r="N20" s="11" t="s">
        <v>1045</v>
      </c>
      <c r="O20" s="14">
        <f t="shared" si="0"/>
        <v>29134.195234268795</v>
      </c>
      <c r="P20" s="14">
        <f t="shared" si="1"/>
        <v>2447272.3996785786</v>
      </c>
      <c r="Q20" s="14">
        <f t="shared" si="2"/>
        <v>853891.3996785786</v>
      </c>
      <c r="R20" s="11">
        <f t="shared" ca="1" si="3"/>
        <v>2</v>
      </c>
      <c r="S20" s="11" t="str">
        <f t="shared" si="4"/>
        <v>700-749</v>
      </c>
      <c r="U20" s="21" t="s">
        <v>1080</v>
      </c>
      <c r="V20" s="21"/>
      <c r="W20" s="21"/>
    </row>
    <row r="21" spans="1:23" x14ac:dyDescent="0.3">
      <c r="A21" s="11" t="s">
        <v>33</v>
      </c>
      <c r="B21" s="11" t="s">
        <v>1026</v>
      </c>
      <c r="C21" s="11">
        <v>50</v>
      </c>
      <c r="D21" s="11" t="s">
        <v>1035</v>
      </c>
      <c r="E21" s="11" t="s">
        <v>1036</v>
      </c>
      <c r="F21" s="12">
        <v>1293844</v>
      </c>
      <c r="G21" s="12">
        <v>1602669</v>
      </c>
      <c r="H21" s="11">
        <v>9.49</v>
      </c>
      <c r="I21" s="11">
        <v>96</v>
      </c>
      <c r="J21" s="11">
        <v>608</v>
      </c>
      <c r="K21" s="11" t="s">
        <v>1039</v>
      </c>
      <c r="L21" s="11" t="s">
        <v>1044</v>
      </c>
      <c r="M21" s="13">
        <v>45318</v>
      </c>
      <c r="N21" s="11" t="s">
        <v>1048</v>
      </c>
      <c r="O21" s="14">
        <f t="shared" si="0"/>
        <v>23888.820281242952</v>
      </c>
      <c r="P21" s="14">
        <f t="shared" si="1"/>
        <v>2293326.7469993234</v>
      </c>
      <c r="Q21" s="14">
        <f t="shared" si="2"/>
        <v>690657.74699932337</v>
      </c>
      <c r="R21" s="11">
        <f t="shared" ca="1" si="3"/>
        <v>1</v>
      </c>
      <c r="S21" s="11" t="str">
        <f t="shared" si="4"/>
        <v>600-649</v>
      </c>
      <c r="U21" s="21"/>
      <c r="V21" s="21"/>
      <c r="W21" s="21"/>
    </row>
    <row r="22" spans="1:23" x14ac:dyDescent="0.3">
      <c r="A22" s="11" t="s">
        <v>34</v>
      </c>
      <c r="B22" s="11" t="s">
        <v>1027</v>
      </c>
      <c r="C22" s="11">
        <v>25</v>
      </c>
      <c r="D22" s="11" t="s">
        <v>1034</v>
      </c>
      <c r="E22" s="11" t="s">
        <v>1038</v>
      </c>
      <c r="F22" s="12">
        <v>1017659</v>
      </c>
      <c r="G22" s="12">
        <v>1458736</v>
      </c>
      <c r="H22" s="11">
        <v>13.76</v>
      </c>
      <c r="I22" s="11">
        <v>84</v>
      </c>
      <c r="J22" s="11">
        <v>764</v>
      </c>
      <c r="K22" s="11" t="s">
        <v>1042</v>
      </c>
      <c r="L22" s="11" t="s">
        <v>1044</v>
      </c>
      <c r="M22" s="13">
        <v>43160</v>
      </c>
      <c r="N22" s="11" t="s">
        <v>1047</v>
      </c>
      <c r="O22" s="14">
        <f t="shared" si="0"/>
        <v>27143.696075889573</v>
      </c>
      <c r="P22" s="14">
        <f t="shared" si="1"/>
        <v>2280070.4703747239</v>
      </c>
      <c r="Q22" s="14">
        <f t="shared" si="2"/>
        <v>821334.4703747239</v>
      </c>
      <c r="R22" s="11">
        <f t="shared" ca="1" si="3"/>
        <v>7</v>
      </c>
      <c r="S22" s="11" t="str">
        <f t="shared" si="4"/>
        <v>750-799</v>
      </c>
      <c r="U22" s="17" t="s">
        <v>1078</v>
      </c>
      <c r="V22">
        <f>COUNTIFS(K:K,"Personal Loan",E:E,"Self-Employed")</f>
        <v>78</v>
      </c>
    </row>
    <row r="23" spans="1:23" x14ac:dyDescent="0.3">
      <c r="A23" s="11" t="s">
        <v>35</v>
      </c>
      <c r="B23" s="11" t="s">
        <v>1028</v>
      </c>
      <c r="C23" s="11">
        <v>32</v>
      </c>
      <c r="D23" s="11" t="s">
        <v>1034</v>
      </c>
      <c r="E23" s="11" t="s">
        <v>1036</v>
      </c>
      <c r="F23" s="12">
        <v>849506</v>
      </c>
      <c r="G23" s="12">
        <v>1711239</v>
      </c>
      <c r="H23" s="11">
        <v>12.89</v>
      </c>
      <c r="I23" s="11">
        <v>36</v>
      </c>
      <c r="J23" s="11">
        <v>700</v>
      </c>
      <c r="K23" s="11" t="s">
        <v>1042</v>
      </c>
      <c r="L23" s="11" t="s">
        <v>1044</v>
      </c>
      <c r="M23" s="13">
        <v>44880</v>
      </c>
      <c r="N23" s="11" t="s">
        <v>1045</v>
      </c>
      <c r="O23" s="14">
        <f t="shared" si="0"/>
        <v>57567.780184846866</v>
      </c>
      <c r="P23" s="14">
        <f t="shared" si="1"/>
        <v>2072440.0866544871</v>
      </c>
      <c r="Q23" s="14">
        <f t="shared" si="2"/>
        <v>361201.08665448707</v>
      </c>
      <c r="R23" s="11">
        <f t="shared" ca="1" si="3"/>
        <v>3</v>
      </c>
      <c r="S23" s="11" t="str">
        <f t="shared" si="4"/>
        <v>700-749</v>
      </c>
    </row>
    <row r="24" spans="1:23" x14ac:dyDescent="0.3">
      <c r="A24" s="11" t="s">
        <v>36</v>
      </c>
      <c r="B24" s="11" t="s">
        <v>1015</v>
      </c>
      <c r="C24" s="11">
        <v>55</v>
      </c>
      <c r="D24" s="11" t="s">
        <v>1034</v>
      </c>
      <c r="E24" s="11" t="s">
        <v>1037</v>
      </c>
      <c r="F24" s="12">
        <v>1756371</v>
      </c>
      <c r="G24" s="12">
        <v>348472</v>
      </c>
      <c r="H24" s="11">
        <v>11.3</v>
      </c>
      <c r="I24" s="11">
        <v>120</v>
      </c>
      <c r="J24" s="11">
        <v>678</v>
      </c>
      <c r="K24" s="11" t="s">
        <v>1042</v>
      </c>
      <c r="L24" s="11" t="s">
        <v>1044</v>
      </c>
      <c r="M24" s="13">
        <v>45316</v>
      </c>
      <c r="N24" s="11" t="s">
        <v>1047</v>
      </c>
      <c r="O24" s="14">
        <f t="shared" si="0"/>
        <v>4859.5689771274865</v>
      </c>
      <c r="P24" s="14">
        <f t="shared" si="1"/>
        <v>583148.27725529834</v>
      </c>
      <c r="Q24" s="14">
        <f t="shared" si="2"/>
        <v>234676.27725529834</v>
      </c>
      <c r="R24" s="11">
        <f t="shared" ca="1" si="3"/>
        <v>1</v>
      </c>
      <c r="S24" s="11" t="str">
        <f t="shared" si="4"/>
        <v>650-699</v>
      </c>
      <c r="U24" s="22" t="s">
        <v>1082</v>
      </c>
      <c r="V24" s="22"/>
      <c r="W24" s="22"/>
    </row>
    <row r="25" spans="1:23" x14ac:dyDescent="0.3">
      <c r="A25" s="11" t="s">
        <v>37</v>
      </c>
      <c r="B25" s="11" t="s">
        <v>1019</v>
      </c>
      <c r="C25" s="11">
        <v>56</v>
      </c>
      <c r="D25" s="11" t="s">
        <v>1034</v>
      </c>
      <c r="E25" s="11" t="s">
        <v>1038</v>
      </c>
      <c r="F25" s="12">
        <v>1690372</v>
      </c>
      <c r="G25" s="12">
        <v>1684169</v>
      </c>
      <c r="H25" s="11">
        <v>8.86</v>
      </c>
      <c r="I25" s="11">
        <v>72</v>
      </c>
      <c r="J25" s="11">
        <v>750</v>
      </c>
      <c r="K25" s="11" t="s">
        <v>1042</v>
      </c>
      <c r="L25" s="11" t="s">
        <v>1044</v>
      </c>
      <c r="M25" s="13">
        <v>45459</v>
      </c>
      <c r="N25" s="11" t="s">
        <v>1045</v>
      </c>
      <c r="O25" s="14">
        <f t="shared" si="0"/>
        <v>30241.161576127481</v>
      </c>
      <c r="P25" s="14">
        <f t="shared" si="1"/>
        <v>2177363.6334811784</v>
      </c>
      <c r="Q25" s="14">
        <f t="shared" si="2"/>
        <v>493194.63348117843</v>
      </c>
      <c r="R25" s="11">
        <f t="shared" ca="1" si="3"/>
        <v>1</v>
      </c>
      <c r="S25" s="11" t="str">
        <f t="shared" si="4"/>
        <v>750-799</v>
      </c>
      <c r="U25" s="22"/>
      <c r="V25" s="22"/>
      <c r="W25" s="22"/>
    </row>
    <row r="26" spans="1:23" x14ac:dyDescent="0.3">
      <c r="A26" s="11" t="s">
        <v>38</v>
      </c>
      <c r="B26" s="11" t="s">
        <v>1029</v>
      </c>
      <c r="C26" s="11">
        <v>43</v>
      </c>
      <c r="D26" s="11" t="s">
        <v>1035</v>
      </c>
      <c r="E26" s="11" t="s">
        <v>1037</v>
      </c>
      <c r="F26" s="12">
        <v>362436</v>
      </c>
      <c r="G26" s="12">
        <v>540212</v>
      </c>
      <c r="H26" s="11">
        <v>11</v>
      </c>
      <c r="I26" s="11">
        <v>72</v>
      </c>
      <c r="J26" s="11">
        <v>603</v>
      </c>
      <c r="K26" s="11" t="s">
        <v>1042</v>
      </c>
      <c r="L26" s="11" t="s">
        <v>1043</v>
      </c>
      <c r="M26" s="13">
        <v>43330</v>
      </c>
      <c r="N26" s="11" t="s">
        <v>1048</v>
      </c>
      <c r="O26" s="14">
        <f t="shared" si="0"/>
        <v>10282.437885129282</v>
      </c>
      <c r="P26" s="14">
        <f t="shared" si="1"/>
        <v>740335.52772930835</v>
      </c>
      <c r="Q26" s="14">
        <f t="shared" si="2"/>
        <v>200123.52772930835</v>
      </c>
      <c r="R26" s="11">
        <f t="shared" ca="1" si="3"/>
        <v>7</v>
      </c>
      <c r="S26" s="11" t="str">
        <f t="shared" si="4"/>
        <v>600-649</v>
      </c>
      <c r="U26" s="17" t="s">
        <v>1078</v>
      </c>
      <c r="V26" s="18">
        <f>COUNTIF(L:L,"Default")/COUNTA(L:L)*100</f>
        <v>19.58041958041958</v>
      </c>
    </row>
    <row r="27" spans="1:23" x14ac:dyDescent="0.3">
      <c r="A27" s="11" t="s">
        <v>39</v>
      </c>
      <c r="B27" s="11" t="s">
        <v>1030</v>
      </c>
      <c r="C27" s="11">
        <v>47</v>
      </c>
      <c r="D27" s="11" t="s">
        <v>1035</v>
      </c>
      <c r="E27" s="11" t="s">
        <v>1036</v>
      </c>
      <c r="F27" s="12">
        <v>1080006</v>
      </c>
      <c r="G27" s="12">
        <v>846952</v>
      </c>
      <c r="H27" s="11">
        <v>7.73</v>
      </c>
      <c r="I27" s="11">
        <v>72</v>
      </c>
      <c r="J27" s="11">
        <v>778</v>
      </c>
      <c r="K27" s="11" t="s">
        <v>1039</v>
      </c>
      <c r="L27" s="11" t="s">
        <v>1043</v>
      </c>
      <c r="M27" s="13">
        <v>44683</v>
      </c>
      <c r="N27" s="11" t="s">
        <v>1045</v>
      </c>
      <c r="O27" s="14">
        <f t="shared" si="0"/>
        <v>14738.405067673193</v>
      </c>
      <c r="P27" s="14">
        <f t="shared" si="1"/>
        <v>1061165.1648724698</v>
      </c>
      <c r="Q27" s="14">
        <f t="shared" si="2"/>
        <v>214213.16487246985</v>
      </c>
      <c r="R27" s="11">
        <f t="shared" ca="1" si="3"/>
        <v>3</v>
      </c>
      <c r="S27" s="11" t="str">
        <f t="shared" si="4"/>
        <v>750-799</v>
      </c>
    </row>
    <row r="28" spans="1:23" x14ac:dyDescent="0.3">
      <c r="A28" s="11" t="s">
        <v>40</v>
      </c>
      <c r="B28" s="11" t="s">
        <v>1016</v>
      </c>
      <c r="C28" s="11">
        <v>44</v>
      </c>
      <c r="D28" s="11" t="s">
        <v>1035</v>
      </c>
      <c r="E28" s="11" t="s">
        <v>1036</v>
      </c>
      <c r="F28" s="12">
        <v>1198977</v>
      </c>
      <c r="G28" s="12">
        <v>345195</v>
      </c>
      <c r="H28" s="11">
        <v>11.43</v>
      </c>
      <c r="I28" s="11">
        <v>84</v>
      </c>
      <c r="J28" s="11">
        <v>710</v>
      </c>
      <c r="K28" s="11" t="s">
        <v>1042</v>
      </c>
      <c r="L28" s="11" t="s">
        <v>1044</v>
      </c>
      <c r="M28" s="13">
        <v>44751</v>
      </c>
      <c r="N28" s="11" t="s">
        <v>1045</v>
      </c>
      <c r="O28" s="14">
        <f t="shared" si="0"/>
        <v>5988.9129422854321</v>
      </c>
      <c r="P28" s="14">
        <f t="shared" si="1"/>
        <v>503068.68715197628</v>
      </c>
      <c r="Q28" s="14">
        <f t="shared" si="2"/>
        <v>157873.68715197628</v>
      </c>
      <c r="R28" s="11">
        <f t="shared" ca="1" si="3"/>
        <v>3</v>
      </c>
      <c r="S28" s="11" t="str">
        <f t="shared" si="4"/>
        <v>700-749</v>
      </c>
    </row>
    <row r="29" spans="1:23" x14ac:dyDescent="0.3">
      <c r="A29" s="11" t="s">
        <v>41</v>
      </c>
      <c r="B29" s="11" t="s">
        <v>1016</v>
      </c>
      <c r="C29" s="11">
        <v>49</v>
      </c>
      <c r="D29" s="11" t="s">
        <v>1034</v>
      </c>
      <c r="E29" s="11" t="s">
        <v>1038</v>
      </c>
      <c r="F29" s="12">
        <v>651311</v>
      </c>
      <c r="G29" s="12">
        <v>1965525</v>
      </c>
      <c r="H29" s="11">
        <v>13.9</v>
      </c>
      <c r="I29" s="11">
        <v>72</v>
      </c>
      <c r="J29" s="11">
        <v>600</v>
      </c>
      <c r="K29" s="11" t="s">
        <v>1040</v>
      </c>
      <c r="L29" s="11" t="s">
        <v>1043</v>
      </c>
      <c r="M29" s="13">
        <v>45119</v>
      </c>
      <c r="N29" s="11" t="s">
        <v>1047</v>
      </c>
      <c r="O29" s="14">
        <f t="shared" si="0"/>
        <v>40395.923615263557</v>
      </c>
      <c r="P29" s="14">
        <f t="shared" si="1"/>
        <v>2908506.500298976</v>
      </c>
      <c r="Q29" s="14">
        <f t="shared" si="2"/>
        <v>942981.50029897597</v>
      </c>
      <c r="R29" s="11">
        <f t="shared" ca="1" si="3"/>
        <v>2</v>
      </c>
      <c r="S29" s="11" t="str">
        <f t="shared" si="4"/>
        <v>600-649</v>
      </c>
    </row>
    <row r="30" spans="1:23" x14ac:dyDescent="0.3">
      <c r="A30" s="11" t="s">
        <v>42</v>
      </c>
      <c r="B30" s="11" t="s">
        <v>1017</v>
      </c>
      <c r="C30" s="11">
        <v>56</v>
      </c>
      <c r="D30" s="11" t="s">
        <v>1034</v>
      </c>
      <c r="E30" s="11" t="s">
        <v>1036</v>
      </c>
      <c r="F30" s="12">
        <v>1052804</v>
      </c>
      <c r="G30" s="12">
        <v>1853373</v>
      </c>
      <c r="H30" s="11">
        <v>11.32</v>
      </c>
      <c r="I30" s="11">
        <v>72</v>
      </c>
      <c r="J30" s="11">
        <v>807</v>
      </c>
      <c r="K30" s="11" t="s">
        <v>1042</v>
      </c>
      <c r="L30" s="11" t="s">
        <v>1044</v>
      </c>
      <c r="M30" s="13">
        <v>45189</v>
      </c>
      <c r="N30" s="11" t="s">
        <v>1047</v>
      </c>
      <c r="O30" s="14">
        <f t="shared" si="0"/>
        <v>35581.763254507416</v>
      </c>
      <c r="P30" s="14">
        <f t="shared" si="1"/>
        <v>2561886.9543245342</v>
      </c>
      <c r="Q30" s="14">
        <f t="shared" si="2"/>
        <v>708513.95432453416</v>
      </c>
      <c r="R30" s="11">
        <f t="shared" ca="1" si="3"/>
        <v>2</v>
      </c>
      <c r="S30" s="11" t="str">
        <f t="shared" si="4"/>
        <v>800-850</v>
      </c>
    </row>
    <row r="31" spans="1:23" x14ac:dyDescent="0.3">
      <c r="A31" s="11" t="s">
        <v>43</v>
      </c>
      <c r="B31" s="11" t="s">
        <v>1024</v>
      </c>
      <c r="C31" s="11">
        <v>26</v>
      </c>
      <c r="D31" s="11" t="s">
        <v>1035</v>
      </c>
      <c r="E31" s="11" t="s">
        <v>1036</v>
      </c>
      <c r="F31" s="12">
        <v>980550</v>
      </c>
      <c r="G31" s="12">
        <v>963491</v>
      </c>
      <c r="H31" s="11">
        <v>10.88</v>
      </c>
      <c r="I31" s="11">
        <v>36</v>
      </c>
      <c r="J31" s="11">
        <v>642</v>
      </c>
      <c r="K31" s="11" t="s">
        <v>1039</v>
      </c>
      <c r="L31" s="11" t="s">
        <v>1044</v>
      </c>
      <c r="M31" s="13">
        <v>43698</v>
      </c>
      <c r="N31" s="11" t="s">
        <v>1047</v>
      </c>
      <c r="O31" s="14">
        <f t="shared" si="0"/>
        <v>31488.734585064041</v>
      </c>
      <c r="P31" s="14">
        <f t="shared" si="1"/>
        <v>1133594.4450623055</v>
      </c>
      <c r="Q31" s="14">
        <f t="shared" si="2"/>
        <v>170103.44506230555</v>
      </c>
      <c r="R31" s="11">
        <f t="shared" ca="1" si="3"/>
        <v>6</v>
      </c>
      <c r="S31" s="11" t="str">
        <f t="shared" si="4"/>
        <v>600-649</v>
      </c>
    </row>
    <row r="32" spans="1:23" x14ac:dyDescent="0.3">
      <c r="A32" s="11" t="s">
        <v>44</v>
      </c>
      <c r="B32" s="11" t="s">
        <v>1014</v>
      </c>
      <c r="C32" s="11">
        <v>44</v>
      </c>
      <c r="D32" s="11" t="s">
        <v>1035</v>
      </c>
      <c r="E32" s="11" t="s">
        <v>1036</v>
      </c>
      <c r="F32" s="12">
        <v>962615</v>
      </c>
      <c r="G32" s="12">
        <v>1028895</v>
      </c>
      <c r="H32" s="11">
        <v>10.86</v>
      </c>
      <c r="I32" s="11">
        <v>72</v>
      </c>
      <c r="J32" s="11">
        <v>679</v>
      </c>
      <c r="K32" s="11" t="s">
        <v>1042</v>
      </c>
      <c r="L32" s="11" t="s">
        <v>1044</v>
      </c>
      <c r="M32" s="13">
        <v>45001</v>
      </c>
      <c r="N32" s="11" t="s">
        <v>1047</v>
      </c>
      <c r="O32" s="14">
        <f t="shared" si="0"/>
        <v>19510.369687798335</v>
      </c>
      <c r="P32" s="14">
        <f t="shared" si="1"/>
        <v>1404746.6175214802</v>
      </c>
      <c r="Q32" s="14">
        <f t="shared" si="2"/>
        <v>375851.61752148019</v>
      </c>
      <c r="R32" s="11">
        <f t="shared" ca="1" si="3"/>
        <v>2</v>
      </c>
      <c r="S32" s="11" t="str">
        <f t="shared" si="4"/>
        <v>650-699</v>
      </c>
    </row>
    <row r="33" spans="1:19" x14ac:dyDescent="0.3">
      <c r="A33" s="11" t="s">
        <v>45</v>
      </c>
      <c r="B33" s="11" t="s">
        <v>1020</v>
      </c>
      <c r="C33" s="11">
        <v>25</v>
      </c>
      <c r="D33" s="11" t="s">
        <v>1035</v>
      </c>
      <c r="E33" s="11" t="s">
        <v>1036</v>
      </c>
      <c r="F33" s="12">
        <v>877370</v>
      </c>
      <c r="G33" s="12">
        <v>1480468</v>
      </c>
      <c r="H33" s="11">
        <v>13.76</v>
      </c>
      <c r="I33" s="11">
        <v>72</v>
      </c>
      <c r="J33" s="11">
        <v>835</v>
      </c>
      <c r="K33" s="11" t="s">
        <v>1039</v>
      </c>
      <c r="L33" s="11" t="s">
        <v>1044</v>
      </c>
      <c r="M33" s="13">
        <v>44569</v>
      </c>
      <c r="N33" s="11" t="s">
        <v>1046</v>
      </c>
      <c r="O33" s="14">
        <f t="shared" si="0"/>
        <v>30316.20554585474</v>
      </c>
      <c r="P33" s="14">
        <f t="shared" si="1"/>
        <v>2182766.7993015414</v>
      </c>
      <c r="Q33" s="14">
        <f t="shared" si="2"/>
        <v>702298.79930154141</v>
      </c>
      <c r="R33" s="11">
        <f t="shared" ca="1" si="3"/>
        <v>3</v>
      </c>
      <c r="S33" s="11" t="str">
        <f t="shared" si="4"/>
        <v>800-850</v>
      </c>
    </row>
    <row r="34" spans="1:19" x14ac:dyDescent="0.3">
      <c r="A34" s="11" t="s">
        <v>46</v>
      </c>
      <c r="B34" s="11" t="s">
        <v>1025</v>
      </c>
      <c r="C34" s="11">
        <v>58</v>
      </c>
      <c r="D34" s="11" t="s">
        <v>1034</v>
      </c>
      <c r="E34" s="11" t="s">
        <v>1038</v>
      </c>
      <c r="F34" s="12">
        <v>809412</v>
      </c>
      <c r="G34" s="12">
        <v>656058</v>
      </c>
      <c r="H34" s="11">
        <v>13.83</v>
      </c>
      <c r="I34" s="11">
        <v>60</v>
      </c>
      <c r="J34" s="11">
        <v>656</v>
      </c>
      <c r="K34" s="11" t="s">
        <v>1041</v>
      </c>
      <c r="L34" s="11" t="s">
        <v>1044</v>
      </c>
      <c r="M34" s="13">
        <v>45318</v>
      </c>
      <c r="N34" s="11" t="s">
        <v>1045</v>
      </c>
      <c r="O34" s="14">
        <f t="shared" si="0"/>
        <v>15207.562546336945</v>
      </c>
      <c r="P34" s="14">
        <f t="shared" si="1"/>
        <v>912453.75278021675</v>
      </c>
      <c r="Q34" s="14">
        <f t="shared" si="2"/>
        <v>256395.75278021675</v>
      </c>
      <c r="R34" s="11">
        <f t="shared" ca="1" si="3"/>
        <v>1</v>
      </c>
      <c r="S34" s="11" t="str">
        <f t="shared" si="4"/>
        <v>650-699</v>
      </c>
    </row>
    <row r="35" spans="1:19" x14ac:dyDescent="0.3">
      <c r="A35" s="11" t="s">
        <v>47</v>
      </c>
      <c r="B35" s="11" t="s">
        <v>1029</v>
      </c>
      <c r="C35" s="11">
        <v>49</v>
      </c>
      <c r="D35" s="11" t="s">
        <v>1034</v>
      </c>
      <c r="E35" s="11" t="s">
        <v>1038</v>
      </c>
      <c r="F35" s="12">
        <v>1926568</v>
      </c>
      <c r="G35" s="12">
        <v>1471781</v>
      </c>
      <c r="H35" s="11">
        <v>14.41</v>
      </c>
      <c r="I35" s="11">
        <v>84</v>
      </c>
      <c r="J35" s="11">
        <v>847</v>
      </c>
      <c r="K35" s="11" t="s">
        <v>1040</v>
      </c>
      <c r="L35" s="11" t="s">
        <v>1044</v>
      </c>
      <c r="M35" s="13">
        <v>44599</v>
      </c>
      <c r="N35" s="11" t="s">
        <v>1048</v>
      </c>
      <c r="O35" s="14">
        <f t="shared" si="0"/>
        <v>27915.611437224841</v>
      </c>
      <c r="P35" s="14">
        <f t="shared" si="1"/>
        <v>2344911.3607268864</v>
      </c>
      <c r="Q35" s="14">
        <f t="shared" si="2"/>
        <v>873130.36072688643</v>
      </c>
      <c r="R35" s="11">
        <f t="shared" ca="1" si="3"/>
        <v>3</v>
      </c>
      <c r="S35" s="11" t="str">
        <f t="shared" si="4"/>
        <v>800-850</v>
      </c>
    </row>
    <row r="36" spans="1:19" x14ac:dyDescent="0.3">
      <c r="A36" s="11" t="s">
        <v>48</v>
      </c>
      <c r="B36" s="11" t="s">
        <v>1031</v>
      </c>
      <c r="C36" s="11">
        <v>48</v>
      </c>
      <c r="D36" s="11" t="s">
        <v>1034</v>
      </c>
      <c r="E36" s="11" t="s">
        <v>1038</v>
      </c>
      <c r="F36" s="12">
        <v>1622926</v>
      </c>
      <c r="G36" s="12">
        <v>1900245</v>
      </c>
      <c r="H36" s="11">
        <v>10.68</v>
      </c>
      <c r="I36" s="11">
        <v>72</v>
      </c>
      <c r="J36" s="11">
        <v>713</v>
      </c>
      <c r="K36" s="11" t="s">
        <v>1041</v>
      </c>
      <c r="L36" s="11" t="s">
        <v>1044</v>
      </c>
      <c r="M36" s="13">
        <v>43706</v>
      </c>
      <c r="N36" s="11" t="s">
        <v>1047</v>
      </c>
      <c r="O36" s="14">
        <f t="shared" si="0"/>
        <v>35858.728972018616</v>
      </c>
      <c r="P36" s="14">
        <f t="shared" si="1"/>
        <v>2581828.4859853406</v>
      </c>
      <c r="Q36" s="14">
        <f t="shared" si="2"/>
        <v>681583.48598534055</v>
      </c>
      <c r="R36" s="11">
        <f t="shared" ca="1" si="3"/>
        <v>6</v>
      </c>
      <c r="S36" s="11" t="str">
        <f t="shared" si="4"/>
        <v>700-749</v>
      </c>
    </row>
    <row r="37" spans="1:19" x14ac:dyDescent="0.3">
      <c r="A37" s="11" t="s">
        <v>49</v>
      </c>
      <c r="B37" s="11" t="s">
        <v>1030</v>
      </c>
      <c r="C37" s="11">
        <v>27</v>
      </c>
      <c r="D37" s="11" t="s">
        <v>1035</v>
      </c>
      <c r="E37" s="11" t="s">
        <v>1037</v>
      </c>
      <c r="F37" s="12">
        <v>1192494</v>
      </c>
      <c r="G37" s="12">
        <v>871151</v>
      </c>
      <c r="H37" s="11">
        <v>11.32</v>
      </c>
      <c r="I37" s="11">
        <v>60</v>
      </c>
      <c r="J37" s="11">
        <v>810</v>
      </c>
      <c r="K37" s="11" t="s">
        <v>1039</v>
      </c>
      <c r="L37" s="11" t="s">
        <v>1043</v>
      </c>
      <c r="M37" s="13">
        <v>43650</v>
      </c>
      <c r="N37" s="11" t="s">
        <v>1046</v>
      </c>
      <c r="O37" s="14">
        <f t="shared" si="0"/>
        <v>19080.254067996899</v>
      </c>
      <c r="P37" s="14">
        <f t="shared" si="1"/>
        <v>1144815.2440798138</v>
      </c>
      <c r="Q37" s="14">
        <f t="shared" si="2"/>
        <v>273664.24407981383</v>
      </c>
      <c r="R37" s="11">
        <f t="shared" ca="1" si="3"/>
        <v>6</v>
      </c>
      <c r="S37" s="11" t="str">
        <f t="shared" si="4"/>
        <v>800-850</v>
      </c>
    </row>
    <row r="38" spans="1:19" x14ac:dyDescent="0.3">
      <c r="A38" s="11" t="s">
        <v>50</v>
      </c>
      <c r="B38" s="11" t="s">
        <v>1017</v>
      </c>
      <c r="C38" s="11">
        <v>46</v>
      </c>
      <c r="D38" s="11" t="s">
        <v>1035</v>
      </c>
      <c r="E38" s="11" t="s">
        <v>1037</v>
      </c>
      <c r="F38" s="12">
        <v>1211256</v>
      </c>
      <c r="G38" s="12">
        <v>427008</v>
      </c>
      <c r="H38" s="11">
        <v>8.9600000000000009</v>
      </c>
      <c r="I38" s="11">
        <v>60</v>
      </c>
      <c r="J38" s="11">
        <v>678</v>
      </c>
      <c r="K38" s="11" t="s">
        <v>1039</v>
      </c>
      <c r="L38" s="11" t="s">
        <v>1044</v>
      </c>
      <c r="M38" s="13">
        <v>45383</v>
      </c>
      <c r="N38" s="11" t="s">
        <v>1045</v>
      </c>
      <c r="O38" s="14">
        <f t="shared" si="0"/>
        <v>8855.6964286928687</v>
      </c>
      <c r="P38" s="14">
        <f t="shared" si="1"/>
        <v>531341.78572157212</v>
      </c>
      <c r="Q38" s="14">
        <f t="shared" si="2"/>
        <v>104333.78572157212</v>
      </c>
      <c r="R38" s="11">
        <f t="shared" ca="1" si="3"/>
        <v>1</v>
      </c>
      <c r="S38" s="11" t="str">
        <f t="shared" si="4"/>
        <v>650-699</v>
      </c>
    </row>
    <row r="39" spans="1:19" x14ac:dyDescent="0.3">
      <c r="A39" s="11" t="s">
        <v>51</v>
      </c>
      <c r="B39" s="11" t="s">
        <v>1031</v>
      </c>
      <c r="C39" s="11">
        <v>56</v>
      </c>
      <c r="D39" s="11" t="s">
        <v>1034</v>
      </c>
      <c r="E39" s="11" t="s">
        <v>1038</v>
      </c>
      <c r="F39" s="12">
        <v>1279751</v>
      </c>
      <c r="G39" s="12">
        <v>1998199</v>
      </c>
      <c r="H39" s="11">
        <v>12.58</v>
      </c>
      <c r="I39" s="11">
        <v>84</v>
      </c>
      <c r="J39" s="11">
        <v>812</v>
      </c>
      <c r="K39" s="11" t="s">
        <v>1039</v>
      </c>
      <c r="L39" s="11" t="s">
        <v>1044</v>
      </c>
      <c r="M39" s="13">
        <v>43656</v>
      </c>
      <c r="N39" s="11" t="s">
        <v>1045</v>
      </c>
      <c r="O39" s="14">
        <f t="shared" si="0"/>
        <v>35896.457418026119</v>
      </c>
      <c r="P39" s="14">
        <f t="shared" si="1"/>
        <v>3015302.4231141941</v>
      </c>
      <c r="Q39" s="14">
        <f t="shared" si="2"/>
        <v>1017103.4231141941</v>
      </c>
      <c r="R39" s="11">
        <f t="shared" ca="1" si="3"/>
        <v>6</v>
      </c>
      <c r="S39" s="11" t="str">
        <f t="shared" si="4"/>
        <v>800-850</v>
      </c>
    </row>
    <row r="40" spans="1:19" x14ac:dyDescent="0.3">
      <c r="A40" s="11" t="s">
        <v>52</v>
      </c>
      <c r="B40" s="11" t="s">
        <v>1031</v>
      </c>
      <c r="C40" s="11">
        <v>41</v>
      </c>
      <c r="D40" s="11" t="s">
        <v>1034</v>
      </c>
      <c r="E40" s="11" t="s">
        <v>1037</v>
      </c>
      <c r="F40" s="12">
        <v>1511815</v>
      </c>
      <c r="G40" s="12">
        <v>1472408</v>
      </c>
      <c r="H40" s="11">
        <v>11.87</v>
      </c>
      <c r="I40" s="11">
        <v>120</v>
      </c>
      <c r="J40" s="11">
        <v>611</v>
      </c>
      <c r="K40" s="11" t="s">
        <v>1041</v>
      </c>
      <c r="L40" s="11" t="s">
        <v>1044</v>
      </c>
      <c r="M40" s="13">
        <v>45085</v>
      </c>
      <c r="N40" s="11" t="s">
        <v>1045</v>
      </c>
      <c r="O40" s="14">
        <f t="shared" si="0"/>
        <v>21014.272357914604</v>
      </c>
      <c r="P40" s="14">
        <f t="shared" si="1"/>
        <v>2521712.6829497525</v>
      </c>
      <c r="Q40" s="14">
        <f t="shared" si="2"/>
        <v>1049304.6829497525</v>
      </c>
      <c r="R40" s="11">
        <f t="shared" ca="1" si="3"/>
        <v>2</v>
      </c>
      <c r="S40" s="11" t="str">
        <f t="shared" si="4"/>
        <v>600-649</v>
      </c>
    </row>
    <row r="41" spans="1:19" x14ac:dyDescent="0.3">
      <c r="A41" s="11" t="s">
        <v>53</v>
      </c>
      <c r="B41" s="11" t="s">
        <v>1017</v>
      </c>
      <c r="C41" s="11">
        <v>40</v>
      </c>
      <c r="D41" s="11" t="s">
        <v>1034</v>
      </c>
      <c r="E41" s="11" t="s">
        <v>1037</v>
      </c>
      <c r="F41" s="12">
        <v>1511979</v>
      </c>
      <c r="G41" s="12">
        <v>1707498</v>
      </c>
      <c r="H41" s="11">
        <v>11.87</v>
      </c>
      <c r="I41" s="11">
        <v>72</v>
      </c>
      <c r="J41" s="11">
        <v>783</v>
      </c>
      <c r="K41" s="11" t="s">
        <v>1039</v>
      </c>
      <c r="L41" s="11" t="s">
        <v>1043</v>
      </c>
      <c r="M41" s="13">
        <v>43566</v>
      </c>
      <c r="N41" s="11" t="s">
        <v>1046</v>
      </c>
      <c r="O41" s="14">
        <f t="shared" si="0"/>
        <v>33266.594617778203</v>
      </c>
      <c r="P41" s="14">
        <f t="shared" si="1"/>
        <v>2395194.8124800306</v>
      </c>
      <c r="Q41" s="14">
        <f t="shared" si="2"/>
        <v>687696.81248003058</v>
      </c>
      <c r="R41" s="11">
        <f t="shared" ca="1" si="3"/>
        <v>6</v>
      </c>
      <c r="S41" s="11" t="str">
        <f t="shared" si="4"/>
        <v>750-799</v>
      </c>
    </row>
    <row r="42" spans="1:19" x14ac:dyDescent="0.3">
      <c r="A42" s="11" t="s">
        <v>54</v>
      </c>
      <c r="B42" s="11" t="s">
        <v>1025</v>
      </c>
      <c r="C42" s="11">
        <v>42</v>
      </c>
      <c r="D42" s="11" t="s">
        <v>1034</v>
      </c>
      <c r="E42" s="11" t="s">
        <v>1036</v>
      </c>
      <c r="F42" s="12">
        <v>1289666</v>
      </c>
      <c r="G42" s="12">
        <v>968173</v>
      </c>
      <c r="H42" s="11">
        <v>10.77</v>
      </c>
      <c r="I42" s="11">
        <v>48</v>
      </c>
      <c r="J42" s="11">
        <v>720</v>
      </c>
      <c r="K42" s="11" t="s">
        <v>1041</v>
      </c>
      <c r="L42" s="11" t="s">
        <v>1043</v>
      </c>
      <c r="M42" s="13">
        <v>45314</v>
      </c>
      <c r="N42" s="11" t="s">
        <v>1046</v>
      </c>
      <c r="O42" s="14">
        <f t="shared" si="0"/>
        <v>24914.934792922719</v>
      </c>
      <c r="P42" s="14">
        <f t="shared" si="1"/>
        <v>1195916.8700602904</v>
      </c>
      <c r="Q42" s="14">
        <f t="shared" si="2"/>
        <v>227743.87006029044</v>
      </c>
      <c r="R42" s="11">
        <f t="shared" ca="1" si="3"/>
        <v>1</v>
      </c>
      <c r="S42" s="11" t="str">
        <f t="shared" si="4"/>
        <v>700-749</v>
      </c>
    </row>
    <row r="43" spans="1:19" x14ac:dyDescent="0.3">
      <c r="A43" s="11" t="s">
        <v>55</v>
      </c>
      <c r="B43" s="11" t="s">
        <v>1023</v>
      </c>
      <c r="C43" s="11">
        <v>33</v>
      </c>
      <c r="D43" s="11" t="s">
        <v>1034</v>
      </c>
      <c r="E43" s="11" t="s">
        <v>1038</v>
      </c>
      <c r="F43" s="12">
        <v>1741872</v>
      </c>
      <c r="G43" s="12">
        <v>1666082</v>
      </c>
      <c r="H43" s="11">
        <v>12.87</v>
      </c>
      <c r="I43" s="11">
        <v>120</v>
      </c>
      <c r="J43" s="11">
        <v>830</v>
      </c>
      <c r="K43" s="11" t="s">
        <v>1039</v>
      </c>
      <c r="L43" s="11" t="s">
        <v>1044</v>
      </c>
      <c r="M43" s="13">
        <v>44506</v>
      </c>
      <c r="N43" s="11" t="s">
        <v>1048</v>
      </c>
      <c r="O43" s="14">
        <f t="shared" si="0"/>
        <v>24748.806496927176</v>
      </c>
      <c r="P43" s="14">
        <f t="shared" si="1"/>
        <v>2969856.7796312612</v>
      </c>
      <c r="Q43" s="14">
        <f t="shared" si="2"/>
        <v>1303774.7796312612</v>
      </c>
      <c r="R43" s="11">
        <f t="shared" ca="1" si="3"/>
        <v>4</v>
      </c>
      <c r="S43" s="11" t="str">
        <f t="shared" si="4"/>
        <v>800-850</v>
      </c>
    </row>
    <row r="44" spans="1:19" x14ac:dyDescent="0.3">
      <c r="A44" s="11" t="s">
        <v>56</v>
      </c>
      <c r="B44" s="11" t="s">
        <v>1018</v>
      </c>
      <c r="C44" s="11">
        <v>60</v>
      </c>
      <c r="D44" s="11" t="s">
        <v>1035</v>
      </c>
      <c r="E44" s="11" t="s">
        <v>1036</v>
      </c>
      <c r="F44" s="12">
        <v>1983045</v>
      </c>
      <c r="G44" s="12">
        <v>1471213</v>
      </c>
      <c r="H44" s="11">
        <v>14.24</v>
      </c>
      <c r="I44" s="11">
        <v>84</v>
      </c>
      <c r="J44" s="11">
        <v>716</v>
      </c>
      <c r="K44" s="11" t="s">
        <v>1040</v>
      </c>
      <c r="L44" s="11" t="s">
        <v>1044</v>
      </c>
      <c r="M44" s="13">
        <v>44191</v>
      </c>
      <c r="N44" s="11" t="s">
        <v>1046</v>
      </c>
      <c r="O44" s="14">
        <f t="shared" si="0"/>
        <v>27765.970119708469</v>
      </c>
      <c r="P44" s="14">
        <f t="shared" si="1"/>
        <v>2332341.4900555112</v>
      </c>
      <c r="Q44" s="14">
        <f t="shared" si="2"/>
        <v>861128.49005551124</v>
      </c>
      <c r="R44" s="11">
        <f t="shared" ca="1" si="3"/>
        <v>5</v>
      </c>
      <c r="S44" s="11" t="str">
        <f t="shared" si="4"/>
        <v>700-749</v>
      </c>
    </row>
    <row r="45" spans="1:19" x14ac:dyDescent="0.3">
      <c r="A45" s="11" t="s">
        <v>57</v>
      </c>
      <c r="B45" s="11" t="s">
        <v>1018</v>
      </c>
      <c r="C45" s="11">
        <v>46</v>
      </c>
      <c r="D45" s="11" t="s">
        <v>1035</v>
      </c>
      <c r="E45" s="11" t="s">
        <v>1037</v>
      </c>
      <c r="F45" s="12">
        <v>826503</v>
      </c>
      <c r="G45" s="12">
        <v>1294689</v>
      </c>
      <c r="H45" s="11">
        <v>11.86</v>
      </c>
      <c r="I45" s="11">
        <v>60</v>
      </c>
      <c r="J45" s="11">
        <v>757</v>
      </c>
      <c r="K45" s="11" t="s">
        <v>1040</v>
      </c>
      <c r="L45" s="11" t="s">
        <v>1044</v>
      </c>
      <c r="M45" s="13">
        <v>43419</v>
      </c>
      <c r="N45" s="11" t="s">
        <v>1045</v>
      </c>
      <c r="O45" s="14">
        <f t="shared" si="0"/>
        <v>28708.130673893233</v>
      </c>
      <c r="P45" s="14">
        <f t="shared" si="1"/>
        <v>1722487.8404335938</v>
      </c>
      <c r="Q45" s="14">
        <f t="shared" si="2"/>
        <v>427798.84043359384</v>
      </c>
      <c r="R45" s="11">
        <f t="shared" ca="1" si="3"/>
        <v>7</v>
      </c>
      <c r="S45" s="11" t="str">
        <f t="shared" si="4"/>
        <v>750-799</v>
      </c>
    </row>
    <row r="46" spans="1:19" x14ac:dyDescent="0.3">
      <c r="A46" s="11" t="s">
        <v>58</v>
      </c>
      <c r="B46" s="11" t="s">
        <v>1029</v>
      </c>
      <c r="C46" s="11">
        <v>35</v>
      </c>
      <c r="D46" s="11" t="s">
        <v>1035</v>
      </c>
      <c r="E46" s="11" t="s">
        <v>1038</v>
      </c>
      <c r="F46" s="12">
        <v>1750909</v>
      </c>
      <c r="G46" s="12">
        <v>573380</v>
      </c>
      <c r="H46" s="11">
        <v>9.4</v>
      </c>
      <c r="I46" s="11">
        <v>120</v>
      </c>
      <c r="J46" s="11">
        <v>646</v>
      </c>
      <c r="K46" s="11" t="s">
        <v>1042</v>
      </c>
      <c r="L46" s="11" t="s">
        <v>1044</v>
      </c>
      <c r="M46" s="13">
        <v>45184</v>
      </c>
      <c r="N46" s="11" t="s">
        <v>1045</v>
      </c>
      <c r="O46" s="14">
        <f t="shared" si="0"/>
        <v>7388.0402485181467</v>
      </c>
      <c r="P46" s="14">
        <f t="shared" si="1"/>
        <v>886564.82982217765</v>
      </c>
      <c r="Q46" s="14">
        <f t="shared" si="2"/>
        <v>313184.82982217765</v>
      </c>
      <c r="R46" s="11">
        <f t="shared" ca="1" si="3"/>
        <v>2</v>
      </c>
      <c r="S46" s="11" t="str">
        <f t="shared" si="4"/>
        <v>600-649</v>
      </c>
    </row>
    <row r="47" spans="1:19" x14ac:dyDescent="0.3">
      <c r="A47" s="11" t="s">
        <v>59</v>
      </c>
      <c r="B47" s="11" t="s">
        <v>1026</v>
      </c>
      <c r="C47" s="11">
        <v>36</v>
      </c>
      <c r="D47" s="11" t="s">
        <v>1035</v>
      </c>
      <c r="E47" s="11" t="s">
        <v>1036</v>
      </c>
      <c r="F47" s="12">
        <v>615911</v>
      </c>
      <c r="G47" s="12">
        <v>1927867</v>
      </c>
      <c r="H47" s="11">
        <v>8.82</v>
      </c>
      <c r="I47" s="11">
        <v>36</v>
      </c>
      <c r="J47" s="11">
        <v>843</v>
      </c>
      <c r="K47" s="11" t="s">
        <v>1041</v>
      </c>
      <c r="L47" s="11" t="s">
        <v>1044</v>
      </c>
      <c r="M47" s="13">
        <v>44173</v>
      </c>
      <c r="N47" s="11" t="s">
        <v>1047</v>
      </c>
      <c r="O47" s="14">
        <f t="shared" si="0"/>
        <v>61144.277164330124</v>
      </c>
      <c r="P47" s="14">
        <f t="shared" si="1"/>
        <v>2201193.9779158845</v>
      </c>
      <c r="Q47" s="14">
        <f t="shared" si="2"/>
        <v>273326.97791588446</v>
      </c>
      <c r="R47" s="11">
        <f t="shared" ca="1" si="3"/>
        <v>5</v>
      </c>
      <c r="S47" s="11" t="str">
        <f t="shared" si="4"/>
        <v>800-850</v>
      </c>
    </row>
    <row r="48" spans="1:19" x14ac:dyDescent="0.3">
      <c r="A48" s="11" t="s">
        <v>60</v>
      </c>
      <c r="B48" s="11" t="s">
        <v>1023</v>
      </c>
      <c r="C48" s="11">
        <v>27</v>
      </c>
      <c r="D48" s="11" t="s">
        <v>1034</v>
      </c>
      <c r="E48" s="11" t="s">
        <v>1037</v>
      </c>
      <c r="F48" s="12">
        <v>1294025</v>
      </c>
      <c r="G48" s="12">
        <v>1202735</v>
      </c>
      <c r="H48" s="11">
        <v>10.55</v>
      </c>
      <c r="I48" s="11">
        <v>48</v>
      </c>
      <c r="J48" s="11">
        <v>716</v>
      </c>
      <c r="K48" s="11" t="s">
        <v>1041</v>
      </c>
      <c r="L48" s="11" t="s">
        <v>1044</v>
      </c>
      <c r="M48" s="13">
        <v>43889</v>
      </c>
      <c r="N48" s="11" t="s">
        <v>1047</v>
      </c>
      <c r="O48" s="14">
        <f t="shared" si="0"/>
        <v>30823.131496872018</v>
      </c>
      <c r="P48" s="14">
        <f t="shared" si="1"/>
        <v>1479510.3118498567</v>
      </c>
      <c r="Q48" s="14">
        <f t="shared" si="2"/>
        <v>276775.31184985675</v>
      </c>
      <c r="R48" s="11">
        <f t="shared" ca="1" si="3"/>
        <v>5</v>
      </c>
      <c r="S48" s="11" t="str">
        <f t="shared" si="4"/>
        <v>700-749</v>
      </c>
    </row>
    <row r="49" spans="1:19" x14ac:dyDescent="0.3">
      <c r="A49" s="11" t="s">
        <v>61</v>
      </c>
      <c r="B49" s="11" t="s">
        <v>1019</v>
      </c>
      <c r="C49" s="11">
        <v>60</v>
      </c>
      <c r="D49" s="11" t="s">
        <v>1035</v>
      </c>
      <c r="E49" s="11" t="s">
        <v>1037</v>
      </c>
      <c r="F49" s="12">
        <v>1001084</v>
      </c>
      <c r="G49" s="12">
        <v>1561462</v>
      </c>
      <c r="H49" s="11">
        <v>10.06</v>
      </c>
      <c r="I49" s="11">
        <v>96</v>
      </c>
      <c r="J49" s="11">
        <v>716</v>
      </c>
      <c r="K49" s="11" t="s">
        <v>1039</v>
      </c>
      <c r="L49" s="11" t="s">
        <v>1044</v>
      </c>
      <c r="M49" s="13">
        <v>44089</v>
      </c>
      <c r="N49" s="11" t="s">
        <v>1045</v>
      </c>
      <c r="O49" s="14">
        <f t="shared" si="0"/>
        <v>23743.482995754657</v>
      </c>
      <c r="P49" s="14">
        <f t="shared" si="1"/>
        <v>2279374.367592447</v>
      </c>
      <c r="Q49" s="14">
        <f t="shared" si="2"/>
        <v>717912.36759244697</v>
      </c>
      <c r="R49" s="11">
        <f t="shared" ca="1" si="3"/>
        <v>5</v>
      </c>
      <c r="S49" s="11" t="str">
        <f t="shared" si="4"/>
        <v>700-749</v>
      </c>
    </row>
    <row r="50" spans="1:19" x14ac:dyDescent="0.3">
      <c r="A50" s="11" t="s">
        <v>62</v>
      </c>
      <c r="B50" s="11" t="s">
        <v>1028</v>
      </c>
      <c r="C50" s="11">
        <v>43</v>
      </c>
      <c r="D50" s="11" t="s">
        <v>1034</v>
      </c>
      <c r="E50" s="11" t="s">
        <v>1037</v>
      </c>
      <c r="F50" s="12">
        <v>629458</v>
      </c>
      <c r="G50" s="12">
        <v>1023291</v>
      </c>
      <c r="H50" s="11">
        <v>13.15</v>
      </c>
      <c r="I50" s="11">
        <v>120</v>
      </c>
      <c r="J50" s="11">
        <v>780</v>
      </c>
      <c r="K50" s="11" t="s">
        <v>1040</v>
      </c>
      <c r="L50" s="11" t="s">
        <v>1043</v>
      </c>
      <c r="M50" s="13">
        <v>45247</v>
      </c>
      <c r="N50" s="11" t="s">
        <v>1047</v>
      </c>
      <c r="O50" s="14">
        <f t="shared" si="0"/>
        <v>15369.501242203971</v>
      </c>
      <c r="P50" s="14">
        <f t="shared" si="1"/>
        <v>1844340.1490644766</v>
      </c>
      <c r="Q50" s="14">
        <f t="shared" si="2"/>
        <v>821049.1490644766</v>
      </c>
      <c r="R50" s="11">
        <f t="shared" ca="1" si="3"/>
        <v>2</v>
      </c>
      <c r="S50" s="11" t="str">
        <f t="shared" si="4"/>
        <v>750-799</v>
      </c>
    </row>
    <row r="51" spans="1:19" x14ac:dyDescent="0.3">
      <c r="A51" s="11" t="s">
        <v>63</v>
      </c>
      <c r="B51" s="11" t="s">
        <v>1014</v>
      </c>
      <c r="C51" s="11">
        <v>37</v>
      </c>
      <c r="D51" s="11" t="s">
        <v>1035</v>
      </c>
      <c r="E51" s="11" t="s">
        <v>1036</v>
      </c>
      <c r="F51" s="12">
        <v>1560769</v>
      </c>
      <c r="G51" s="12">
        <v>1682271</v>
      </c>
      <c r="H51" s="11">
        <v>11.61</v>
      </c>
      <c r="I51" s="11">
        <v>72</v>
      </c>
      <c r="J51" s="11">
        <v>676</v>
      </c>
      <c r="K51" s="11" t="s">
        <v>1039</v>
      </c>
      <c r="L51" s="11" t="s">
        <v>1044</v>
      </c>
      <c r="M51" s="13">
        <v>45564</v>
      </c>
      <c r="N51" s="11" t="s">
        <v>1046</v>
      </c>
      <c r="O51" s="14">
        <f t="shared" si="0"/>
        <v>32548.53959202821</v>
      </c>
      <c r="P51" s="14">
        <f t="shared" si="1"/>
        <v>2343494.8506260309</v>
      </c>
      <c r="Q51" s="14">
        <f t="shared" si="2"/>
        <v>661223.85062603094</v>
      </c>
      <c r="R51" s="11">
        <f t="shared" ca="1" si="3"/>
        <v>1</v>
      </c>
      <c r="S51" s="11" t="str">
        <f t="shared" si="4"/>
        <v>650-699</v>
      </c>
    </row>
    <row r="52" spans="1:19" x14ac:dyDescent="0.3">
      <c r="A52" s="11" t="s">
        <v>64</v>
      </c>
      <c r="B52" s="11" t="s">
        <v>1024</v>
      </c>
      <c r="C52" s="11">
        <v>60</v>
      </c>
      <c r="D52" s="11" t="s">
        <v>1034</v>
      </c>
      <c r="E52" s="11" t="s">
        <v>1037</v>
      </c>
      <c r="F52" s="12">
        <v>532674</v>
      </c>
      <c r="G52" s="12">
        <v>466686</v>
      </c>
      <c r="H52" s="11">
        <v>12.33</v>
      </c>
      <c r="I52" s="11">
        <v>120</v>
      </c>
      <c r="J52" s="11">
        <v>771</v>
      </c>
      <c r="K52" s="11" t="s">
        <v>1041</v>
      </c>
      <c r="L52" s="11" t="s">
        <v>1043</v>
      </c>
      <c r="M52" s="13">
        <v>43985</v>
      </c>
      <c r="N52" s="11" t="s">
        <v>1046</v>
      </c>
      <c r="O52" s="14">
        <f t="shared" si="0"/>
        <v>6784.9182440059067</v>
      </c>
      <c r="P52" s="14">
        <f t="shared" si="1"/>
        <v>814190.18928070879</v>
      </c>
      <c r="Q52" s="14">
        <f t="shared" si="2"/>
        <v>347504.18928070879</v>
      </c>
      <c r="R52" s="11">
        <f t="shared" ca="1" si="3"/>
        <v>5</v>
      </c>
      <c r="S52" s="11" t="str">
        <f t="shared" si="4"/>
        <v>750-799</v>
      </c>
    </row>
    <row r="53" spans="1:19" x14ac:dyDescent="0.3">
      <c r="A53" s="11" t="s">
        <v>65</v>
      </c>
      <c r="B53" s="11" t="s">
        <v>1017</v>
      </c>
      <c r="C53" s="11">
        <v>41</v>
      </c>
      <c r="D53" s="11" t="s">
        <v>1034</v>
      </c>
      <c r="E53" s="11" t="s">
        <v>1038</v>
      </c>
      <c r="F53" s="12">
        <v>1549592</v>
      </c>
      <c r="G53" s="12">
        <v>485689</v>
      </c>
      <c r="H53" s="11">
        <v>10.52</v>
      </c>
      <c r="I53" s="11">
        <v>48</v>
      </c>
      <c r="J53" s="11">
        <v>739</v>
      </c>
      <c r="K53" s="11" t="s">
        <v>1042</v>
      </c>
      <c r="L53" s="11" t="s">
        <v>1044</v>
      </c>
      <c r="M53" s="13">
        <v>44131</v>
      </c>
      <c r="N53" s="11" t="s">
        <v>1047</v>
      </c>
      <c r="O53" s="14">
        <f t="shared" si="0"/>
        <v>12439.971606332556</v>
      </c>
      <c r="P53" s="14">
        <f t="shared" si="1"/>
        <v>597118.63710396271</v>
      </c>
      <c r="Q53" s="14">
        <f t="shared" si="2"/>
        <v>111429.63710396271</v>
      </c>
      <c r="R53" s="11">
        <f t="shared" ca="1" si="3"/>
        <v>5</v>
      </c>
      <c r="S53" s="11" t="str">
        <f t="shared" si="4"/>
        <v>700-749</v>
      </c>
    </row>
    <row r="54" spans="1:19" x14ac:dyDescent="0.3">
      <c r="A54" s="11" t="s">
        <v>66</v>
      </c>
      <c r="B54" s="11" t="s">
        <v>1020</v>
      </c>
      <c r="C54" s="11">
        <v>39</v>
      </c>
      <c r="D54" s="11" t="s">
        <v>1034</v>
      </c>
      <c r="E54" s="11" t="s">
        <v>1036</v>
      </c>
      <c r="F54" s="12">
        <v>1177113</v>
      </c>
      <c r="G54" s="12">
        <v>1178718</v>
      </c>
      <c r="H54" s="11">
        <v>10.01</v>
      </c>
      <c r="I54" s="11">
        <v>120</v>
      </c>
      <c r="J54" s="11">
        <v>710</v>
      </c>
      <c r="K54" s="11" t="s">
        <v>1041</v>
      </c>
      <c r="L54" s="11" t="s">
        <v>1044</v>
      </c>
      <c r="M54" s="13">
        <v>44523</v>
      </c>
      <c r="N54" s="11" t="s">
        <v>1048</v>
      </c>
      <c r="O54" s="14">
        <f t="shared" si="0"/>
        <v>15583.373165475961</v>
      </c>
      <c r="P54" s="14">
        <f t="shared" si="1"/>
        <v>1870004.7798571154</v>
      </c>
      <c r="Q54" s="14">
        <f t="shared" si="2"/>
        <v>691286.77985711535</v>
      </c>
      <c r="R54" s="11">
        <f t="shared" ca="1" si="3"/>
        <v>4</v>
      </c>
      <c r="S54" s="11" t="str">
        <f t="shared" si="4"/>
        <v>700-749</v>
      </c>
    </row>
    <row r="55" spans="1:19" x14ac:dyDescent="0.3">
      <c r="A55" s="11" t="s">
        <v>67</v>
      </c>
      <c r="B55" s="11" t="s">
        <v>1020</v>
      </c>
      <c r="C55" s="11">
        <v>36</v>
      </c>
      <c r="D55" s="11" t="s">
        <v>1034</v>
      </c>
      <c r="E55" s="11" t="s">
        <v>1036</v>
      </c>
      <c r="F55" s="12">
        <v>311595</v>
      </c>
      <c r="G55" s="12">
        <v>1560011</v>
      </c>
      <c r="H55" s="11">
        <v>10.92</v>
      </c>
      <c r="I55" s="11">
        <v>96</v>
      </c>
      <c r="J55" s="11">
        <v>654</v>
      </c>
      <c r="K55" s="11" t="s">
        <v>1039</v>
      </c>
      <c r="L55" s="11" t="s">
        <v>1044</v>
      </c>
      <c r="M55" s="13">
        <v>45597</v>
      </c>
      <c r="N55" s="11" t="s">
        <v>1046</v>
      </c>
      <c r="O55" s="14">
        <f t="shared" si="0"/>
        <v>24438.05443598123</v>
      </c>
      <c r="P55" s="14">
        <f t="shared" si="1"/>
        <v>2346053.225854198</v>
      </c>
      <c r="Q55" s="14">
        <f t="shared" si="2"/>
        <v>786042.22585419798</v>
      </c>
      <c r="R55" s="11">
        <f t="shared" ca="1" si="3"/>
        <v>1</v>
      </c>
      <c r="S55" s="11" t="str">
        <f t="shared" si="4"/>
        <v>650-699</v>
      </c>
    </row>
    <row r="56" spans="1:19" x14ac:dyDescent="0.3">
      <c r="A56" s="11" t="s">
        <v>68</v>
      </c>
      <c r="B56" s="11" t="s">
        <v>1022</v>
      </c>
      <c r="C56" s="11">
        <v>39</v>
      </c>
      <c r="D56" s="11" t="s">
        <v>1035</v>
      </c>
      <c r="E56" s="11" t="s">
        <v>1037</v>
      </c>
      <c r="F56" s="12">
        <v>1654524</v>
      </c>
      <c r="G56" s="12">
        <v>1385829</v>
      </c>
      <c r="H56" s="11">
        <v>10.44</v>
      </c>
      <c r="I56" s="11">
        <v>48</v>
      </c>
      <c r="J56" s="11">
        <v>749</v>
      </c>
      <c r="K56" s="11" t="s">
        <v>1042</v>
      </c>
      <c r="L56" s="11" t="s">
        <v>1044</v>
      </c>
      <c r="M56" s="13">
        <v>44707</v>
      </c>
      <c r="N56" s="11" t="s">
        <v>1048</v>
      </c>
      <c r="O56" s="14">
        <f t="shared" si="0"/>
        <v>35441.76324348386</v>
      </c>
      <c r="P56" s="14">
        <f t="shared" si="1"/>
        <v>1701204.6356872253</v>
      </c>
      <c r="Q56" s="14">
        <f t="shared" si="2"/>
        <v>315375.63568722527</v>
      </c>
      <c r="R56" s="11">
        <f t="shared" ca="1" si="3"/>
        <v>3</v>
      </c>
      <c r="S56" s="11" t="str">
        <f t="shared" si="4"/>
        <v>700-749</v>
      </c>
    </row>
    <row r="57" spans="1:19" x14ac:dyDescent="0.3">
      <c r="A57" s="11" t="s">
        <v>69</v>
      </c>
      <c r="B57" s="11" t="s">
        <v>1018</v>
      </c>
      <c r="C57" s="11">
        <v>32</v>
      </c>
      <c r="D57" s="11" t="s">
        <v>1034</v>
      </c>
      <c r="E57" s="11" t="s">
        <v>1037</v>
      </c>
      <c r="F57" s="12">
        <v>1792786</v>
      </c>
      <c r="G57" s="12">
        <v>1554312</v>
      </c>
      <c r="H57" s="11">
        <v>14.26</v>
      </c>
      <c r="I57" s="11">
        <v>72</v>
      </c>
      <c r="J57" s="11">
        <v>695</v>
      </c>
      <c r="K57" s="11" t="s">
        <v>1040</v>
      </c>
      <c r="L57" s="11" t="s">
        <v>1044</v>
      </c>
      <c r="M57" s="13">
        <v>43700</v>
      </c>
      <c r="N57" s="11" t="s">
        <v>1045</v>
      </c>
      <c r="O57" s="14">
        <f t="shared" si="0"/>
        <v>32244.54309318736</v>
      </c>
      <c r="P57" s="14">
        <f t="shared" si="1"/>
        <v>2321607.1027094899</v>
      </c>
      <c r="Q57" s="14">
        <f t="shared" si="2"/>
        <v>767295.10270948987</v>
      </c>
      <c r="R57" s="11">
        <f t="shared" ca="1" si="3"/>
        <v>6</v>
      </c>
      <c r="S57" s="11" t="str">
        <f t="shared" si="4"/>
        <v>650-699</v>
      </c>
    </row>
    <row r="58" spans="1:19" x14ac:dyDescent="0.3">
      <c r="A58" s="11" t="s">
        <v>70</v>
      </c>
      <c r="B58" s="11" t="s">
        <v>1020</v>
      </c>
      <c r="C58" s="11">
        <v>33</v>
      </c>
      <c r="D58" s="11" t="s">
        <v>1034</v>
      </c>
      <c r="E58" s="11" t="s">
        <v>1036</v>
      </c>
      <c r="F58" s="12">
        <v>730533</v>
      </c>
      <c r="G58" s="12">
        <v>1207882</v>
      </c>
      <c r="H58" s="11">
        <v>7.55</v>
      </c>
      <c r="I58" s="11">
        <v>60</v>
      </c>
      <c r="J58" s="11">
        <v>600</v>
      </c>
      <c r="K58" s="11" t="s">
        <v>1039</v>
      </c>
      <c r="L58" s="11" t="s">
        <v>1044</v>
      </c>
      <c r="M58" s="13">
        <v>44342</v>
      </c>
      <c r="N58" s="11" t="s">
        <v>1048</v>
      </c>
      <c r="O58" s="14">
        <f t="shared" si="0"/>
        <v>24232.186769447559</v>
      </c>
      <c r="P58" s="14">
        <f t="shared" si="1"/>
        <v>1453931.2061668534</v>
      </c>
      <c r="Q58" s="14">
        <f t="shared" si="2"/>
        <v>246049.20616685343</v>
      </c>
      <c r="R58" s="11">
        <f t="shared" ca="1" si="3"/>
        <v>4</v>
      </c>
      <c r="S58" s="11" t="str">
        <f t="shared" si="4"/>
        <v>600-649</v>
      </c>
    </row>
    <row r="59" spans="1:19" x14ac:dyDescent="0.3">
      <c r="A59" s="11" t="s">
        <v>71</v>
      </c>
      <c r="B59" s="11" t="s">
        <v>1018</v>
      </c>
      <c r="C59" s="11">
        <v>43</v>
      </c>
      <c r="D59" s="11" t="s">
        <v>1034</v>
      </c>
      <c r="E59" s="11" t="s">
        <v>1038</v>
      </c>
      <c r="F59" s="12">
        <v>1995394</v>
      </c>
      <c r="G59" s="12">
        <v>1674570</v>
      </c>
      <c r="H59" s="11">
        <v>12.48</v>
      </c>
      <c r="I59" s="11">
        <v>96</v>
      </c>
      <c r="J59" s="11">
        <v>748</v>
      </c>
      <c r="K59" s="11" t="s">
        <v>1042</v>
      </c>
      <c r="L59" s="11" t="s">
        <v>1043</v>
      </c>
      <c r="M59" s="13">
        <v>44606</v>
      </c>
      <c r="N59" s="11" t="s">
        <v>1045</v>
      </c>
      <c r="O59" s="14">
        <f t="shared" si="0"/>
        <v>27660.082102373286</v>
      </c>
      <c r="P59" s="14">
        <f t="shared" si="1"/>
        <v>2655367.8818278355</v>
      </c>
      <c r="Q59" s="14">
        <f t="shared" si="2"/>
        <v>980797.88182783546</v>
      </c>
      <c r="R59" s="11">
        <f t="shared" ca="1" si="3"/>
        <v>3</v>
      </c>
      <c r="S59" s="11" t="str">
        <f t="shared" si="4"/>
        <v>700-749</v>
      </c>
    </row>
    <row r="60" spans="1:19" x14ac:dyDescent="0.3">
      <c r="A60" s="11" t="s">
        <v>72</v>
      </c>
      <c r="B60" s="11" t="s">
        <v>1022</v>
      </c>
      <c r="C60" s="11">
        <v>60</v>
      </c>
      <c r="D60" s="11" t="s">
        <v>1034</v>
      </c>
      <c r="E60" s="11" t="s">
        <v>1038</v>
      </c>
      <c r="F60" s="12">
        <v>1592232</v>
      </c>
      <c r="G60" s="12">
        <v>516019</v>
      </c>
      <c r="H60" s="11">
        <v>14.05</v>
      </c>
      <c r="I60" s="11">
        <v>120</v>
      </c>
      <c r="J60" s="11">
        <v>833</v>
      </c>
      <c r="K60" s="11" t="s">
        <v>1042</v>
      </c>
      <c r="L60" s="11" t="s">
        <v>1044</v>
      </c>
      <c r="M60" s="13">
        <v>43929</v>
      </c>
      <c r="N60" s="11" t="s">
        <v>1047</v>
      </c>
      <c r="O60" s="14">
        <f t="shared" si="0"/>
        <v>8027.5634880754751</v>
      </c>
      <c r="P60" s="14">
        <f t="shared" si="1"/>
        <v>963307.61856905697</v>
      </c>
      <c r="Q60" s="14">
        <f t="shared" si="2"/>
        <v>447288.61856905697</v>
      </c>
      <c r="R60" s="11">
        <f t="shared" ca="1" si="3"/>
        <v>5</v>
      </c>
      <c r="S60" s="11" t="str">
        <f t="shared" si="4"/>
        <v>800-850</v>
      </c>
    </row>
    <row r="61" spans="1:19" x14ac:dyDescent="0.3">
      <c r="A61" s="11" t="s">
        <v>73</v>
      </c>
      <c r="B61" s="11" t="s">
        <v>1028</v>
      </c>
      <c r="C61" s="11">
        <v>39</v>
      </c>
      <c r="D61" s="11" t="s">
        <v>1034</v>
      </c>
      <c r="E61" s="11" t="s">
        <v>1036</v>
      </c>
      <c r="F61" s="12">
        <v>552508</v>
      </c>
      <c r="G61" s="12">
        <v>718320</v>
      </c>
      <c r="H61" s="11">
        <v>10.199999999999999</v>
      </c>
      <c r="I61" s="11">
        <v>72</v>
      </c>
      <c r="J61" s="11">
        <v>678</v>
      </c>
      <c r="K61" s="11" t="s">
        <v>1042</v>
      </c>
      <c r="L61" s="11" t="s">
        <v>1044</v>
      </c>
      <c r="M61" s="13">
        <v>43450</v>
      </c>
      <c r="N61" s="11" t="s">
        <v>1048</v>
      </c>
      <c r="O61" s="14">
        <f t="shared" si="0"/>
        <v>13380.040966981775</v>
      </c>
      <c r="P61" s="14">
        <f t="shared" si="1"/>
        <v>963362.94962268777</v>
      </c>
      <c r="Q61" s="14">
        <f t="shared" si="2"/>
        <v>245042.94962268777</v>
      </c>
      <c r="R61" s="11">
        <f t="shared" ca="1" si="3"/>
        <v>7</v>
      </c>
      <c r="S61" s="11" t="str">
        <f t="shared" si="4"/>
        <v>650-699</v>
      </c>
    </row>
    <row r="62" spans="1:19" x14ac:dyDescent="0.3">
      <c r="A62" s="11" t="s">
        <v>74</v>
      </c>
      <c r="B62" s="11" t="s">
        <v>1032</v>
      </c>
      <c r="C62" s="11">
        <v>36</v>
      </c>
      <c r="D62" s="11" t="s">
        <v>1034</v>
      </c>
      <c r="E62" s="11" t="s">
        <v>1037</v>
      </c>
      <c r="F62" s="12">
        <v>571901</v>
      </c>
      <c r="G62" s="12">
        <v>1126857</v>
      </c>
      <c r="H62" s="11">
        <v>14.13</v>
      </c>
      <c r="I62" s="11">
        <v>48</v>
      </c>
      <c r="J62" s="11">
        <v>754</v>
      </c>
      <c r="K62" s="11" t="s">
        <v>1041</v>
      </c>
      <c r="L62" s="11" t="s">
        <v>1043</v>
      </c>
      <c r="M62" s="13">
        <v>45165</v>
      </c>
      <c r="N62" s="11" t="s">
        <v>1045</v>
      </c>
      <c r="O62" s="14">
        <f t="shared" si="0"/>
        <v>30866.566347154512</v>
      </c>
      <c r="P62" s="14">
        <f t="shared" si="1"/>
        <v>1481595.1846634166</v>
      </c>
      <c r="Q62" s="14">
        <f t="shared" si="2"/>
        <v>354738.18466341658</v>
      </c>
      <c r="R62" s="11">
        <f t="shared" ca="1" si="3"/>
        <v>2</v>
      </c>
      <c r="S62" s="11" t="str">
        <f t="shared" si="4"/>
        <v>750-799</v>
      </c>
    </row>
    <row r="63" spans="1:19" x14ac:dyDescent="0.3">
      <c r="A63" s="11" t="s">
        <v>75</v>
      </c>
      <c r="B63" s="11" t="s">
        <v>1029</v>
      </c>
      <c r="C63" s="11">
        <v>39</v>
      </c>
      <c r="D63" s="11" t="s">
        <v>1035</v>
      </c>
      <c r="E63" s="11" t="s">
        <v>1036</v>
      </c>
      <c r="F63" s="12">
        <v>1237282</v>
      </c>
      <c r="G63" s="12">
        <v>1559597</v>
      </c>
      <c r="H63" s="11">
        <v>14.6</v>
      </c>
      <c r="I63" s="11">
        <v>96</v>
      </c>
      <c r="J63" s="11">
        <v>648</v>
      </c>
      <c r="K63" s="11" t="s">
        <v>1042</v>
      </c>
      <c r="L63" s="11" t="s">
        <v>1043</v>
      </c>
      <c r="M63" s="13">
        <v>44522</v>
      </c>
      <c r="N63" s="11" t="s">
        <v>1046</v>
      </c>
      <c r="O63" s="14">
        <f t="shared" si="0"/>
        <v>27627.786862913894</v>
      </c>
      <c r="P63" s="14">
        <f t="shared" si="1"/>
        <v>2652267.5388397337</v>
      </c>
      <c r="Q63" s="14">
        <f t="shared" si="2"/>
        <v>1092670.5388397337</v>
      </c>
      <c r="R63" s="11">
        <f t="shared" ca="1" si="3"/>
        <v>4</v>
      </c>
      <c r="S63" s="11" t="str">
        <f t="shared" si="4"/>
        <v>600-649</v>
      </c>
    </row>
    <row r="64" spans="1:19" x14ac:dyDescent="0.3">
      <c r="A64" s="11" t="s">
        <v>76</v>
      </c>
      <c r="B64" s="11" t="s">
        <v>1021</v>
      </c>
      <c r="C64" s="11">
        <v>25</v>
      </c>
      <c r="D64" s="11" t="s">
        <v>1034</v>
      </c>
      <c r="E64" s="11" t="s">
        <v>1038</v>
      </c>
      <c r="F64" s="12">
        <v>595564</v>
      </c>
      <c r="G64" s="12">
        <v>1818993</v>
      </c>
      <c r="H64" s="11">
        <v>12.29</v>
      </c>
      <c r="I64" s="11">
        <v>48</v>
      </c>
      <c r="J64" s="11">
        <v>728</v>
      </c>
      <c r="K64" s="11" t="s">
        <v>1040</v>
      </c>
      <c r="L64" s="11" t="s">
        <v>1044</v>
      </c>
      <c r="M64" s="13">
        <v>44458</v>
      </c>
      <c r="N64" s="11" t="s">
        <v>1045</v>
      </c>
      <c r="O64" s="14">
        <f t="shared" si="0"/>
        <v>48160.472877545464</v>
      </c>
      <c r="P64" s="14">
        <f t="shared" si="1"/>
        <v>2311702.6981221824</v>
      </c>
      <c r="Q64" s="14">
        <f t="shared" si="2"/>
        <v>492709.6981221824</v>
      </c>
      <c r="R64" s="11">
        <f t="shared" ca="1" si="3"/>
        <v>4</v>
      </c>
      <c r="S64" s="11" t="str">
        <f t="shared" si="4"/>
        <v>700-749</v>
      </c>
    </row>
    <row r="65" spans="1:19" x14ac:dyDescent="0.3">
      <c r="A65" s="11" t="s">
        <v>77</v>
      </c>
      <c r="B65" s="11" t="s">
        <v>1015</v>
      </c>
      <c r="C65" s="11">
        <v>60</v>
      </c>
      <c r="D65" s="11" t="s">
        <v>1035</v>
      </c>
      <c r="E65" s="11" t="s">
        <v>1037</v>
      </c>
      <c r="F65" s="12">
        <v>490337</v>
      </c>
      <c r="G65" s="12">
        <v>630764</v>
      </c>
      <c r="H65" s="11">
        <v>13.28</v>
      </c>
      <c r="I65" s="11">
        <v>60</v>
      </c>
      <c r="J65" s="11">
        <v>767</v>
      </c>
      <c r="K65" s="11" t="s">
        <v>1040</v>
      </c>
      <c r="L65" s="11" t="s">
        <v>1043</v>
      </c>
      <c r="M65" s="13">
        <v>45373</v>
      </c>
      <c r="N65" s="11" t="s">
        <v>1047</v>
      </c>
      <c r="O65" s="14">
        <f t="shared" si="0"/>
        <v>14442.391678920405</v>
      </c>
      <c r="P65" s="14">
        <f t="shared" si="1"/>
        <v>866543.50073522434</v>
      </c>
      <c r="Q65" s="14">
        <f t="shared" si="2"/>
        <v>235779.50073522434</v>
      </c>
      <c r="R65" s="11">
        <f t="shared" ca="1" si="3"/>
        <v>1</v>
      </c>
      <c r="S65" s="11" t="str">
        <f t="shared" si="4"/>
        <v>750-799</v>
      </c>
    </row>
    <row r="66" spans="1:19" x14ac:dyDescent="0.3">
      <c r="A66" s="11" t="s">
        <v>78</v>
      </c>
      <c r="B66" s="11" t="s">
        <v>1026</v>
      </c>
      <c r="C66" s="11">
        <v>40</v>
      </c>
      <c r="D66" s="11" t="s">
        <v>1034</v>
      </c>
      <c r="E66" s="11" t="s">
        <v>1036</v>
      </c>
      <c r="F66" s="12">
        <v>1064580</v>
      </c>
      <c r="G66" s="12">
        <v>318382</v>
      </c>
      <c r="H66" s="11">
        <v>11.79</v>
      </c>
      <c r="I66" s="11">
        <v>96</v>
      </c>
      <c r="J66" s="11">
        <v>781</v>
      </c>
      <c r="K66" s="11" t="s">
        <v>1042</v>
      </c>
      <c r="L66" s="11" t="s">
        <v>1043</v>
      </c>
      <c r="M66" s="13">
        <v>43104</v>
      </c>
      <c r="N66" s="11" t="s">
        <v>1047</v>
      </c>
      <c r="O66" s="14">
        <f t="shared" si="0"/>
        <v>5137.9466484709446</v>
      </c>
      <c r="P66" s="14">
        <f t="shared" si="1"/>
        <v>493242.87825321069</v>
      </c>
      <c r="Q66" s="14">
        <f t="shared" si="2"/>
        <v>174860.87825321069</v>
      </c>
      <c r="R66" s="11">
        <f t="shared" ca="1" si="3"/>
        <v>7</v>
      </c>
      <c r="S66" s="11" t="str">
        <f t="shared" si="4"/>
        <v>750-799</v>
      </c>
    </row>
    <row r="67" spans="1:19" x14ac:dyDescent="0.3">
      <c r="A67" s="11" t="s">
        <v>79</v>
      </c>
      <c r="B67" s="11" t="s">
        <v>1032</v>
      </c>
      <c r="C67" s="11">
        <v>26</v>
      </c>
      <c r="D67" s="11" t="s">
        <v>1035</v>
      </c>
      <c r="E67" s="11" t="s">
        <v>1037</v>
      </c>
      <c r="F67" s="12">
        <v>764905</v>
      </c>
      <c r="G67" s="12">
        <v>926064</v>
      </c>
      <c r="H67" s="11">
        <v>9.68</v>
      </c>
      <c r="I67" s="11">
        <v>72</v>
      </c>
      <c r="J67" s="11">
        <v>617</v>
      </c>
      <c r="K67" s="11" t="s">
        <v>1039</v>
      </c>
      <c r="L67" s="11" t="s">
        <v>1044</v>
      </c>
      <c r="M67" s="13">
        <v>44776</v>
      </c>
      <c r="N67" s="11" t="s">
        <v>1045</v>
      </c>
      <c r="O67" s="14">
        <f t="shared" ref="O67:O130" si="6">PMT(H67/1200,I67,-G67)</f>
        <v>17007.049143863685</v>
      </c>
      <c r="P67" s="14">
        <f t="shared" ref="P67:P130" si="7">O67*I67</f>
        <v>1224507.5383581854</v>
      </c>
      <c r="Q67" s="14">
        <f t="shared" ref="Q67:Q130" si="8">P67-G67</f>
        <v>298443.53835818544</v>
      </c>
      <c r="R67" s="11">
        <f t="shared" ref="R67:R130" ca="1" si="9">(YEAR(TODAY())-YEAR(M67))</f>
        <v>3</v>
      </c>
      <c r="S67" s="11" t="str">
        <f t="shared" ref="S67:S130" si="10">IF(J67&lt;650,"600-649",
IF(J67&lt;700,"650-699",
IF(J67&lt;750,"700-749",
IF(J67&lt;800,"750-799","800-850"))))</f>
        <v>600-649</v>
      </c>
    </row>
    <row r="68" spans="1:19" x14ac:dyDescent="0.3">
      <c r="A68" s="11" t="s">
        <v>80</v>
      </c>
      <c r="B68" s="11" t="s">
        <v>1021</v>
      </c>
      <c r="C68" s="11">
        <v>37</v>
      </c>
      <c r="D68" s="11" t="s">
        <v>1035</v>
      </c>
      <c r="E68" s="11" t="s">
        <v>1037</v>
      </c>
      <c r="F68" s="12">
        <v>1240190</v>
      </c>
      <c r="G68" s="12">
        <v>1799096</v>
      </c>
      <c r="H68" s="11">
        <v>8.06</v>
      </c>
      <c r="I68" s="11">
        <v>96</v>
      </c>
      <c r="J68" s="11">
        <v>703</v>
      </c>
      <c r="K68" s="11" t="s">
        <v>1040</v>
      </c>
      <c r="L68" s="11" t="s">
        <v>1044</v>
      </c>
      <c r="M68" s="13">
        <v>45109</v>
      </c>
      <c r="N68" s="11" t="s">
        <v>1046</v>
      </c>
      <c r="O68" s="14">
        <f t="shared" si="6"/>
        <v>25488.142133353631</v>
      </c>
      <c r="P68" s="14">
        <f t="shared" si="7"/>
        <v>2446861.6448019487</v>
      </c>
      <c r="Q68" s="14">
        <f t="shared" si="8"/>
        <v>647765.64480194869</v>
      </c>
      <c r="R68" s="11">
        <f t="shared" ca="1" si="9"/>
        <v>2</v>
      </c>
      <c r="S68" s="11" t="str">
        <f t="shared" si="10"/>
        <v>700-749</v>
      </c>
    </row>
    <row r="69" spans="1:19" x14ac:dyDescent="0.3">
      <c r="A69" s="11" t="s">
        <v>81</v>
      </c>
      <c r="B69" s="11" t="s">
        <v>1028</v>
      </c>
      <c r="C69" s="11">
        <v>53</v>
      </c>
      <c r="D69" s="11" t="s">
        <v>1034</v>
      </c>
      <c r="E69" s="11" t="s">
        <v>1036</v>
      </c>
      <c r="F69" s="12">
        <v>576170</v>
      </c>
      <c r="G69" s="12">
        <v>802845</v>
      </c>
      <c r="H69" s="11">
        <v>8.49</v>
      </c>
      <c r="I69" s="11">
        <v>48</v>
      </c>
      <c r="J69" s="11">
        <v>752</v>
      </c>
      <c r="K69" s="11" t="s">
        <v>1040</v>
      </c>
      <c r="L69" s="11" t="s">
        <v>1044</v>
      </c>
      <c r="M69" s="13">
        <v>44651</v>
      </c>
      <c r="N69" s="11" t="s">
        <v>1046</v>
      </c>
      <c r="O69" s="14">
        <f t="shared" si="6"/>
        <v>19784.97692897201</v>
      </c>
      <c r="P69" s="14">
        <f t="shared" si="7"/>
        <v>949678.89259065641</v>
      </c>
      <c r="Q69" s="14">
        <f t="shared" si="8"/>
        <v>146833.89259065641</v>
      </c>
      <c r="R69" s="11">
        <f t="shared" ca="1" si="9"/>
        <v>3</v>
      </c>
      <c r="S69" s="11" t="str">
        <f t="shared" si="10"/>
        <v>750-799</v>
      </c>
    </row>
    <row r="70" spans="1:19" x14ac:dyDescent="0.3">
      <c r="A70" s="11" t="s">
        <v>82</v>
      </c>
      <c r="B70" s="11" t="s">
        <v>1020</v>
      </c>
      <c r="C70" s="11">
        <v>25</v>
      </c>
      <c r="D70" s="11" t="s">
        <v>1034</v>
      </c>
      <c r="E70" s="11" t="s">
        <v>1037</v>
      </c>
      <c r="F70" s="12">
        <v>1147695</v>
      </c>
      <c r="G70" s="12">
        <v>245926</v>
      </c>
      <c r="H70" s="11">
        <v>13.63</v>
      </c>
      <c r="I70" s="11">
        <v>120</v>
      </c>
      <c r="J70" s="11">
        <v>645</v>
      </c>
      <c r="K70" s="11" t="s">
        <v>1042</v>
      </c>
      <c r="L70" s="11" t="s">
        <v>1043</v>
      </c>
      <c r="M70" s="13">
        <v>44485</v>
      </c>
      <c r="N70" s="11" t="s">
        <v>1048</v>
      </c>
      <c r="O70" s="14">
        <f t="shared" si="6"/>
        <v>3763.885419272161</v>
      </c>
      <c r="P70" s="14">
        <f t="shared" si="7"/>
        <v>451666.25031265931</v>
      </c>
      <c r="Q70" s="14">
        <f t="shared" si="8"/>
        <v>205740.25031265931</v>
      </c>
      <c r="R70" s="11">
        <f t="shared" ca="1" si="9"/>
        <v>4</v>
      </c>
      <c r="S70" s="11" t="str">
        <f t="shared" si="10"/>
        <v>600-649</v>
      </c>
    </row>
    <row r="71" spans="1:19" x14ac:dyDescent="0.3">
      <c r="A71" s="11" t="s">
        <v>83</v>
      </c>
      <c r="B71" s="11" t="s">
        <v>1018</v>
      </c>
      <c r="C71" s="11">
        <v>37</v>
      </c>
      <c r="D71" s="11" t="s">
        <v>1035</v>
      </c>
      <c r="E71" s="11" t="s">
        <v>1036</v>
      </c>
      <c r="F71" s="12">
        <v>1547959</v>
      </c>
      <c r="G71" s="12">
        <v>1537030</v>
      </c>
      <c r="H71" s="11">
        <v>14.73</v>
      </c>
      <c r="I71" s="11">
        <v>96</v>
      </c>
      <c r="J71" s="11">
        <v>652</v>
      </c>
      <c r="K71" s="11" t="s">
        <v>1040</v>
      </c>
      <c r="L71" s="11" t="s">
        <v>1044</v>
      </c>
      <c r="M71" s="13">
        <v>43720</v>
      </c>
      <c r="N71" s="11" t="s">
        <v>1048</v>
      </c>
      <c r="O71" s="14">
        <f t="shared" si="6"/>
        <v>27343.009839949653</v>
      </c>
      <c r="P71" s="14">
        <f t="shared" si="7"/>
        <v>2624928.9446351668</v>
      </c>
      <c r="Q71" s="14">
        <f t="shared" si="8"/>
        <v>1087898.9446351668</v>
      </c>
      <c r="R71" s="11">
        <f t="shared" ca="1" si="9"/>
        <v>6</v>
      </c>
      <c r="S71" s="11" t="str">
        <f t="shared" si="10"/>
        <v>650-699</v>
      </c>
    </row>
    <row r="72" spans="1:19" x14ac:dyDescent="0.3">
      <c r="A72" s="11" t="s">
        <v>84</v>
      </c>
      <c r="B72" s="11" t="s">
        <v>1015</v>
      </c>
      <c r="C72" s="11">
        <v>60</v>
      </c>
      <c r="D72" s="11" t="s">
        <v>1035</v>
      </c>
      <c r="E72" s="11" t="s">
        <v>1036</v>
      </c>
      <c r="F72" s="12">
        <v>1217816</v>
      </c>
      <c r="G72" s="12">
        <v>330475</v>
      </c>
      <c r="H72" s="11">
        <v>12.57</v>
      </c>
      <c r="I72" s="11">
        <v>120</v>
      </c>
      <c r="J72" s="11">
        <v>641</v>
      </c>
      <c r="K72" s="11" t="s">
        <v>1039</v>
      </c>
      <c r="L72" s="11" t="s">
        <v>1044</v>
      </c>
      <c r="M72" s="13">
        <v>43373</v>
      </c>
      <c r="N72" s="11" t="s">
        <v>1048</v>
      </c>
      <c r="O72" s="14">
        <f t="shared" si="6"/>
        <v>4850.8855551226106</v>
      </c>
      <c r="P72" s="14">
        <f t="shared" si="7"/>
        <v>582106.26661471324</v>
      </c>
      <c r="Q72" s="14">
        <f t="shared" si="8"/>
        <v>251631.26661471324</v>
      </c>
      <c r="R72" s="11">
        <f t="shared" ca="1" si="9"/>
        <v>7</v>
      </c>
      <c r="S72" s="11" t="str">
        <f t="shared" si="10"/>
        <v>600-649</v>
      </c>
    </row>
    <row r="73" spans="1:19" x14ac:dyDescent="0.3">
      <c r="A73" s="11" t="s">
        <v>85</v>
      </c>
      <c r="B73" s="11" t="s">
        <v>1019</v>
      </c>
      <c r="C73" s="11">
        <v>41</v>
      </c>
      <c r="D73" s="11" t="s">
        <v>1034</v>
      </c>
      <c r="E73" s="11" t="s">
        <v>1038</v>
      </c>
      <c r="F73" s="12">
        <v>1562311</v>
      </c>
      <c r="G73" s="12">
        <v>273110</v>
      </c>
      <c r="H73" s="11">
        <v>10.98</v>
      </c>
      <c r="I73" s="11">
        <v>120</v>
      </c>
      <c r="J73" s="11">
        <v>699</v>
      </c>
      <c r="K73" s="11" t="s">
        <v>1040</v>
      </c>
      <c r="L73" s="11" t="s">
        <v>1044</v>
      </c>
      <c r="M73" s="13">
        <v>44944</v>
      </c>
      <c r="N73" s="11" t="s">
        <v>1045</v>
      </c>
      <c r="O73" s="14">
        <f t="shared" si="6"/>
        <v>3758.9993114536901</v>
      </c>
      <c r="P73" s="14">
        <f t="shared" si="7"/>
        <v>451079.9173744428</v>
      </c>
      <c r="Q73" s="14">
        <f t="shared" si="8"/>
        <v>177969.9173744428</v>
      </c>
      <c r="R73" s="11">
        <f t="shared" ca="1" si="9"/>
        <v>2</v>
      </c>
      <c r="S73" s="11" t="str">
        <f t="shared" si="10"/>
        <v>650-699</v>
      </c>
    </row>
    <row r="74" spans="1:19" x14ac:dyDescent="0.3">
      <c r="A74" s="11" t="s">
        <v>86</v>
      </c>
      <c r="B74" s="11" t="s">
        <v>1024</v>
      </c>
      <c r="C74" s="11">
        <v>55</v>
      </c>
      <c r="D74" s="11" t="s">
        <v>1035</v>
      </c>
      <c r="E74" s="11" t="s">
        <v>1036</v>
      </c>
      <c r="F74" s="12">
        <v>1659508</v>
      </c>
      <c r="G74" s="12">
        <v>989777</v>
      </c>
      <c r="H74" s="11">
        <v>9.15</v>
      </c>
      <c r="I74" s="11">
        <v>36</v>
      </c>
      <c r="J74" s="11">
        <v>689</v>
      </c>
      <c r="K74" s="11" t="s">
        <v>1041</v>
      </c>
      <c r="L74" s="11" t="s">
        <v>1044</v>
      </c>
      <c r="M74" s="13">
        <v>45136</v>
      </c>
      <c r="N74" s="11" t="s">
        <v>1048</v>
      </c>
      <c r="O74" s="14">
        <f t="shared" si="6"/>
        <v>31543.78773243248</v>
      </c>
      <c r="P74" s="14">
        <f t="shared" si="7"/>
        <v>1135576.3583675693</v>
      </c>
      <c r="Q74" s="14">
        <f t="shared" si="8"/>
        <v>145799.35836756928</v>
      </c>
      <c r="R74" s="11">
        <f t="shared" ca="1" si="9"/>
        <v>2</v>
      </c>
      <c r="S74" s="11" t="str">
        <f t="shared" si="10"/>
        <v>650-699</v>
      </c>
    </row>
    <row r="75" spans="1:19" x14ac:dyDescent="0.3">
      <c r="A75" s="11" t="s">
        <v>87</v>
      </c>
      <c r="B75" s="11" t="s">
        <v>1025</v>
      </c>
      <c r="C75" s="11">
        <v>51</v>
      </c>
      <c r="D75" s="11" t="s">
        <v>1035</v>
      </c>
      <c r="E75" s="11" t="s">
        <v>1037</v>
      </c>
      <c r="F75" s="12">
        <v>1376172</v>
      </c>
      <c r="G75" s="12">
        <v>323517</v>
      </c>
      <c r="H75" s="11">
        <v>14.65</v>
      </c>
      <c r="I75" s="11">
        <v>60</v>
      </c>
      <c r="J75" s="11">
        <v>839</v>
      </c>
      <c r="K75" s="11" t="s">
        <v>1041</v>
      </c>
      <c r="L75" s="11" t="s">
        <v>1044</v>
      </c>
      <c r="M75" s="13">
        <v>44525</v>
      </c>
      <c r="N75" s="11" t="s">
        <v>1046</v>
      </c>
      <c r="O75" s="14">
        <f t="shared" si="6"/>
        <v>7637.1383911255807</v>
      </c>
      <c r="P75" s="14">
        <f t="shared" si="7"/>
        <v>458228.30346753483</v>
      </c>
      <c r="Q75" s="14">
        <f t="shared" si="8"/>
        <v>134711.30346753483</v>
      </c>
      <c r="R75" s="11">
        <f t="shared" ca="1" si="9"/>
        <v>4</v>
      </c>
      <c r="S75" s="11" t="str">
        <f t="shared" si="10"/>
        <v>800-850</v>
      </c>
    </row>
    <row r="76" spans="1:19" x14ac:dyDescent="0.3">
      <c r="A76" s="11" t="s">
        <v>88</v>
      </c>
      <c r="B76" s="11" t="s">
        <v>1033</v>
      </c>
      <c r="C76" s="11">
        <v>44</v>
      </c>
      <c r="D76" s="11" t="s">
        <v>1035</v>
      </c>
      <c r="E76" s="11" t="s">
        <v>1038</v>
      </c>
      <c r="F76" s="12">
        <v>1892654</v>
      </c>
      <c r="G76" s="12">
        <v>653425</v>
      </c>
      <c r="H76" s="11">
        <v>10.6</v>
      </c>
      <c r="I76" s="11">
        <v>96</v>
      </c>
      <c r="J76" s="11">
        <v>833</v>
      </c>
      <c r="K76" s="11" t="s">
        <v>1039</v>
      </c>
      <c r="L76" s="11" t="s">
        <v>1044</v>
      </c>
      <c r="M76" s="13">
        <v>43608</v>
      </c>
      <c r="N76" s="11" t="s">
        <v>1048</v>
      </c>
      <c r="O76" s="14">
        <f t="shared" si="6"/>
        <v>10123.836378507245</v>
      </c>
      <c r="P76" s="14">
        <f t="shared" si="7"/>
        <v>971888.29233669559</v>
      </c>
      <c r="Q76" s="14">
        <f t="shared" si="8"/>
        <v>318463.29233669559</v>
      </c>
      <c r="R76" s="11">
        <f t="shared" ca="1" si="9"/>
        <v>6</v>
      </c>
      <c r="S76" s="11" t="str">
        <f t="shared" si="10"/>
        <v>800-850</v>
      </c>
    </row>
    <row r="77" spans="1:19" x14ac:dyDescent="0.3">
      <c r="A77" s="11" t="s">
        <v>89</v>
      </c>
      <c r="B77" s="11" t="s">
        <v>1017</v>
      </c>
      <c r="C77" s="11">
        <v>48</v>
      </c>
      <c r="D77" s="11" t="s">
        <v>1034</v>
      </c>
      <c r="E77" s="11" t="s">
        <v>1036</v>
      </c>
      <c r="F77" s="12">
        <v>1003091</v>
      </c>
      <c r="G77" s="12">
        <v>353919</v>
      </c>
      <c r="H77" s="11">
        <v>12.24</v>
      </c>
      <c r="I77" s="11">
        <v>36</v>
      </c>
      <c r="J77" s="11">
        <v>600</v>
      </c>
      <c r="K77" s="11" t="s">
        <v>1039</v>
      </c>
      <c r="L77" s="11" t="s">
        <v>1044</v>
      </c>
      <c r="M77" s="13">
        <v>44910</v>
      </c>
      <c r="N77" s="11" t="s">
        <v>1046</v>
      </c>
      <c r="O77" s="14">
        <f t="shared" si="6"/>
        <v>11795.785865746684</v>
      </c>
      <c r="P77" s="14">
        <f t="shared" si="7"/>
        <v>424648.29116688063</v>
      </c>
      <c r="Q77" s="14">
        <f t="shared" si="8"/>
        <v>70729.291166880634</v>
      </c>
      <c r="R77" s="11">
        <f t="shared" ca="1" si="9"/>
        <v>3</v>
      </c>
      <c r="S77" s="11" t="str">
        <f t="shared" si="10"/>
        <v>600-649</v>
      </c>
    </row>
    <row r="78" spans="1:19" x14ac:dyDescent="0.3">
      <c r="A78" s="11" t="s">
        <v>90</v>
      </c>
      <c r="B78" s="11" t="s">
        <v>1023</v>
      </c>
      <c r="C78" s="11">
        <v>57</v>
      </c>
      <c r="D78" s="11" t="s">
        <v>1035</v>
      </c>
      <c r="E78" s="11" t="s">
        <v>1036</v>
      </c>
      <c r="F78" s="12">
        <v>328849</v>
      </c>
      <c r="G78" s="12">
        <v>1199993</v>
      </c>
      <c r="H78" s="11">
        <v>10.27</v>
      </c>
      <c r="I78" s="11">
        <v>84</v>
      </c>
      <c r="J78" s="11">
        <v>704</v>
      </c>
      <c r="K78" s="11" t="s">
        <v>1042</v>
      </c>
      <c r="L78" s="11" t="s">
        <v>1044</v>
      </c>
      <c r="M78" s="13">
        <v>45505</v>
      </c>
      <c r="N78" s="11" t="s">
        <v>1046</v>
      </c>
      <c r="O78" s="14">
        <f t="shared" si="6"/>
        <v>20089.112727001168</v>
      </c>
      <c r="P78" s="14">
        <f t="shared" si="7"/>
        <v>1687485.4690680981</v>
      </c>
      <c r="Q78" s="14">
        <f t="shared" si="8"/>
        <v>487492.46906809811</v>
      </c>
      <c r="R78" s="11">
        <f t="shared" ca="1" si="9"/>
        <v>1</v>
      </c>
      <c r="S78" s="11" t="str">
        <f t="shared" si="10"/>
        <v>700-749</v>
      </c>
    </row>
    <row r="79" spans="1:19" x14ac:dyDescent="0.3">
      <c r="A79" s="11" t="s">
        <v>91</v>
      </c>
      <c r="B79" s="11" t="s">
        <v>1028</v>
      </c>
      <c r="C79" s="11">
        <v>44</v>
      </c>
      <c r="D79" s="11" t="s">
        <v>1035</v>
      </c>
      <c r="E79" s="11" t="s">
        <v>1036</v>
      </c>
      <c r="F79" s="12">
        <v>844540</v>
      </c>
      <c r="G79" s="12">
        <v>702272</v>
      </c>
      <c r="H79" s="11">
        <v>14.04</v>
      </c>
      <c r="I79" s="11">
        <v>60</v>
      </c>
      <c r="J79" s="11">
        <v>723</v>
      </c>
      <c r="K79" s="11" t="s">
        <v>1042</v>
      </c>
      <c r="L79" s="11" t="s">
        <v>1044</v>
      </c>
      <c r="M79" s="13">
        <v>45227</v>
      </c>
      <c r="N79" s="11" t="s">
        <v>1047</v>
      </c>
      <c r="O79" s="14">
        <f t="shared" si="6"/>
        <v>16355.208071290941</v>
      </c>
      <c r="P79" s="14">
        <f t="shared" si="7"/>
        <v>981312.48427745642</v>
      </c>
      <c r="Q79" s="14">
        <f t="shared" si="8"/>
        <v>279040.48427745642</v>
      </c>
      <c r="R79" s="11">
        <f t="shared" ca="1" si="9"/>
        <v>2</v>
      </c>
      <c r="S79" s="11" t="str">
        <f t="shared" si="10"/>
        <v>700-749</v>
      </c>
    </row>
    <row r="80" spans="1:19" x14ac:dyDescent="0.3">
      <c r="A80" s="11" t="s">
        <v>92</v>
      </c>
      <c r="B80" s="11" t="s">
        <v>1027</v>
      </c>
      <c r="C80" s="11">
        <v>39</v>
      </c>
      <c r="D80" s="11" t="s">
        <v>1035</v>
      </c>
      <c r="E80" s="11" t="s">
        <v>1037</v>
      </c>
      <c r="F80" s="12">
        <v>1509416</v>
      </c>
      <c r="G80" s="12">
        <v>1729443</v>
      </c>
      <c r="H80" s="11">
        <v>9.66</v>
      </c>
      <c r="I80" s="11">
        <v>120</v>
      </c>
      <c r="J80" s="11">
        <v>771</v>
      </c>
      <c r="K80" s="11" t="s">
        <v>1040</v>
      </c>
      <c r="L80" s="11" t="s">
        <v>1044</v>
      </c>
      <c r="M80" s="13">
        <v>44546</v>
      </c>
      <c r="N80" s="11" t="s">
        <v>1045</v>
      </c>
      <c r="O80" s="14">
        <f t="shared" si="6"/>
        <v>22530.348768199441</v>
      </c>
      <c r="P80" s="14">
        <f t="shared" si="7"/>
        <v>2703641.8521839329</v>
      </c>
      <c r="Q80" s="14">
        <f t="shared" si="8"/>
        <v>974198.8521839329</v>
      </c>
      <c r="R80" s="11">
        <f t="shared" ca="1" si="9"/>
        <v>4</v>
      </c>
      <c r="S80" s="11" t="str">
        <f t="shared" si="10"/>
        <v>750-799</v>
      </c>
    </row>
    <row r="81" spans="1:19" x14ac:dyDescent="0.3">
      <c r="A81" s="11" t="s">
        <v>93</v>
      </c>
      <c r="B81" s="11" t="s">
        <v>1021</v>
      </c>
      <c r="C81" s="11">
        <v>34</v>
      </c>
      <c r="D81" s="11" t="s">
        <v>1035</v>
      </c>
      <c r="E81" s="11" t="s">
        <v>1038</v>
      </c>
      <c r="F81" s="12">
        <v>1250924</v>
      </c>
      <c r="G81" s="12">
        <v>1050471</v>
      </c>
      <c r="H81" s="11">
        <v>12.1</v>
      </c>
      <c r="I81" s="11">
        <v>60</v>
      </c>
      <c r="J81" s="11">
        <v>667</v>
      </c>
      <c r="K81" s="11" t="s">
        <v>1039</v>
      </c>
      <c r="L81" s="11" t="s">
        <v>1044</v>
      </c>
      <c r="M81" s="13">
        <v>43618</v>
      </c>
      <c r="N81" s="11" t="s">
        <v>1048</v>
      </c>
      <c r="O81" s="14">
        <f t="shared" si="6"/>
        <v>23420.265612237406</v>
      </c>
      <c r="P81" s="14">
        <f t="shared" si="7"/>
        <v>1405215.9367342445</v>
      </c>
      <c r="Q81" s="14">
        <f t="shared" si="8"/>
        <v>354744.93673424446</v>
      </c>
      <c r="R81" s="11">
        <f t="shared" ca="1" si="9"/>
        <v>6</v>
      </c>
      <c r="S81" s="11" t="str">
        <f t="shared" si="10"/>
        <v>650-699</v>
      </c>
    </row>
    <row r="82" spans="1:19" x14ac:dyDescent="0.3">
      <c r="A82" s="11" t="s">
        <v>94</v>
      </c>
      <c r="B82" s="11" t="s">
        <v>1020</v>
      </c>
      <c r="C82" s="11">
        <v>56</v>
      </c>
      <c r="D82" s="11" t="s">
        <v>1035</v>
      </c>
      <c r="E82" s="11" t="s">
        <v>1037</v>
      </c>
      <c r="F82" s="12">
        <v>1999759</v>
      </c>
      <c r="G82" s="12">
        <v>1114437</v>
      </c>
      <c r="H82" s="11">
        <v>12.56</v>
      </c>
      <c r="I82" s="11">
        <v>84</v>
      </c>
      <c r="J82" s="11">
        <v>624</v>
      </c>
      <c r="K82" s="11" t="s">
        <v>1039</v>
      </c>
      <c r="L82" s="11" t="s">
        <v>1044</v>
      </c>
      <c r="M82" s="13">
        <v>45163</v>
      </c>
      <c r="N82" s="11" t="s">
        <v>1048</v>
      </c>
      <c r="O82" s="14">
        <f t="shared" si="6"/>
        <v>20008.165624545472</v>
      </c>
      <c r="P82" s="14">
        <f t="shared" si="7"/>
        <v>1680685.9124618196</v>
      </c>
      <c r="Q82" s="14">
        <f t="shared" si="8"/>
        <v>566248.91246181959</v>
      </c>
      <c r="R82" s="11">
        <f t="shared" ca="1" si="9"/>
        <v>2</v>
      </c>
      <c r="S82" s="11" t="str">
        <f t="shared" si="10"/>
        <v>600-649</v>
      </c>
    </row>
    <row r="83" spans="1:19" x14ac:dyDescent="0.3">
      <c r="A83" s="11" t="s">
        <v>95</v>
      </c>
      <c r="B83" s="11" t="s">
        <v>1017</v>
      </c>
      <c r="C83" s="11">
        <v>31</v>
      </c>
      <c r="D83" s="11" t="s">
        <v>1034</v>
      </c>
      <c r="E83" s="11" t="s">
        <v>1037</v>
      </c>
      <c r="F83" s="12">
        <v>1706829</v>
      </c>
      <c r="G83" s="12">
        <v>1176231</v>
      </c>
      <c r="H83" s="11">
        <v>9.42</v>
      </c>
      <c r="I83" s="11">
        <v>60</v>
      </c>
      <c r="J83" s="11">
        <v>826</v>
      </c>
      <c r="K83" s="11" t="s">
        <v>1041</v>
      </c>
      <c r="L83" s="11" t="s">
        <v>1044</v>
      </c>
      <c r="M83" s="13">
        <v>45426</v>
      </c>
      <c r="N83" s="11" t="s">
        <v>1046</v>
      </c>
      <c r="O83" s="14">
        <f t="shared" si="6"/>
        <v>24657.080494400721</v>
      </c>
      <c r="P83" s="14">
        <f t="shared" si="7"/>
        <v>1479424.8296640434</v>
      </c>
      <c r="Q83" s="14">
        <f t="shared" si="8"/>
        <v>303193.82966404338</v>
      </c>
      <c r="R83" s="11">
        <f t="shared" ca="1" si="9"/>
        <v>1</v>
      </c>
      <c r="S83" s="11" t="str">
        <f t="shared" si="10"/>
        <v>800-850</v>
      </c>
    </row>
    <row r="84" spans="1:19" x14ac:dyDescent="0.3">
      <c r="A84" s="11" t="s">
        <v>96</v>
      </c>
      <c r="B84" s="11" t="s">
        <v>1029</v>
      </c>
      <c r="C84" s="11">
        <v>60</v>
      </c>
      <c r="D84" s="11" t="s">
        <v>1034</v>
      </c>
      <c r="E84" s="11" t="s">
        <v>1037</v>
      </c>
      <c r="F84" s="12">
        <v>1616835</v>
      </c>
      <c r="G84" s="12">
        <v>1380297</v>
      </c>
      <c r="H84" s="11">
        <v>9.92</v>
      </c>
      <c r="I84" s="11">
        <v>84</v>
      </c>
      <c r="J84" s="11">
        <v>734</v>
      </c>
      <c r="K84" s="11" t="s">
        <v>1042</v>
      </c>
      <c r="L84" s="11" t="s">
        <v>1044</v>
      </c>
      <c r="M84" s="13">
        <v>43980</v>
      </c>
      <c r="N84" s="11" t="s">
        <v>1048</v>
      </c>
      <c r="O84" s="14">
        <f t="shared" si="6"/>
        <v>22857.549453050302</v>
      </c>
      <c r="P84" s="14">
        <f t="shared" si="7"/>
        <v>1920034.1540562254</v>
      </c>
      <c r="Q84" s="14">
        <f t="shared" si="8"/>
        <v>539737.15405622544</v>
      </c>
      <c r="R84" s="11">
        <f t="shared" ca="1" si="9"/>
        <v>5</v>
      </c>
      <c r="S84" s="11" t="str">
        <f t="shared" si="10"/>
        <v>700-749</v>
      </c>
    </row>
    <row r="85" spans="1:19" x14ac:dyDescent="0.3">
      <c r="A85" s="11" t="s">
        <v>97</v>
      </c>
      <c r="B85" s="11" t="s">
        <v>1017</v>
      </c>
      <c r="C85" s="11">
        <v>49</v>
      </c>
      <c r="D85" s="11" t="s">
        <v>1034</v>
      </c>
      <c r="E85" s="11" t="s">
        <v>1036</v>
      </c>
      <c r="F85" s="12">
        <v>917640</v>
      </c>
      <c r="G85" s="12">
        <v>408992</v>
      </c>
      <c r="H85" s="11">
        <v>13.72</v>
      </c>
      <c r="I85" s="11">
        <v>60</v>
      </c>
      <c r="J85" s="11">
        <v>746</v>
      </c>
      <c r="K85" s="11" t="s">
        <v>1041</v>
      </c>
      <c r="L85" s="11" t="s">
        <v>1044</v>
      </c>
      <c r="M85" s="13">
        <v>44614</v>
      </c>
      <c r="N85" s="11" t="s">
        <v>1046</v>
      </c>
      <c r="O85" s="14">
        <f t="shared" si="6"/>
        <v>9457.2624950622267</v>
      </c>
      <c r="P85" s="14">
        <f t="shared" si="7"/>
        <v>567435.7497037336</v>
      </c>
      <c r="Q85" s="14">
        <f t="shared" si="8"/>
        <v>158443.7497037336</v>
      </c>
      <c r="R85" s="11">
        <f t="shared" ca="1" si="9"/>
        <v>3</v>
      </c>
      <c r="S85" s="11" t="str">
        <f t="shared" si="10"/>
        <v>700-749</v>
      </c>
    </row>
    <row r="86" spans="1:19" x14ac:dyDescent="0.3">
      <c r="A86" s="11" t="s">
        <v>98</v>
      </c>
      <c r="B86" s="11" t="s">
        <v>1021</v>
      </c>
      <c r="C86" s="11">
        <v>47</v>
      </c>
      <c r="D86" s="11" t="s">
        <v>1034</v>
      </c>
      <c r="E86" s="11" t="s">
        <v>1037</v>
      </c>
      <c r="F86" s="12">
        <v>1269284</v>
      </c>
      <c r="G86" s="12">
        <v>261901</v>
      </c>
      <c r="H86" s="11">
        <v>9.2100000000000009</v>
      </c>
      <c r="I86" s="11">
        <v>72</v>
      </c>
      <c r="J86" s="11">
        <v>770</v>
      </c>
      <c r="K86" s="11" t="s">
        <v>1041</v>
      </c>
      <c r="L86" s="11" t="s">
        <v>1044</v>
      </c>
      <c r="M86" s="13">
        <v>45154</v>
      </c>
      <c r="N86" s="11" t="s">
        <v>1047</v>
      </c>
      <c r="O86" s="14">
        <f t="shared" si="6"/>
        <v>4748.2489987911094</v>
      </c>
      <c r="P86" s="14">
        <f t="shared" si="7"/>
        <v>341873.92791295989</v>
      </c>
      <c r="Q86" s="14">
        <f t="shared" si="8"/>
        <v>79972.927912959887</v>
      </c>
      <c r="R86" s="11">
        <f t="shared" ca="1" si="9"/>
        <v>2</v>
      </c>
      <c r="S86" s="11" t="str">
        <f t="shared" si="10"/>
        <v>750-799</v>
      </c>
    </row>
    <row r="87" spans="1:19" x14ac:dyDescent="0.3">
      <c r="A87" s="11" t="s">
        <v>99</v>
      </c>
      <c r="B87" s="11" t="s">
        <v>1029</v>
      </c>
      <c r="C87" s="11">
        <v>57</v>
      </c>
      <c r="D87" s="11" t="s">
        <v>1034</v>
      </c>
      <c r="E87" s="11" t="s">
        <v>1038</v>
      </c>
      <c r="F87" s="12">
        <v>735682</v>
      </c>
      <c r="G87" s="12">
        <v>996631</v>
      </c>
      <c r="H87" s="11">
        <v>12.23</v>
      </c>
      <c r="I87" s="11">
        <v>84</v>
      </c>
      <c r="J87" s="11">
        <v>799</v>
      </c>
      <c r="K87" s="11" t="s">
        <v>1039</v>
      </c>
      <c r="L87" s="11" t="s">
        <v>1043</v>
      </c>
      <c r="M87" s="13">
        <v>44162</v>
      </c>
      <c r="N87" s="11" t="s">
        <v>1046</v>
      </c>
      <c r="O87" s="14">
        <f t="shared" si="6"/>
        <v>17716.081586205422</v>
      </c>
      <c r="P87" s="14">
        <f t="shared" si="7"/>
        <v>1488150.8532412555</v>
      </c>
      <c r="Q87" s="14">
        <f t="shared" si="8"/>
        <v>491519.85324125551</v>
      </c>
      <c r="R87" s="11">
        <f t="shared" ca="1" si="9"/>
        <v>5</v>
      </c>
      <c r="S87" s="11" t="str">
        <f t="shared" si="10"/>
        <v>750-799</v>
      </c>
    </row>
    <row r="88" spans="1:19" x14ac:dyDescent="0.3">
      <c r="A88" s="11" t="s">
        <v>100</v>
      </c>
      <c r="B88" s="11" t="s">
        <v>1029</v>
      </c>
      <c r="C88" s="11">
        <v>25</v>
      </c>
      <c r="D88" s="11" t="s">
        <v>1035</v>
      </c>
      <c r="E88" s="11" t="s">
        <v>1038</v>
      </c>
      <c r="F88" s="12">
        <v>475919</v>
      </c>
      <c r="G88" s="12">
        <v>318917</v>
      </c>
      <c r="H88" s="11">
        <v>9.5</v>
      </c>
      <c r="I88" s="11">
        <v>84</v>
      </c>
      <c r="J88" s="11">
        <v>842</v>
      </c>
      <c r="K88" s="11" t="s">
        <v>1039</v>
      </c>
      <c r="L88" s="11" t="s">
        <v>1044</v>
      </c>
      <c r="M88" s="13">
        <v>43388</v>
      </c>
      <c r="N88" s="11" t="s">
        <v>1046</v>
      </c>
      <c r="O88" s="14">
        <f t="shared" si="6"/>
        <v>5212.3736058546483</v>
      </c>
      <c r="P88" s="14">
        <f t="shared" si="7"/>
        <v>437839.38289179048</v>
      </c>
      <c r="Q88" s="14">
        <f t="shared" si="8"/>
        <v>118922.38289179048</v>
      </c>
      <c r="R88" s="11">
        <f t="shared" ca="1" si="9"/>
        <v>7</v>
      </c>
      <c r="S88" s="11" t="str">
        <f t="shared" si="10"/>
        <v>800-850</v>
      </c>
    </row>
    <row r="89" spans="1:19" x14ac:dyDescent="0.3">
      <c r="A89" s="11" t="s">
        <v>101</v>
      </c>
      <c r="B89" s="11" t="s">
        <v>1016</v>
      </c>
      <c r="C89" s="11">
        <v>33</v>
      </c>
      <c r="D89" s="11" t="s">
        <v>1034</v>
      </c>
      <c r="E89" s="11" t="s">
        <v>1036</v>
      </c>
      <c r="F89" s="12">
        <v>1594456</v>
      </c>
      <c r="G89" s="12">
        <v>1657294</v>
      </c>
      <c r="H89" s="11">
        <v>14.42</v>
      </c>
      <c r="I89" s="11">
        <v>84</v>
      </c>
      <c r="J89" s="11">
        <v>746</v>
      </c>
      <c r="K89" s="11" t="s">
        <v>1039</v>
      </c>
      <c r="L89" s="11" t="s">
        <v>1043</v>
      </c>
      <c r="M89" s="13">
        <v>44781</v>
      </c>
      <c r="N89" s="11" t="s">
        <v>1046</v>
      </c>
      <c r="O89" s="14">
        <f t="shared" si="6"/>
        <v>31443.494308914778</v>
      </c>
      <c r="P89" s="14">
        <f t="shared" si="7"/>
        <v>2641253.5219488414</v>
      </c>
      <c r="Q89" s="14">
        <f t="shared" si="8"/>
        <v>983959.5219488414</v>
      </c>
      <c r="R89" s="11">
        <f t="shared" ca="1" si="9"/>
        <v>3</v>
      </c>
      <c r="S89" s="11" t="str">
        <f t="shared" si="10"/>
        <v>700-749</v>
      </c>
    </row>
    <row r="90" spans="1:19" x14ac:dyDescent="0.3">
      <c r="A90" s="11" t="s">
        <v>102</v>
      </c>
      <c r="B90" s="11" t="s">
        <v>1031</v>
      </c>
      <c r="C90" s="11">
        <v>46</v>
      </c>
      <c r="D90" s="11" t="s">
        <v>1035</v>
      </c>
      <c r="E90" s="11" t="s">
        <v>1037</v>
      </c>
      <c r="F90" s="12">
        <v>1209663</v>
      </c>
      <c r="G90" s="12">
        <v>1929713</v>
      </c>
      <c r="H90" s="11">
        <v>8.52</v>
      </c>
      <c r="I90" s="11">
        <v>36</v>
      </c>
      <c r="J90" s="11">
        <v>609</v>
      </c>
      <c r="K90" s="11" t="s">
        <v>1041</v>
      </c>
      <c r="L90" s="11" t="s">
        <v>1043</v>
      </c>
      <c r="M90" s="13">
        <v>45524</v>
      </c>
      <c r="N90" s="11" t="s">
        <v>1047</v>
      </c>
      <c r="O90" s="14">
        <f t="shared" si="6"/>
        <v>60934.17225615697</v>
      </c>
      <c r="P90" s="14">
        <f t="shared" si="7"/>
        <v>2193630.2012216509</v>
      </c>
      <c r="Q90" s="14">
        <f t="shared" si="8"/>
        <v>263917.20122165093</v>
      </c>
      <c r="R90" s="11">
        <f t="shared" ca="1" si="9"/>
        <v>1</v>
      </c>
      <c r="S90" s="11" t="str">
        <f t="shared" si="10"/>
        <v>600-649</v>
      </c>
    </row>
    <row r="91" spans="1:19" x14ac:dyDescent="0.3">
      <c r="A91" s="11" t="s">
        <v>103</v>
      </c>
      <c r="B91" s="11" t="s">
        <v>1022</v>
      </c>
      <c r="C91" s="11">
        <v>31</v>
      </c>
      <c r="D91" s="11" t="s">
        <v>1035</v>
      </c>
      <c r="E91" s="11" t="s">
        <v>1038</v>
      </c>
      <c r="F91" s="12">
        <v>1341291</v>
      </c>
      <c r="G91" s="12">
        <v>937092</v>
      </c>
      <c r="H91" s="11">
        <v>11.75</v>
      </c>
      <c r="I91" s="11">
        <v>96</v>
      </c>
      <c r="J91" s="11">
        <v>835</v>
      </c>
      <c r="K91" s="11" t="s">
        <v>1041</v>
      </c>
      <c r="L91" s="11" t="s">
        <v>1044</v>
      </c>
      <c r="M91" s="13">
        <v>44475</v>
      </c>
      <c r="N91" s="11" t="s">
        <v>1045</v>
      </c>
      <c r="O91" s="14">
        <f t="shared" si="6"/>
        <v>15101.981550064129</v>
      </c>
      <c r="P91" s="14">
        <f t="shared" si="7"/>
        <v>1449790.2288061564</v>
      </c>
      <c r="Q91" s="14">
        <f t="shared" si="8"/>
        <v>512698.22880615643</v>
      </c>
      <c r="R91" s="11">
        <f t="shared" ca="1" si="9"/>
        <v>4</v>
      </c>
      <c r="S91" s="11" t="str">
        <f t="shared" si="10"/>
        <v>800-850</v>
      </c>
    </row>
    <row r="92" spans="1:19" x14ac:dyDescent="0.3">
      <c r="A92" s="11" t="s">
        <v>104</v>
      </c>
      <c r="B92" s="11" t="s">
        <v>1023</v>
      </c>
      <c r="C92" s="11">
        <v>32</v>
      </c>
      <c r="D92" s="11" t="s">
        <v>1035</v>
      </c>
      <c r="E92" s="11" t="s">
        <v>1036</v>
      </c>
      <c r="F92" s="12">
        <v>1399394</v>
      </c>
      <c r="G92" s="12">
        <v>378800</v>
      </c>
      <c r="H92" s="11">
        <v>10.62</v>
      </c>
      <c r="I92" s="11">
        <v>48</v>
      </c>
      <c r="J92" s="11">
        <v>840</v>
      </c>
      <c r="K92" s="11" t="s">
        <v>1039</v>
      </c>
      <c r="L92" s="11" t="s">
        <v>1044</v>
      </c>
      <c r="M92" s="13">
        <v>43345</v>
      </c>
      <c r="N92" s="11" t="s">
        <v>1046</v>
      </c>
      <c r="O92" s="14">
        <f t="shared" si="6"/>
        <v>9720.5274670300496</v>
      </c>
      <c r="P92" s="14">
        <f t="shared" si="7"/>
        <v>466585.31841744238</v>
      </c>
      <c r="Q92" s="14">
        <f t="shared" si="8"/>
        <v>87785.31841744238</v>
      </c>
      <c r="R92" s="11">
        <f t="shared" ca="1" si="9"/>
        <v>7</v>
      </c>
      <c r="S92" s="11" t="str">
        <f t="shared" si="10"/>
        <v>800-850</v>
      </c>
    </row>
    <row r="93" spans="1:19" x14ac:dyDescent="0.3">
      <c r="A93" s="11" t="s">
        <v>105</v>
      </c>
      <c r="B93" s="11" t="s">
        <v>1026</v>
      </c>
      <c r="C93" s="11">
        <v>37</v>
      </c>
      <c r="D93" s="11" t="s">
        <v>1034</v>
      </c>
      <c r="E93" s="11" t="s">
        <v>1036</v>
      </c>
      <c r="F93" s="12">
        <v>1212426</v>
      </c>
      <c r="G93" s="12">
        <v>1650074</v>
      </c>
      <c r="H93" s="11">
        <v>14.08</v>
      </c>
      <c r="I93" s="11">
        <v>84</v>
      </c>
      <c r="J93" s="11">
        <v>625</v>
      </c>
      <c r="K93" s="11" t="s">
        <v>1042</v>
      </c>
      <c r="L93" s="11" t="s">
        <v>1044</v>
      </c>
      <c r="M93" s="13">
        <v>44364</v>
      </c>
      <c r="N93" s="11" t="s">
        <v>1045</v>
      </c>
      <c r="O93" s="14">
        <f t="shared" si="6"/>
        <v>30995.374077282384</v>
      </c>
      <c r="P93" s="14">
        <f t="shared" si="7"/>
        <v>2603611.4224917204</v>
      </c>
      <c r="Q93" s="14">
        <f t="shared" si="8"/>
        <v>953537.42249172041</v>
      </c>
      <c r="R93" s="11">
        <f t="shared" ca="1" si="9"/>
        <v>4</v>
      </c>
      <c r="S93" s="11" t="str">
        <f t="shared" si="10"/>
        <v>600-649</v>
      </c>
    </row>
    <row r="94" spans="1:19" x14ac:dyDescent="0.3">
      <c r="A94" s="11" t="s">
        <v>106</v>
      </c>
      <c r="B94" s="11" t="s">
        <v>1033</v>
      </c>
      <c r="C94" s="11">
        <v>40</v>
      </c>
      <c r="D94" s="11" t="s">
        <v>1034</v>
      </c>
      <c r="E94" s="11" t="s">
        <v>1038</v>
      </c>
      <c r="F94" s="12">
        <v>603918</v>
      </c>
      <c r="G94" s="12">
        <v>564802</v>
      </c>
      <c r="H94" s="11">
        <v>12.84</v>
      </c>
      <c r="I94" s="11">
        <v>84</v>
      </c>
      <c r="J94" s="11">
        <v>657</v>
      </c>
      <c r="K94" s="11" t="s">
        <v>1040</v>
      </c>
      <c r="L94" s="11" t="s">
        <v>1044</v>
      </c>
      <c r="M94" s="13">
        <v>44278</v>
      </c>
      <c r="N94" s="11" t="s">
        <v>1046</v>
      </c>
      <c r="O94" s="14">
        <f t="shared" si="6"/>
        <v>10225.791497504624</v>
      </c>
      <c r="P94" s="14">
        <f t="shared" si="7"/>
        <v>858966.48579038843</v>
      </c>
      <c r="Q94" s="14">
        <f t="shared" si="8"/>
        <v>294164.48579038843</v>
      </c>
      <c r="R94" s="11">
        <f t="shared" ca="1" si="9"/>
        <v>4</v>
      </c>
      <c r="S94" s="11" t="str">
        <f t="shared" si="10"/>
        <v>650-699</v>
      </c>
    </row>
    <row r="95" spans="1:19" x14ac:dyDescent="0.3">
      <c r="A95" s="11" t="s">
        <v>107</v>
      </c>
      <c r="B95" s="11" t="s">
        <v>1024</v>
      </c>
      <c r="C95" s="11">
        <v>31</v>
      </c>
      <c r="D95" s="11" t="s">
        <v>1035</v>
      </c>
      <c r="E95" s="11" t="s">
        <v>1036</v>
      </c>
      <c r="F95" s="12">
        <v>908618</v>
      </c>
      <c r="G95" s="12">
        <v>1789127</v>
      </c>
      <c r="H95" s="11">
        <v>14.68</v>
      </c>
      <c r="I95" s="11">
        <v>120</v>
      </c>
      <c r="J95" s="11">
        <v>668</v>
      </c>
      <c r="K95" s="11" t="s">
        <v>1042</v>
      </c>
      <c r="L95" s="11" t="s">
        <v>1044</v>
      </c>
      <c r="M95" s="13">
        <v>43201</v>
      </c>
      <c r="N95" s="11" t="s">
        <v>1047</v>
      </c>
      <c r="O95" s="14">
        <f t="shared" si="6"/>
        <v>28515.275467021096</v>
      </c>
      <c r="P95" s="14">
        <f t="shared" si="7"/>
        <v>3421833.0560425315</v>
      </c>
      <c r="Q95" s="14">
        <f t="shared" si="8"/>
        <v>1632706.0560425315</v>
      </c>
      <c r="R95" s="11">
        <f t="shared" ca="1" si="9"/>
        <v>7</v>
      </c>
      <c r="S95" s="11" t="str">
        <f t="shared" si="10"/>
        <v>650-699</v>
      </c>
    </row>
    <row r="96" spans="1:19" x14ac:dyDescent="0.3">
      <c r="A96" s="11" t="s">
        <v>108</v>
      </c>
      <c r="B96" s="11" t="s">
        <v>1017</v>
      </c>
      <c r="C96" s="11">
        <v>34</v>
      </c>
      <c r="D96" s="11" t="s">
        <v>1035</v>
      </c>
      <c r="E96" s="11" t="s">
        <v>1037</v>
      </c>
      <c r="F96" s="12">
        <v>874133</v>
      </c>
      <c r="G96" s="12">
        <v>851832</v>
      </c>
      <c r="H96" s="11">
        <v>9.91</v>
      </c>
      <c r="I96" s="11">
        <v>48</v>
      </c>
      <c r="J96" s="11">
        <v>737</v>
      </c>
      <c r="K96" s="11" t="s">
        <v>1042</v>
      </c>
      <c r="L96" s="11" t="s">
        <v>1044</v>
      </c>
      <c r="M96" s="13">
        <v>45231</v>
      </c>
      <c r="N96" s="11" t="s">
        <v>1048</v>
      </c>
      <c r="O96" s="14">
        <f t="shared" si="6"/>
        <v>21567.860944474065</v>
      </c>
      <c r="P96" s="14">
        <f t="shared" si="7"/>
        <v>1035257.3253347551</v>
      </c>
      <c r="Q96" s="14">
        <f t="shared" si="8"/>
        <v>183425.32533475512</v>
      </c>
      <c r="R96" s="11">
        <f t="shared" ca="1" si="9"/>
        <v>2</v>
      </c>
      <c r="S96" s="11" t="str">
        <f t="shared" si="10"/>
        <v>700-749</v>
      </c>
    </row>
    <row r="97" spans="1:19" x14ac:dyDescent="0.3">
      <c r="A97" s="11" t="s">
        <v>109</v>
      </c>
      <c r="B97" s="11" t="s">
        <v>1015</v>
      </c>
      <c r="C97" s="11">
        <v>54</v>
      </c>
      <c r="D97" s="11" t="s">
        <v>1035</v>
      </c>
      <c r="E97" s="11" t="s">
        <v>1038</v>
      </c>
      <c r="F97" s="12">
        <v>494506</v>
      </c>
      <c r="G97" s="12">
        <v>1589300</v>
      </c>
      <c r="H97" s="11">
        <v>10.73</v>
      </c>
      <c r="I97" s="11">
        <v>96</v>
      </c>
      <c r="J97" s="11">
        <v>757</v>
      </c>
      <c r="K97" s="11" t="s">
        <v>1039</v>
      </c>
      <c r="L97" s="11" t="s">
        <v>1043</v>
      </c>
      <c r="M97" s="13">
        <v>44985</v>
      </c>
      <c r="N97" s="11" t="s">
        <v>1046</v>
      </c>
      <c r="O97" s="14">
        <f t="shared" si="6"/>
        <v>24734.542967988604</v>
      </c>
      <c r="P97" s="14">
        <f t="shared" si="7"/>
        <v>2374516.1249269061</v>
      </c>
      <c r="Q97" s="14">
        <f t="shared" si="8"/>
        <v>785216.12492690608</v>
      </c>
      <c r="R97" s="11">
        <f t="shared" ca="1" si="9"/>
        <v>2</v>
      </c>
      <c r="S97" s="11" t="str">
        <f t="shared" si="10"/>
        <v>750-799</v>
      </c>
    </row>
    <row r="98" spans="1:19" x14ac:dyDescent="0.3">
      <c r="A98" s="11" t="s">
        <v>110</v>
      </c>
      <c r="B98" s="11" t="s">
        <v>1030</v>
      </c>
      <c r="C98" s="11">
        <v>43</v>
      </c>
      <c r="D98" s="11" t="s">
        <v>1035</v>
      </c>
      <c r="E98" s="11" t="s">
        <v>1037</v>
      </c>
      <c r="F98" s="12">
        <v>525762</v>
      </c>
      <c r="G98" s="12">
        <v>1605051</v>
      </c>
      <c r="H98" s="11">
        <v>12.84</v>
      </c>
      <c r="I98" s="11">
        <v>120</v>
      </c>
      <c r="J98" s="11">
        <v>694</v>
      </c>
      <c r="K98" s="11" t="s">
        <v>1039</v>
      </c>
      <c r="L98" s="11" t="s">
        <v>1044</v>
      </c>
      <c r="M98" s="13">
        <v>45122</v>
      </c>
      <c r="N98" s="11" t="s">
        <v>1046</v>
      </c>
      <c r="O98" s="14">
        <f t="shared" si="6"/>
        <v>23813.901947416278</v>
      </c>
      <c r="P98" s="14">
        <f t="shared" si="7"/>
        <v>2857668.2336899536</v>
      </c>
      <c r="Q98" s="14">
        <f t="shared" si="8"/>
        <v>1252617.2336899536</v>
      </c>
      <c r="R98" s="11">
        <f t="shared" ca="1" si="9"/>
        <v>2</v>
      </c>
      <c r="S98" s="11" t="str">
        <f t="shared" si="10"/>
        <v>650-699</v>
      </c>
    </row>
    <row r="99" spans="1:19" x14ac:dyDescent="0.3">
      <c r="A99" s="11" t="s">
        <v>111</v>
      </c>
      <c r="B99" s="11" t="s">
        <v>1029</v>
      </c>
      <c r="C99" s="11">
        <v>53</v>
      </c>
      <c r="D99" s="11" t="s">
        <v>1035</v>
      </c>
      <c r="E99" s="11" t="s">
        <v>1036</v>
      </c>
      <c r="F99" s="12">
        <v>1148316</v>
      </c>
      <c r="G99" s="12">
        <v>664893</v>
      </c>
      <c r="H99" s="11">
        <v>11.49</v>
      </c>
      <c r="I99" s="11">
        <v>36</v>
      </c>
      <c r="J99" s="11">
        <v>772</v>
      </c>
      <c r="K99" s="11" t="s">
        <v>1041</v>
      </c>
      <c r="L99" s="11" t="s">
        <v>1043</v>
      </c>
      <c r="M99" s="13">
        <v>44347</v>
      </c>
      <c r="N99" s="11" t="s">
        <v>1047</v>
      </c>
      <c r="O99" s="14">
        <f t="shared" si="6"/>
        <v>21922.353793769082</v>
      </c>
      <c r="P99" s="14">
        <f t="shared" si="7"/>
        <v>789204.73657568695</v>
      </c>
      <c r="Q99" s="14">
        <f t="shared" si="8"/>
        <v>124311.73657568695</v>
      </c>
      <c r="R99" s="11">
        <f t="shared" ca="1" si="9"/>
        <v>4</v>
      </c>
      <c r="S99" s="11" t="str">
        <f t="shared" si="10"/>
        <v>750-799</v>
      </c>
    </row>
    <row r="100" spans="1:19" x14ac:dyDescent="0.3">
      <c r="A100" s="11" t="s">
        <v>112</v>
      </c>
      <c r="B100" s="11" t="s">
        <v>1024</v>
      </c>
      <c r="C100" s="11">
        <v>43</v>
      </c>
      <c r="D100" s="11" t="s">
        <v>1035</v>
      </c>
      <c r="E100" s="11" t="s">
        <v>1036</v>
      </c>
      <c r="F100" s="12">
        <v>991101</v>
      </c>
      <c r="G100" s="12">
        <v>1149546</v>
      </c>
      <c r="H100" s="11">
        <v>12.12</v>
      </c>
      <c r="I100" s="11">
        <v>72</v>
      </c>
      <c r="J100" s="11">
        <v>664</v>
      </c>
      <c r="K100" s="11" t="s">
        <v>1040</v>
      </c>
      <c r="L100" s="11" t="s">
        <v>1043</v>
      </c>
      <c r="M100" s="13">
        <v>43500</v>
      </c>
      <c r="N100" s="11" t="s">
        <v>1046</v>
      </c>
      <c r="O100" s="14">
        <f t="shared" si="6"/>
        <v>22545.645331892949</v>
      </c>
      <c r="P100" s="14">
        <f t="shared" si="7"/>
        <v>1623286.4638962923</v>
      </c>
      <c r="Q100" s="14">
        <f t="shared" si="8"/>
        <v>473740.46389629226</v>
      </c>
      <c r="R100" s="11">
        <f t="shared" ca="1" si="9"/>
        <v>6</v>
      </c>
      <c r="S100" s="11" t="str">
        <f t="shared" si="10"/>
        <v>650-699</v>
      </c>
    </row>
    <row r="101" spans="1:19" x14ac:dyDescent="0.3">
      <c r="A101" s="11" t="s">
        <v>113</v>
      </c>
      <c r="B101" s="11" t="s">
        <v>1017</v>
      </c>
      <c r="C101" s="11">
        <v>31</v>
      </c>
      <c r="D101" s="11" t="s">
        <v>1035</v>
      </c>
      <c r="E101" s="11" t="s">
        <v>1036</v>
      </c>
      <c r="F101" s="12">
        <v>892838</v>
      </c>
      <c r="G101" s="12">
        <v>875322</v>
      </c>
      <c r="H101" s="11">
        <v>9.27</v>
      </c>
      <c r="I101" s="11">
        <v>36</v>
      </c>
      <c r="J101" s="11">
        <v>734</v>
      </c>
      <c r="K101" s="11" t="s">
        <v>1041</v>
      </c>
      <c r="L101" s="11" t="s">
        <v>1044</v>
      </c>
      <c r="M101" s="13">
        <v>44316</v>
      </c>
      <c r="N101" s="11" t="s">
        <v>1048</v>
      </c>
      <c r="O101" s="14">
        <f t="shared" si="6"/>
        <v>27945.130205335205</v>
      </c>
      <c r="P101" s="14">
        <f t="shared" si="7"/>
        <v>1006024.6873920674</v>
      </c>
      <c r="Q101" s="14">
        <f t="shared" si="8"/>
        <v>130702.6873920674</v>
      </c>
      <c r="R101" s="11">
        <f t="shared" ca="1" si="9"/>
        <v>4</v>
      </c>
      <c r="S101" s="11" t="str">
        <f t="shared" si="10"/>
        <v>700-749</v>
      </c>
    </row>
    <row r="102" spans="1:19" x14ac:dyDescent="0.3">
      <c r="A102" s="11" t="s">
        <v>114</v>
      </c>
      <c r="B102" s="11" t="s">
        <v>1016</v>
      </c>
      <c r="C102" s="11">
        <v>54</v>
      </c>
      <c r="D102" s="11" t="s">
        <v>1034</v>
      </c>
      <c r="E102" s="11" t="s">
        <v>1038</v>
      </c>
      <c r="F102" s="12">
        <v>538994</v>
      </c>
      <c r="G102" s="12">
        <v>205454</v>
      </c>
      <c r="H102" s="11">
        <v>11.92</v>
      </c>
      <c r="I102" s="11">
        <v>36</v>
      </c>
      <c r="J102" s="11">
        <v>640</v>
      </c>
      <c r="K102" s="11" t="s">
        <v>1039</v>
      </c>
      <c r="L102" s="11" t="s">
        <v>1044</v>
      </c>
      <c r="M102" s="13">
        <v>45323</v>
      </c>
      <c r="N102" s="11" t="s">
        <v>1046</v>
      </c>
      <c r="O102" s="14">
        <f t="shared" si="6"/>
        <v>6816.1651605096877</v>
      </c>
      <c r="P102" s="14">
        <f t="shared" si="7"/>
        <v>245381.94577834875</v>
      </c>
      <c r="Q102" s="14">
        <f t="shared" si="8"/>
        <v>39927.945778348745</v>
      </c>
      <c r="R102" s="11">
        <f t="shared" ca="1" si="9"/>
        <v>1</v>
      </c>
      <c r="S102" s="11" t="str">
        <f t="shared" si="10"/>
        <v>600-649</v>
      </c>
    </row>
    <row r="103" spans="1:19" x14ac:dyDescent="0.3">
      <c r="A103" s="11" t="s">
        <v>115</v>
      </c>
      <c r="B103" s="11" t="s">
        <v>1025</v>
      </c>
      <c r="C103" s="11">
        <v>39</v>
      </c>
      <c r="D103" s="11" t="s">
        <v>1035</v>
      </c>
      <c r="E103" s="11" t="s">
        <v>1038</v>
      </c>
      <c r="F103" s="12">
        <v>1968135</v>
      </c>
      <c r="G103" s="12">
        <v>1969160</v>
      </c>
      <c r="H103" s="11">
        <v>10.56</v>
      </c>
      <c r="I103" s="11">
        <v>60</v>
      </c>
      <c r="J103" s="11">
        <v>649</v>
      </c>
      <c r="K103" s="11" t="s">
        <v>1039</v>
      </c>
      <c r="L103" s="11" t="s">
        <v>1044</v>
      </c>
      <c r="M103" s="13">
        <v>45106</v>
      </c>
      <c r="N103" s="11" t="s">
        <v>1046</v>
      </c>
      <c r="O103" s="14">
        <f t="shared" si="6"/>
        <v>42383.481465931276</v>
      </c>
      <c r="P103" s="14">
        <f t="shared" si="7"/>
        <v>2543008.8879558765</v>
      </c>
      <c r="Q103" s="14">
        <f t="shared" si="8"/>
        <v>573848.88795587653</v>
      </c>
      <c r="R103" s="11">
        <f t="shared" ca="1" si="9"/>
        <v>2</v>
      </c>
      <c r="S103" s="11" t="str">
        <f t="shared" si="10"/>
        <v>600-649</v>
      </c>
    </row>
    <row r="104" spans="1:19" x14ac:dyDescent="0.3">
      <c r="A104" s="11" t="s">
        <v>116</v>
      </c>
      <c r="B104" s="11" t="s">
        <v>1020</v>
      </c>
      <c r="C104" s="11">
        <v>53</v>
      </c>
      <c r="D104" s="11" t="s">
        <v>1034</v>
      </c>
      <c r="E104" s="11" t="s">
        <v>1037</v>
      </c>
      <c r="F104" s="12">
        <v>972774</v>
      </c>
      <c r="G104" s="12">
        <v>682365</v>
      </c>
      <c r="H104" s="11">
        <v>13.13</v>
      </c>
      <c r="I104" s="11">
        <v>36</v>
      </c>
      <c r="J104" s="11">
        <v>681</v>
      </c>
      <c r="K104" s="11" t="s">
        <v>1040</v>
      </c>
      <c r="L104" s="11" t="s">
        <v>1043</v>
      </c>
      <c r="M104" s="13">
        <v>44918</v>
      </c>
      <c r="N104" s="11" t="s">
        <v>1048</v>
      </c>
      <c r="O104" s="14">
        <f t="shared" si="6"/>
        <v>23034.323863136211</v>
      </c>
      <c r="P104" s="14">
        <f t="shared" si="7"/>
        <v>829235.65907290357</v>
      </c>
      <c r="Q104" s="14">
        <f t="shared" si="8"/>
        <v>146870.65907290357</v>
      </c>
      <c r="R104" s="11">
        <f t="shared" ca="1" si="9"/>
        <v>3</v>
      </c>
      <c r="S104" s="11" t="str">
        <f t="shared" si="10"/>
        <v>650-699</v>
      </c>
    </row>
    <row r="105" spans="1:19" x14ac:dyDescent="0.3">
      <c r="A105" s="11" t="s">
        <v>117</v>
      </c>
      <c r="B105" s="11" t="s">
        <v>1027</v>
      </c>
      <c r="C105" s="11">
        <v>57</v>
      </c>
      <c r="D105" s="11" t="s">
        <v>1035</v>
      </c>
      <c r="E105" s="11" t="s">
        <v>1038</v>
      </c>
      <c r="F105" s="12">
        <v>1434302</v>
      </c>
      <c r="G105" s="12">
        <v>1755192</v>
      </c>
      <c r="H105" s="11">
        <v>10.96</v>
      </c>
      <c r="I105" s="11">
        <v>48</v>
      </c>
      <c r="J105" s="11">
        <v>693</v>
      </c>
      <c r="K105" s="11" t="s">
        <v>1041</v>
      </c>
      <c r="L105" s="11" t="s">
        <v>1044</v>
      </c>
      <c r="M105" s="13">
        <v>43618</v>
      </c>
      <c r="N105" s="11" t="s">
        <v>1045</v>
      </c>
      <c r="O105" s="14">
        <f t="shared" si="6"/>
        <v>45329.767099426354</v>
      </c>
      <c r="P105" s="14">
        <f t="shared" si="7"/>
        <v>2175828.8207724649</v>
      </c>
      <c r="Q105" s="14">
        <f t="shared" si="8"/>
        <v>420636.82077246485</v>
      </c>
      <c r="R105" s="11">
        <f t="shared" ca="1" si="9"/>
        <v>6</v>
      </c>
      <c r="S105" s="11" t="str">
        <f t="shared" si="10"/>
        <v>650-699</v>
      </c>
    </row>
    <row r="106" spans="1:19" x14ac:dyDescent="0.3">
      <c r="A106" s="11" t="s">
        <v>118</v>
      </c>
      <c r="B106" s="11" t="s">
        <v>1031</v>
      </c>
      <c r="C106" s="11">
        <v>32</v>
      </c>
      <c r="D106" s="11" t="s">
        <v>1034</v>
      </c>
      <c r="E106" s="11" t="s">
        <v>1038</v>
      </c>
      <c r="F106" s="12">
        <v>1367394</v>
      </c>
      <c r="G106" s="12">
        <v>644393</v>
      </c>
      <c r="H106" s="11">
        <v>11.19</v>
      </c>
      <c r="I106" s="11">
        <v>84</v>
      </c>
      <c r="J106" s="11">
        <v>838</v>
      </c>
      <c r="K106" s="11" t="s">
        <v>1040</v>
      </c>
      <c r="L106" s="11" t="s">
        <v>1044</v>
      </c>
      <c r="M106" s="13">
        <v>43398</v>
      </c>
      <c r="N106" s="11" t="s">
        <v>1046</v>
      </c>
      <c r="O106" s="14">
        <f t="shared" si="6"/>
        <v>11098.058485161724</v>
      </c>
      <c r="P106" s="14">
        <f t="shared" si="7"/>
        <v>932236.91275358479</v>
      </c>
      <c r="Q106" s="14">
        <f t="shared" si="8"/>
        <v>287843.91275358479</v>
      </c>
      <c r="R106" s="11">
        <f t="shared" ca="1" si="9"/>
        <v>7</v>
      </c>
      <c r="S106" s="11" t="str">
        <f t="shared" si="10"/>
        <v>800-850</v>
      </c>
    </row>
    <row r="107" spans="1:19" x14ac:dyDescent="0.3">
      <c r="A107" s="11" t="s">
        <v>119</v>
      </c>
      <c r="B107" s="11" t="s">
        <v>1017</v>
      </c>
      <c r="C107" s="11">
        <v>37</v>
      </c>
      <c r="D107" s="11" t="s">
        <v>1035</v>
      </c>
      <c r="E107" s="11" t="s">
        <v>1037</v>
      </c>
      <c r="F107" s="12">
        <v>1747790</v>
      </c>
      <c r="G107" s="12">
        <v>1755817</v>
      </c>
      <c r="H107" s="11">
        <v>7.74</v>
      </c>
      <c r="I107" s="11">
        <v>84</v>
      </c>
      <c r="J107" s="11">
        <v>804</v>
      </c>
      <c r="K107" s="11" t="s">
        <v>1041</v>
      </c>
      <c r="L107" s="11" t="s">
        <v>1044</v>
      </c>
      <c r="M107" s="13">
        <v>44582</v>
      </c>
      <c r="N107" s="11" t="s">
        <v>1048</v>
      </c>
      <c r="O107" s="14">
        <f t="shared" si="6"/>
        <v>27139.65389873787</v>
      </c>
      <c r="P107" s="14">
        <f t="shared" si="7"/>
        <v>2279730.9274939811</v>
      </c>
      <c r="Q107" s="14">
        <f t="shared" si="8"/>
        <v>523913.92749398109</v>
      </c>
      <c r="R107" s="11">
        <f t="shared" ca="1" si="9"/>
        <v>3</v>
      </c>
      <c r="S107" s="11" t="str">
        <f t="shared" si="10"/>
        <v>800-850</v>
      </c>
    </row>
    <row r="108" spans="1:19" x14ac:dyDescent="0.3">
      <c r="A108" s="11" t="s">
        <v>120</v>
      </c>
      <c r="B108" s="11" t="s">
        <v>1023</v>
      </c>
      <c r="C108" s="11">
        <v>31</v>
      </c>
      <c r="D108" s="11" t="s">
        <v>1034</v>
      </c>
      <c r="E108" s="11" t="s">
        <v>1037</v>
      </c>
      <c r="F108" s="12">
        <v>696967</v>
      </c>
      <c r="G108" s="12">
        <v>1805046</v>
      </c>
      <c r="H108" s="11">
        <v>8.64</v>
      </c>
      <c r="I108" s="11">
        <v>60</v>
      </c>
      <c r="J108" s="11">
        <v>690</v>
      </c>
      <c r="K108" s="11" t="s">
        <v>1040</v>
      </c>
      <c r="L108" s="11" t="s">
        <v>1044</v>
      </c>
      <c r="M108" s="13">
        <v>43364</v>
      </c>
      <c r="N108" s="11" t="s">
        <v>1045</v>
      </c>
      <c r="O108" s="14">
        <f t="shared" si="6"/>
        <v>37155.197153863483</v>
      </c>
      <c r="P108" s="14">
        <f t="shared" si="7"/>
        <v>2229311.8292318089</v>
      </c>
      <c r="Q108" s="14">
        <f t="shared" si="8"/>
        <v>424265.82923180889</v>
      </c>
      <c r="R108" s="11">
        <f t="shared" ca="1" si="9"/>
        <v>7</v>
      </c>
      <c r="S108" s="11" t="str">
        <f t="shared" si="10"/>
        <v>650-699</v>
      </c>
    </row>
    <row r="109" spans="1:19" x14ac:dyDescent="0.3">
      <c r="A109" s="11" t="s">
        <v>121</v>
      </c>
      <c r="B109" s="11" t="s">
        <v>1022</v>
      </c>
      <c r="C109" s="11">
        <v>25</v>
      </c>
      <c r="D109" s="11" t="s">
        <v>1035</v>
      </c>
      <c r="E109" s="11" t="s">
        <v>1038</v>
      </c>
      <c r="F109" s="12">
        <v>811616</v>
      </c>
      <c r="G109" s="12">
        <v>1149339</v>
      </c>
      <c r="H109" s="11">
        <v>8.42</v>
      </c>
      <c r="I109" s="11">
        <v>84</v>
      </c>
      <c r="J109" s="11">
        <v>670</v>
      </c>
      <c r="K109" s="11" t="s">
        <v>1042</v>
      </c>
      <c r="L109" s="11" t="s">
        <v>1044</v>
      </c>
      <c r="M109" s="13">
        <v>43477</v>
      </c>
      <c r="N109" s="11" t="s">
        <v>1048</v>
      </c>
      <c r="O109" s="14">
        <f t="shared" si="6"/>
        <v>18155.287283201003</v>
      </c>
      <c r="P109" s="14">
        <f t="shared" si="7"/>
        <v>1525044.1317888843</v>
      </c>
      <c r="Q109" s="14">
        <f t="shared" si="8"/>
        <v>375705.13178888429</v>
      </c>
      <c r="R109" s="11">
        <f t="shared" ca="1" si="9"/>
        <v>6</v>
      </c>
      <c r="S109" s="11" t="str">
        <f t="shared" si="10"/>
        <v>650-699</v>
      </c>
    </row>
    <row r="110" spans="1:19" x14ac:dyDescent="0.3">
      <c r="A110" s="11" t="s">
        <v>122</v>
      </c>
      <c r="B110" s="11" t="s">
        <v>1025</v>
      </c>
      <c r="C110" s="11">
        <v>53</v>
      </c>
      <c r="D110" s="11" t="s">
        <v>1034</v>
      </c>
      <c r="E110" s="11" t="s">
        <v>1036</v>
      </c>
      <c r="F110" s="12">
        <v>1070139</v>
      </c>
      <c r="G110" s="12">
        <v>280278</v>
      </c>
      <c r="H110" s="11">
        <v>9.75</v>
      </c>
      <c r="I110" s="11">
        <v>72</v>
      </c>
      <c r="J110" s="11">
        <v>640</v>
      </c>
      <c r="K110" s="11" t="s">
        <v>1042</v>
      </c>
      <c r="L110" s="11" t="s">
        <v>1044</v>
      </c>
      <c r="M110" s="13">
        <v>43438</v>
      </c>
      <c r="N110" s="11" t="s">
        <v>1045</v>
      </c>
      <c r="O110" s="14">
        <f t="shared" si="6"/>
        <v>5157.1195801833928</v>
      </c>
      <c r="P110" s="14">
        <f t="shared" si="7"/>
        <v>371312.60977320431</v>
      </c>
      <c r="Q110" s="14">
        <f t="shared" si="8"/>
        <v>91034.609773204313</v>
      </c>
      <c r="R110" s="11">
        <f t="shared" ca="1" si="9"/>
        <v>7</v>
      </c>
      <c r="S110" s="11" t="str">
        <f t="shared" si="10"/>
        <v>600-649</v>
      </c>
    </row>
    <row r="111" spans="1:19" x14ac:dyDescent="0.3">
      <c r="A111" s="11" t="s">
        <v>123</v>
      </c>
      <c r="B111" s="11" t="s">
        <v>1022</v>
      </c>
      <c r="C111" s="11">
        <v>39</v>
      </c>
      <c r="D111" s="11" t="s">
        <v>1034</v>
      </c>
      <c r="E111" s="11" t="s">
        <v>1037</v>
      </c>
      <c r="F111" s="12">
        <v>1709829</v>
      </c>
      <c r="G111" s="12">
        <v>513469</v>
      </c>
      <c r="H111" s="11">
        <v>12.84</v>
      </c>
      <c r="I111" s="11">
        <v>84</v>
      </c>
      <c r="J111" s="11">
        <v>641</v>
      </c>
      <c r="K111" s="11" t="s">
        <v>1039</v>
      </c>
      <c r="L111" s="11" t="s">
        <v>1044</v>
      </c>
      <c r="M111" s="13">
        <v>43876</v>
      </c>
      <c r="N111" s="11" t="s">
        <v>1047</v>
      </c>
      <c r="O111" s="14">
        <f t="shared" si="6"/>
        <v>9296.4028711516639</v>
      </c>
      <c r="P111" s="14">
        <f t="shared" si="7"/>
        <v>780897.84117673978</v>
      </c>
      <c r="Q111" s="14">
        <f t="shared" si="8"/>
        <v>267428.84117673978</v>
      </c>
      <c r="R111" s="11">
        <f t="shared" ca="1" si="9"/>
        <v>5</v>
      </c>
      <c r="S111" s="11" t="str">
        <f t="shared" si="10"/>
        <v>600-649</v>
      </c>
    </row>
    <row r="112" spans="1:19" x14ac:dyDescent="0.3">
      <c r="A112" s="11" t="s">
        <v>124</v>
      </c>
      <c r="B112" s="11" t="s">
        <v>1030</v>
      </c>
      <c r="C112" s="11">
        <v>48</v>
      </c>
      <c r="D112" s="11" t="s">
        <v>1034</v>
      </c>
      <c r="E112" s="11" t="s">
        <v>1036</v>
      </c>
      <c r="F112" s="12">
        <v>704729</v>
      </c>
      <c r="G112" s="12">
        <v>1068994</v>
      </c>
      <c r="H112" s="11">
        <v>8.4600000000000009</v>
      </c>
      <c r="I112" s="11">
        <v>84</v>
      </c>
      <c r="J112" s="11">
        <v>819</v>
      </c>
      <c r="K112" s="11" t="s">
        <v>1042</v>
      </c>
      <c r="L112" s="11" t="s">
        <v>1044</v>
      </c>
      <c r="M112" s="13">
        <v>43897</v>
      </c>
      <c r="N112" s="11" t="s">
        <v>1045</v>
      </c>
      <c r="O112" s="14">
        <f t="shared" si="6"/>
        <v>16907.613363000306</v>
      </c>
      <c r="P112" s="14">
        <f t="shared" si="7"/>
        <v>1420239.5224920257</v>
      </c>
      <c r="Q112" s="14">
        <f t="shared" si="8"/>
        <v>351245.52249202575</v>
      </c>
      <c r="R112" s="11">
        <f t="shared" ca="1" si="9"/>
        <v>5</v>
      </c>
      <c r="S112" s="11" t="str">
        <f t="shared" si="10"/>
        <v>800-850</v>
      </c>
    </row>
    <row r="113" spans="1:19" x14ac:dyDescent="0.3">
      <c r="A113" s="11" t="s">
        <v>125</v>
      </c>
      <c r="B113" s="11" t="s">
        <v>1017</v>
      </c>
      <c r="C113" s="11">
        <v>42</v>
      </c>
      <c r="D113" s="11" t="s">
        <v>1034</v>
      </c>
      <c r="E113" s="11" t="s">
        <v>1038</v>
      </c>
      <c r="F113" s="12">
        <v>1324662</v>
      </c>
      <c r="G113" s="12">
        <v>792667</v>
      </c>
      <c r="H113" s="11">
        <v>9.76</v>
      </c>
      <c r="I113" s="11">
        <v>60</v>
      </c>
      <c r="J113" s="11">
        <v>727</v>
      </c>
      <c r="K113" s="11" t="s">
        <v>1042</v>
      </c>
      <c r="L113" s="11" t="s">
        <v>1043</v>
      </c>
      <c r="M113" s="13">
        <v>43858</v>
      </c>
      <c r="N113" s="11" t="s">
        <v>1045</v>
      </c>
      <c r="O113" s="14">
        <f t="shared" si="6"/>
        <v>16748.37809167197</v>
      </c>
      <c r="P113" s="14">
        <f t="shared" si="7"/>
        <v>1004902.6855003182</v>
      </c>
      <c r="Q113" s="14">
        <f t="shared" si="8"/>
        <v>212235.68550031818</v>
      </c>
      <c r="R113" s="11">
        <f t="shared" ca="1" si="9"/>
        <v>5</v>
      </c>
      <c r="S113" s="11" t="str">
        <f t="shared" si="10"/>
        <v>700-749</v>
      </c>
    </row>
    <row r="114" spans="1:19" x14ac:dyDescent="0.3">
      <c r="A114" s="11" t="s">
        <v>126</v>
      </c>
      <c r="B114" s="11" t="s">
        <v>1027</v>
      </c>
      <c r="C114" s="11">
        <v>26</v>
      </c>
      <c r="D114" s="11" t="s">
        <v>1034</v>
      </c>
      <c r="E114" s="11" t="s">
        <v>1037</v>
      </c>
      <c r="F114" s="12">
        <v>1008625</v>
      </c>
      <c r="G114" s="12">
        <v>277981</v>
      </c>
      <c r="H114" s="11">
        <v>8.73</v>
      </c>
      <c r="I114" s="11">
        <v>36</v>
      </c>
      <c r="J114" s="11">
        <v>653</v>
      </c>
      <c r="K114" s="11" t="s">
        <v>1040</v>
      </c>
      <c r="L114" s="11" t="s">
        <v>1044</v>
      </c>
      <c r="M114" s="13">
        <v>44515</v>
      </c>
      <c r="N114" s="11" t="s">
        <v>1046</v>
      </c>
      <c r="O114" s="14">
        <f t="shared" si="6"/>
        <v>8804.8314129391947</v>
      </c>
      <c r="P114" s="14">
        <f t="shared" si="7"/>
        <v>316973.93086581101</v>
      </c>
      <c r="Q114" s="14">
        <f t="shared" si="8"/>
        <v>38992.930865811009</v>
      </c>
      <c r="R114" s="11">
        <f t="shared" ca="1" si="9"/>
        <v>4</v>
      </c>
      <c r="S114" s="11" t="str">
        <f t="shared" si="10"/>
        <v>650-699</v>
      </c>
    </row>
    <row r="115" spans="1:19" x14ac:dyDescent="0.3">
      <c r="A115" s="11" t="s">
        <v>127</v>
      </c>
      <c r="B115" s="11" t="s">
        <v>1015</v>
      </c>
      <c r="C115" s="11">
        <v>35</v>
      </c>
      <c r="D115" s="11" t="s">
        <v>1034</v>
      </c>
      <c r="E115" s="11" t="s">
        <v>1037</v>
      </c>
      <c r="F115" s="12">
        <v>1023802</v>
      </c>
      <c r="G115" s="12">
        <v>652716</v>
      </c>
      <c r="H115" s="11">
        <v>11.51</v>
      </c>
      <c r="I115" s="11">
        <v>48</v>
      </c>
      <c r="J115" s="11">
        <v>825</v>
      </c>
      <c r="K115" s="11" t="s">
        <v>1042</v>
      </c>
      <c r="L115" s="11" t="s">
        <v>1044</v>
      </c>
      <c r="M115" s="13">
        <v>44484</v>
      </c>
      <c r="N115" s="11" t="s">
        <v>1046</v>
      </c>
      <c r="O115" s="14">
        <f t="shared" si="6"/>
        <v>17031.901014933919</v>
      </c>
      <c r="P115" s="14">
        <f t="shared" si="7"/>
        <v>817531.24871682818</v>
      </c>
      <c r="Q115" s="14">
        <f t="shared" si="8"/>
        <v>164815.24871682818</v>
      </c>
      <c r="R115" s="11">
        <f t="shared" ca="1" si="9"/>
        <v>4</v>
      </c>
      <c r="S115" s="11" t="str">
        <f t="shared" si="10"/>
        <v>800-850</v>
      </c>
    </row>
    <row r="116" spans="1:19" x14ac:dyDescent="0.3">
      <c r="A116" s="11" t="s">
        <v>128</v>
      </c>
      <c r="B116" s="11" t="s">
        <v>1021</v>
      </c>
      <c r="C116" s="11">
        <v>47</v>
      </c>
      <c r="D116" s="11" t="s">
        <v>1035</v>
      </c>
      <c r="E116" s="11" t="s">
        <v>1038</v>
      </c>
      <c r="F116" s="12">
        <v>1280084</v>
      </c>
      <c r="G116" s="12">
        <v>1775001</v>
      </c>
      <c r="H116" s="11">
        <v>13.03</v>
      </c>
      <c r="I116" s="11">
        <v>36</v>
      </c>
      <c r="J116" s="11">
        <v>613</v>
      </c>
      <c r="K116" s="11" t="s">
        <v>1041</v>
      </c>
      <c r="L116" s="11" t="s">
        <v>1044</v>
      </c>
      <c r="M116" s="13">
        <v>44473</v>
      </c>
      <c r="N116" s="11" t="s">
        <v>1048</v>
      </c>
      <c r="O116" s="14">
        <f t="shared" si="6"/>
        <v>59832.450257622877</v>
      </c>
      <c r="P116" s="14">
        <f t="shared" si="7"/>
        <v>2153968.2092744238</v>
      </c>
      <c r="Q116" s="14">
        <f t="shared" si="8"/>
        <v>378967.20927442377</v>
      </c>
      <c r="R116" s="11">
        <f t="shared" ca="1" si="9"/>
        <v>4</v>
      </c>
      <c r="S116" s="11" t="str">
        <f t="shared" si="10"/>
        <v>600-649</v>
      </c>
    </row>
    <row r="117" spans="1:19" x14ac:dyDescent="0.3">
      <c r="A117" s="11" t="s">
        <v>129</v>
      </c>
      <c r="B117" s="11" t="s">
        <v>1023</v>
      </c>
      <c r="C117" s="11">
        <v>51</v>
      </c>
      <c r="D117" s="11" t="s">
        <v>1035</v>
      </c>
      <c r="E117" s="11" t="s">
        <v>1036</v>
      </c>
      <c r="F117" s="12">
        <v>949465</v>
      </c>
      <c r="G117" s="12">
        <v>1385374</v>
      </c>
      <c r="H117" s="11">
        <v>13.89</v>
      </c>
      <c r="I117" s="11">
        <v>36</v>
      </c>
      <c r="J117" s="11">
        <v>661</v>
      </c>
      <c r="K117" s="11" t="s">
        <v>1042</v>
      </c>
      <c r="L117" s="11" t="s">
        <v>1044</v>
      </c>
      <c r="M117" s="13">
        <v>44565</v>
      </c>
      <c r="N117" s="11" t="s">
        <v>1047</v>
      </c>
      <c r="O117" s="14">
        <f t="shared" si="6"/>
        <v>47274.818391013992</v>
      </c>
      <c r="P117" s="14">
        <f t="shared" si="7"/>
        <v>1701893.4620765038</v>
      </c>
      <c r="Q117" s="14">
        <f t="shared" si="8"/>
        <v>316519.46207650378</v>
      </c>
      <c r="R117" s="11">
        <f t="shared" ca="1" si="9"/>
        <v>3</v>
      </c>
      <c r="S117" s="11" t="str">
        <f t="shared" si="10"/>
        <v>650-699</v>
      </c>
    </row>
    <row r="118" spans="1:19" x14ac:dyDescent="0.3">
      <c r="A118" s="11" t="s">
        <v>130</v>
      </c>
      <c r="B118" s="11" t="s">
        <v>1015</v>
      </c>
      <c r="C118" s="11">
        <v>55</v>
      </c>
      <c r="D118" s="11" t="s">
        <v>1035</v>
      </c>
      <c r="E118" s="11" t="s">
        <v>1037</v>
      </c>
      <c r="F118" s="12">
        <v>1808330</v>
      </c>
      <c r="G118" s="12">
        <v>1258959</v>
      </c>
      <c r="H118" s="11">
        <v>10.31</v>
      </c>
      <c r="I118" s="11">
        <v>72</v>
      </c>
      <c r="J118" s="11">
        <v>601</v>
      </c>
      <c r="K118" s="11" t="s">
        <v>1039</v>
      </c>
      <c r="L118" s="11" t="s">
        <v>1044</v>
      </c>
      <c r="M118" s="13">
        <v>43844</v>
      </c>
      <c r="N118" s="11" t="s">
        <v>1047</v>
      </c>
      <c r="O118" s="14">
        <f t="shared" si="6"/>
        <v>23520.559936692454</v>
      </c>
      <c r="P118" s="14">
        <f t="shared" si="7"/>
        <v>1693480.3154418566</v>
      </c>
      <c r="Q118" s="14">
        <f t="shared" si="8"/>
        <v>434521.31544185663</v>
      </c>
      <c r="R118" s="11">
        <f t="shared" ca="1" si="9"/>
        <v>5</v>
      </c>
      <c r="S118" s="11" t="str">
        <f t="shared" si="10"/>
        <v>600-649</v>
      </c>
    </row>
    <row r="119" spans="1:19" x14ac:dyDescent="0.3">
      <c r="A119" s="11" t="s">
        <v>131</v>
      </c>
      <c r="B119" s="11" t="s">
        <v>1029</v>
      </c>
      <c r="C119" s="11">
        <v>48</v>
      </c>
      <c r="D119" s="11" t="s">
        <v>1034</v>
      </c>
      <c r="E119" s="11" t="s">
        <v>1036</v>
      </c>
      <c r="F119" s="12">
        <v>1819369</v>
      </c>
      <c r="G119" s="12">
        <v>632225</v>
      </c>
      <c r="H119" s="11">
        <v>14.68</v>
      </c>
      <c r="I119" s="11">
        <v>72</v>
      </c>
      <c r="J119" s="11">
        <v>622</v>
      </c>
      <c r="K119" s="11" t="s">
        <v>1039</v>
      </c>
      <c r="L119" s="11" t="s">
        <v>1044</v>
      </c>
      <c r="M119" s="13">
        <v>44488</v>
      </c>
      <c r="N119" s="11" t="s">
        <v>1046</v>
      </c>
      <c r="O119" s="14">
        <f t="shared" si="6"/>
        <v>13258.782255105838</v>
      </c>
      <c r="P119" s="14">
        <f t="shared" si="7"/>
        <v>954632.32236762031</v>
      </c>
      <c r="Q119" s="14">
        <f t="shared" si="8"/>
        <v>322407.32236762031</v>
      </c>
      <c r="R119" s="11">
        <f t="shared" ca="1" si="9"/>
        <v>4</v>
      </c>
      <c r="S119" s="11" t="str">
        <f t="shared" si="10"/>
        <v>600-649</v>
      </c>
    </row>
    <row r="120" spans="1:19" x14ac:dyDescent="0.3">
      <c r="A120" s="11" t="s">
        <v>132</v>
      </c>
      <c r="B120" s="11" t="s">
        <v>1027</v>
      </c>
      <c r="C120" s="11">
        <v>34</v>
      </c>
      <c r="D120" s="11" t="s">
        <v>1035</v>
      </c>
      <c r="E120" s="11" t="s">
        <v>1037</v>
      </c>
      <c r="F120" s="12">
        <v>1602750</v>
      </c>
      <c r="G120" s="12">
        <v>1493279</v>
      </c>
      <c r="H120" s="11">
        <v>12.44</v>
      </c>
      <c r="I120" s="11">
        <v>60</v>
      </c>
      <c r="J120" s="11">
        <v>638</v>
      </c>
      <c r="K120" s="11" t="s">
        <v>1042</v>
      </c>
      <c r="L120" s="11" t="s">
        <v>1044</v>
      </c>
      <c r="M120" s="13">
        <v>45053</v>
      </c>
      <c r="N120" s="11" t="s">
        <v>1047</v>
      </c>
      <c r="O120" s="14">
        <f t="shared" si="6"/>
        <v>33550.145022266828</v>
      </c>
      <c r="P120" s="14">
        <f t="shared" si="7"/>
        <v>2013008.7013360097</v>
      </c>
      <c r="Q120" s="14">
        <f t="shared" si="8"/>
        <v>519729.70133600966</v>
      </c>
      <c r="R120" s="11">
        <f t="shared" ca="1" si="9"/>
        <v>2</v>
      </c>
      <c r="S120" s="11" t="str">
        <f t="shared" si="10"/>
        <v>600-649</v>
      </c>
    </row>
    <row r="121" spans="1:19" x14ac:dyDescent="0.3">
      <c r="A121" s="11" t="s">
        <v>133</v>
      </c>
      <c r="B121" s="11" t="s">
        <v>1032</v>
      </c>
      <c r="C121" s="11">
        <v>29</v>
      </c>
      <c r="D121" s="11" t="s">
        <v>1035</v>
      </c>
      <c r="E121" s="11" t="s">
        <v>1037</v>
      </c>
      <c r="F121" s="12">
        <v>826763</v>
      </c>
      <c r="G121" s="12">
        <v>1662768</v>
      </c>
      <c r="H121" s="11">
        <v>9.68</v>
      </c>
      <c r="I121" s="11">
        <v>60</v>
      </c>
      <c r="J121" s="11">
        <v>724</v>
      </c>
      <c r="K121" s="11" t="s">
        <v>1040</v>
      </c>
      <c r="L121" s="11" t="s">
        <v>1044</v>
      </c>
      <c r="M121" s="13">
        <v>45140</v>
      </c>
      <c r="N121" s="11" t="s">
        <v>1045</v>
      </c>
      <c r="O121" s="14">
        <f t="shared" si="6"/>
        <v>35067.667987746754</v>
      </c>
      <c r="P121" s="14">
        <f t="shared" si="7"/>
        <v>2104060.0792648052</v>
      </c>
      <c r="Q121" s="14">
        <f t="shared" si="8"/>
        <v>441292.07926480519</v>
      </c>
      <c r="R121" s="11">
        <f t="shared" ca="1" si="9"/>
        <v>2</v>
      </c>
      <c r="S121" s="11" t="str">
        <f t="shared" si="10"/>
        <v>700-749</v>
      </c>
    </row>
    <row r="122" spans="1:19" x14ac:dyDescent="0.3">
      <c r="A122" s="11" t="s">
        <v>134</v>
      </c>
      <c r="B122" s="11" t="s">
        <v>1030</v>
      </c>
      <c r="C122" s="11">
        <v>58</v>
      </c>
      <c r="D122" s="11" t="s">
        <v>1035</v>
      </c>
      <c r="E122" s="11" t="s">
        <v>1037</v>
      </c>
      <c r="F122" s="12">
        <v>1341482</v>
      </c>
      <c r="G122" s="12">
        <v>539674</v>
      </c>
      <c r="H122" s="11">
        <v>13.38</v>
      </c>
      <c r="I122" s="11">
        <v>60</v>
      </c>
      <c r="J122" s="11">
        <v>835</v>
      </c>
      <c r="K122" s="11" t="s">
        <v>1039</v>
      </c>
      <c r="L122" s="11" t="s">
        <v>1044</v>
      </c>
      <c r="M122" s="13">
        <v>44814</v>
      </c>
      <c r="N122" s="11" t="s">
        <v>1045</v>
      </c>
      <c r="O122" s="14">
        <f t="shared" si="6"/>
        <v>12384.477505114412</v>
      </c>
      <c r="P122" s="14">
        <f t="shared" si="7"/>
        <v>743068.65030686464</v>
      </c>
      <c r="Q122" s="14">
        <f t="shared" si="8"/>
        <v>203394.65030686464</v>
      </c>
      <c r="R122" s="11">
        <f t="shared" ca="1" si="9"/>
        <v>3</v>
      </c>
      <c r="S122" s="11" t="str">
        <f t="shared" si="10"/>
        <v>800-850</v>
      </c>
    </row>
    <row r="123" spans="1:19" x14ac:dyDescent="0.3">
      <c r="A123" s="11" t="s">
        <v>135</v>
      </c>
      <c r="B123" s="11" t="s">
        <v>1015</v>
      </c>
      <c r="C123" s="11">
        <v>44</v>
      </c>
      <c r="D123" s="11" t="s">
        <v>1034</v>
      </c>
      <c r="E123" s="11" t="s">
        <v>1038</v>
      </c>
      <c r="F123" s="12">
        <v>1992406</v>
      </c>
      <c r="G123" s="12">
        <v>260811</v>
      </c>
      <c r="H123" s="11">
        <v>12.08</v>
      </c>
      <c r="I123" s="11">
        <v>120</v>
      </c>
      <c r="J123" s="11">
        <v>754</v>
      </c>
      <c r="K123" s="11" t="s">
        <v>1042</v>
      </c>
      <c r="L123" s="11" t="s">
        <v>1044</v>
      </c>
      <c r="M123" s="13">
        <v>43364</v>
      </c>
      <c r="N123" s="11" t="s">
        <v>1046</v>
      </c>
      <c r="O123" s="14">
        <f t="shared" si="6"/>
        <v>3753.9517298902747</v>
      </c>
      <c r="P123" s="14">
        <f t="shared" si="7"/>
        <v>450474.20758683298</v>
      </c>
      <c r="Q123" s="14">
        <f t="shared" si="8"/>
        <v>189663.20758683298</v>
      </c>
      <c r="R123" s="11">
        <f t="shared" ca="1" si="9"/>
        <v>7</v>
      </c>
      <c r="S123" s="11" t="str">
        <f t="shared" si="10"/>
        <v>750-799</v>
      </c>
    </row>
    <row r="124" spans="1:19" x14ac:dyDescent="0.3">
      <c r="A124" s="11" t="s">
        <v>136</v>
      </c>
      <c r="B124" s="11" t="s">
        <v>1018</v>
      </c>
      <c r="C124" s="11">
        <v>50</v>
      </c>
      <c r="D124" s="11" t="s">
        <v>1034</v>
      </c>
      <c r="E124" s="11" t="s">
        <v>1036</v>
      </c>
      <c r="F124" s="12">
        <v>1084225</v>
      </c>
      <c r="G124" s="12">
        <v>1332536</v>
      </c>
      <c r="H124" s="11">
        <v>8.44</v>
      </c>
      <c r="I124" s="11">
        <v>36</v>
      </c>
      <c r="J124" s="11">
        <v>660</v>
      </c>
      <c r="K124" s="11" t="s">
        <v>1041</v>
      </c>
      <c r="L124" s="11" t="s">
        <v>1044</v>
      </c>
      <c r="M124" s="13">
        <v>44794</v>
      </c>
      <c r="N124" s="11" t="s">
        <v>1048</v>
      </c>
      <c r="O124" s="14">
        <f t="shared" si="6"/>
        <v>42027.842620438605</v>
      </c>
      <c r="P124" s="14">
        <f t="shared" si="7"/>
        <v>1513002.3343357898</v>
      </c>
      <c r="Q124" s="14">
        <f t="shared" si="8"/>
        <v>180466.33433578978</v>
      </c>
      <c r="R124" s="11">
        <f t="shared" ca="1" si="9"/>
        <v>3</v>
      </c>
      <c r="S124" s="11" t="str">
        <f t="shared" si="10"/>
        <v>650-699</v>
      </c>
    </row>
    <row r="125" spans="1:19" x14ac:dyDescent="0.3">
      <c r="A125" s="11" t="s">
        <v>137</v>
      </c>
      <c r="B125" s="11" t="s">
        <v>1029</v>
      </c>
      <c r="C125" s="11">
        <v>48</v>
      </c>
      <c r="D125" s="11" t="s">
        <v>1035</v>
      </c>
      <c r="E125" s="11" t="s">
        <v>1038</v>
      </c>
      <c r="F125" s="12">
        <v>1878209</v>
      </c>
      <c r="G125" s="12">
        <v>272775</v>
      </c>
      <c r="H125" s="11">
        <v>13.57</v>
      </c>
      <c r="I125" s="11">
        <v>60</v>
      </c>
      <c r="J125" s="11">
        <v>828</v>
      </c>
      <c r="K125" s="11" t="s">
        <v>1042</v>
      </c>
      <c r="L125" s="11" t="s">
        <v>1044</v>
      </c>
      <c r="M125" s="13">
        <v>43144</v>
      </c>
      <c r="N125" s="11" t="s">
        <v>1047</v>
      </c>
      <c r="O125" s="14">
        <f t="shared" si="6"/>
        <v>6286.352083177273</v>
      </c>
      <c r="P125" s="14">
        <f t="shared" si="7"/>
        <v>377181.12499063637</v>
      </c>
      <c r="Q125" s="14">
        <f t="shared" si="8"/>
        <v>104406.12499063637</v>
      </c>
      <c r="R125" s="11">
        <f t="shared" ca="1" si="9"/>
        <v>7</v>
      </c>
      <c r="S125" s="11" t="str">
        <f t="shared" si="10"/>
        <v>800-850</v>
      </c>
    </row>
    <row r="126" spans="1:19" x14ac:dyDescent="0.3">
      <c r="A126" s="11" t="s">
        <v>138</v>
      </c>
      <c r="B126" s="11" t="s">
        <v>1028</v>
      </c>
      <c r="C126" s="11">
        <v>33</v>
      </c>
      <c r="D126" s="11" t="s">
        <v>1035</v>
      </c>
      <c r="E126" s="11" t="s">
        <v>1038</v>
      </c>
      <c r="F126" s="12">
        <v>1687167</v>
      </c>
      <c r="G126" s="12">
        <v>1140957</v>
      </c>
      <c r="H126" s="11">
        <v>10.050000000000001</v>
      </c>
      <c r="I126" s="11">
        <v>60</v>
      </c>
      <c r="J126" s="11">
        <v>798</v>
      </c>
      <c r="K126" s="11" t="s">
        <v>1039</v>
      </c>
      <c r="L126" s="11" t="s">
        <v>1044</v>
      </c>
      <c r="M126" s="13">
        <v>44671</v>
      </c>
      <c r="N126" s="11" t="s">
        <v>1045</v>
      </c>
      <c r="O126" s="14">
        <f t="shared" si="6"/>
        <v>24270.04380047608</v>
      </c>
      <c r="P126" s="14">
        <f t="shared" si="7"/>
        <v>1456202.6280285649</v>
      </c>
      <c r="Q126" s="14">
        <f t="shared" si="8"/>
        <v>315245.62802856485</v>
      </c>
      <c r="R126" s="11">
        <f t="shared" ca="1" si="9"/>
        <v>3</v>
      </c>
      <c r="S126" s="11" t="str">
        <f t="shared" si="10"/>
        <v>750-799</v>
      </c>
    </row>
    <row r="127" spans="1:19" x14ac:dyDescent="0.3">
      <c r="A127" s="11" t="s">
        <v>139</v>
      </c>
      <c r="B127" s="11" t="s">
        <v>1028</v>
      </c>
      <c r="C127" s="11">
        <v>50</v>
      </c>
      <c r="D127" s="11" t="s">
        <v>1034</v>
      </c>
      <c r="E127" s="11" t="s">
        <v>1037</v>
      </c>
      <c r="F127" s="12">
        <v>351290</v>
      </c>
      <c r="G127" s="12">
        <v>1531757</v>
      </c>
      <c r="H127" s="11">
        <v>14.91</v>
      </c>
      <c r="I127" s="11">
        <v>120</v>
      </c>
      <c r="J127" s="11">
        <v>698</v>
      </c>
      <c r="K127" s="11" t="s">
        <v>1042</v>
      </c>
      <c r="L127" s="11" t="s">
        <v>1044</v>
      </c>
      <c r="M127" s="13">
        <v>43811</v>
      </c>
      <c r="N127" s="11" t="s">
        <v>1047</v>
      </c>
      <c r="O127" s="14">
        <f t="shared" si="6"/>
        <v>24628.240373747598</v>
      </c>
      <c r="P127" s="14">
        <f t="shared" si="7"/>
        <v>2955388.8448497117</v>
      </c>
      <c r="Q127" s="14">
        <f t="shared" si="8"/>
        <v>1423631.8448497117</v>
      </c>
      <c r="R127" s="11">
        <f t="shared" ca="1" si="9"/>
        <v>6</v>
      </c>
      <c r="S127" s="11" t="str">
        <f t="shared" si="10"/>
        <v>650-699</v>
      </c>
    </row>
    <row r="128" spans="1:19" x14ac:dyDescent="0.3">
      <c r="A128" s="11" t="s">
        <v>140</v>
      </c>
      <c r="B128" s="11" t="s">
        <v>1022</v>
      </c>
      <c r="C128" s="11">
        <v>42</v>
      </c>
      <c r="D128" s="11" t="s">
        <v>1034</v>
      </c>
      <c r="E128" s="11" t="s">
        <v>1038</v>
      </c>
      <c r="F128" s="12">
        <v>397281</v>
      </c>
      <c r="G128" s="12">
        <v>1170311</v>
      </c>
      <c r="H128" s="11">
        <v>13.66</v>
      </c>
      <c r="I128" s="11">
        <v>48</v>
      </c>
      <c r="J128" s="11">
        <v>724</v>
      </c>
      <c r="K128" s="11" t="s">
        <v>1041</v>
      </c>
      <c r="L128" s="11" t="s">
        <v>1044</v>
      </c>
      <c r="M128" s="13">
        <v>44807</v>
      </c>
      <c r="N128" s="11" t="s">
        <v>1047</v>
      </c>
      <c r="O128" s="14">
        <f t="shared" si="6"/>
        <v>31781.23227591781</v>
      </c>
      <c r="P128" s="14">
        <f t="shared" si="7"/>
        <v>1525499.1492440549</v>
      </c>
      <c r="Q128" s="14">
        <f t="shared" si="8"/>
        <v>355188.14924405492</v>
      </c>
      <c r="R128" s="11">
        <f t="shared" ca="1" si="9"/>
        <v>3</v>
      </c>
      <c r="S128" s="11" t="str">
        <f t="shared" si="10"/>
        <v>700-749</v>
      </c>
    </row>
    <row r="129" spans="1:19" x14ac:dyDescent="0.3">
      <c r="A129" s="11" t="s">
        <v>141</v>
      </c>
      <c r="B129" s="11" t="s">
        <v>1014</v>
      </c>
      <c r="C129" s="11">
        <v>58</v>
      </c>
      <c r="D129" s="11" t="s">
        <v>1034</v>
      </c>
      <c r="E129" s="11" t="s">
        <v>1037</v>
      </c>
      <c r="F129" s="12">
        <v>1440611</v>
      </c>
      <c r="G129" s="12">
        <v>1187566</v>
      </c>
      <c r="H129" s="11">
        <v>12.94</v>
      </c>
      <c r="I129" s="11">
        <v>84</v>
      </c>
      <c r="J129" s="11">
        <v>754</v>
      </c>
      <c r="K129" s="11" t="s">
        <v>1040</v>
      </c>
      <c r="L129" s="11" t="s">
        <v>1043</v>
      </c>
      <c r="M129" s="13">
        <v>45394</v>
      </c>
      <c r="N129" s="11" t="s">
        <v>1048</v>
      </c>
      <c r="O129" s="14">
        <f t="shared" si="6"/>
        <v>21565.438119107119</v>
      </c>
      <c r="P129" s="14">
        <f t="shared" si="7"/>
        <v>1811496.8020049981</v>
      </c>
      <c r="Q129" s="14">
        <f t="shared" si="8"/>
        <v>623930.80200499808</v>
      </c>
      <c r="R129" s="11">
        <f t="shared" ca="1" si="9"/>
        <v>1</v>
      </c>
      <c r="S129" s="11" t="str">
        <f t="shared" si="10"/>
        <v>750-799</v>
      </c>
    </row>
    <row r="130" spans="1:19" x14ac:dyDescent="0.3">
      <c r="A130" s="11" t="s">
        <v>142</v>
      </c>
      <c r="B130" s="11" t="s">
        <v>1033</v>
      </c>
      <c r="C130" s="11">
        <v>34</v>
      </c>
      <c r="D130" s="11" t="s">
        <v>1035</v>
      </c>
      <c r="E130" s="11" t="s">
        <v>1036</v>
      </c>
      <c r="F130" s="12">
        <v>1855306</v>
      </c>
      <c r="G130" s="12">
        <v>398956</v>
      </c>
      <c r="H130" s="11">
        <v>14.88</v>
      </c>
      <c r="I130" s="11">
        <v>84</v>
      </c>
      <c r="J130" s="11">
        <v>758</v>
      </c>
      <c r="K130" s="11" t="s">
        <v>1039</v>
      </c>
      <c r="L130" s="11" t="s">
        <v>1044</v>
      </c>
      <c r="M130" s="13">
        <v>44739</v>
      </c>
      <c r="N130" s="11" t="s">
        <v>1046</v>
      </c>
      <c r="O130" s="14">
        <f t="shared" si="6"/>
        <v>7671.7206832937391</v>
      </c>
      <c r="P130" s="14">
        <f t="shared" si="7"/>
        <v>644424.53739667404</v>
      </c>
      <c r="Q130" s="14">
        <f t="shared" si="8"/>
        <v>245468.53739667404</v>
      </c>
      <c r="R130" s="11">
        <f t="shared" ca="1" si="9"/>
        <v>3</v>
      </c>
      <c r="S130" s="11" t="str">
        <f t="shared" si="10"/>
        <v>750-799</v>
      </c>
    </row>
    <row r="131" spans="1:19" x14ac:dyDescent="0.3">
      <c r="A131" s="11" t="s">
        <v>143</v>
      </c>
      <c r="B131" s="11" t="s">
        <v>1020</v>
      </c>
      <c r="C131" s="11">
        <v>35</v>
      </c>
      <c r="D131" s="11" t="s">
        <v>1035</v>
      </c>
      <c r="E131" s="11" t="s">
        <v>1037</v>
      </c>
      <c r="F131" s="12">
        <v>716241</v>
      </c>
      <c r="G131" s="12">
        <v>1925400</v>
      </c>
      <c r="H131" s="11">
        <v>11.2</v>
      </c>
      <c r="I131" s="11">
        <v>36</v>
      </c>
      <c r="J131" s="11">
        <v>732</v>
      </c>
      <c r="K131" s="11" t="s">
        <v>1041</v>
      </c>
      <c r="L131" s="11" t="s">
        <v>1044</v>
      </c>
      <c r="M131" s="13">
        <v>45533</v>
      </c>
      <c r="N131" s="11" t="s">
        <v>1045</v>
      </c>
      <c r="O131" s="14">
        <f t="shared" ref="O131:O194" si="11">PMT(H131/1200,I131,-G131)</f>
        <v>63217.642175262343</v>
      </c>
      <c r="P131" s="14">
        <f t="shared" ref="P131:P194" si="12">O131*I131</f>
        <v>2275835.1183094443</v>
      </c>
      <c r="Q131" s="14">
        <f t="shared" ref="Q131:Q194" si="13">P131-G131</f>
        <v>350435.11830944428</v>
      </c>
      <c r="R131" s="11">
        <f t="shared" ref="R131:R194" ca="1" si="14">(YEAR(TODAY())-YEAR(M131))</f>
        <v>1</v>
      </c>
      <c r="S131" s="11" t="str">
        <f t="shared" ref="S131:S194" si="15">IF(J131&lt;650,"600-649",
IF(J131&lt;700,"650-699",
IF(J131&lt;750,"700-749",
IF(J131&lt;800,"750-799","800-850"))))</f>
        <v>700-749</v>
      </c>
    </row>
    <row r="132" spans="1:19" x14ac:dyDescent="0.3">
      <c r="A132" s="11" t="s">
        <v>144</v>
      </c>
      <c r="B132" s="11" t="s">
        <v>1028</v>
      </c>
      <c r="C132" s="11">
        <v>55</v>
      </c>
      <c r="D132" s="11" t="s">
        <v>1035</v>
      </c>
      <c r="E132" s="11" t="s">
        <v>1037</v>
      </c>
      <c r="F132" s="12">
        <v>330281</v>
      </c>
      <c r="G132" s="12">
        <v>1337214</v>
      </c>
      <c r="H132" s="11">
        <v>12.12</v>
      </c>
      <c r="I132" s="11">
        <v>120</v>
      </c>
      <c r="J132" s="11">
        <v>796</v>
      </c>
      <c r="K132" s="11" t="s">
        <v>1041</v>
      </c>
      <c r="L132" s="11" t="s">
        <v>1044</v>
      </c>
      <c r="M132" s="13">
        <v>44239</v>
      </c>
      <c r="N132" s="11" t="s">
        <v>1047</v>
      </c>
      <c r="O132" s="14">
        <f t="shared" si="11"/>
        <v>19278.013132255139</v>
      </c>
      <c r="P132" s="14">
        <f t="shared" si="12"/>
        <v>2313361.5758706168</v>
      </c>
      <c r="Q132" s="14">
        <f t="shared" si="13"/>
        <v>976147.57587061683</v>
      </c>
      <c r="R132" s="11">
        <f t="shared" ca="1" si="14"/>
        <v>4</v>
      </c>
      <c r="S132" s="11" t="str">
        <f t="shared" si="15"/>
        <v>750-799</v>
      </c>
    </row>
    <row r="133" spans="1:19" x14ac:dyDescent="0.3">
      <c r="A133" s="11" t="s">
        <v>145</v>
      </c>
      <c r="B133" s="11" t="s">
        <v>1024</v>
      </c>
      <c r="C133" s="11">
        <v>38</v>
      </c>
      <c r="D133" s="11" t="s">
        <v>1034</v>
      </c>
      <c r="E133" s="11" t="s">
        <v>1038</v>
      </c>
      <c r="F133" s="12">
        <v>912998</v>
      </c>
      <c r="G133" s="12">
        <v>200991</v>
      </c>
      <c r="H133" s="11">
        <v>11.03</v>
      </c>
      <c r="I133" s="11">
        <v>120</v>
      </c>
      <c r="J133" s="11">
        <v>752</v>
      </c>
      <c r="K133" s="11" t="s">
        <v>1041</v>
      </c>
      <c r="L133" s="11" t="s">
        <v>1044</v>
      </c>
      <c r="M133" s="13">
        <v>43967</v>
      </c>
      <c r="N133" s="11" t="s">
        <v>1047</v>
      </c>
      <c r="O133" s="14">
        <f t="shared" si="11"/>
        <v>2772.0655177000626</v>
      </c>
      <c r="P133" s="14">
        <f t="shared" si="12"/>
        <v>332647.86212400754</v>
      </c>
      <c r="Q133" s="14">
        <f t="shared" si="13"/>
        <v>131656.86212400754</v>
      </c>
      <c r="R133" s="11">
        <f t="shared" ca="1" si="14"/>
        <v>5</v>
      </c>
      <c r="S133" s="11" t="str">
        <f t="shared" si="15"/>
        <v>750-799</v>
      </c>
    </row>
    <row r="134" spans="1:19" x14ac:dyDescent="0.3">
      <c r="A134" s="11" t="s">
        <v>146</v>
      </c>
      <c r="B134" s="11" t="s">
        <v>1014</v>
      </c>
      <c r="C134" s="11">
        <v>25</v>
      </c>
      <c r="D134" s="11" t="s">
        <v>1034</v>
      </c>
      <c r="E134" s="11" t="s">
        <v>1038</v>
      </c>
      <c r="F134" s="12">
        <v>561017</v>
      </c>
      <c r="G134" s="12">
        <v>1709040</v>
      </c>
      <c r="H134" s="11">
        <v>13.13</v>
      </c>
      <c r="I134" s="11">
        <v>48</v>
      </c>
      <c r="J134" s="11">
        <v>818</v>
      </c>
      <c r="K134" s="11" t="s">
        <v>1040</v>
      </c>
      <c r="L134" s="11" t="s">
        <v>1043</v>
      </c>
      <c r="M134" s="13">
        <v>45125</v>
      </c>
      <c r="N134" s="11" t="s">
        <v>1048</v>
      </c>
      <c r="O134" s="14">
        <f t="shared" si="11"/>
        <v>45959.61155568753</v>
      </c>
      <c r="P134" s="14">
        <f t="shared" si="12"/>
        <v>2206061.3546730014</v>
      </c>
      <c r="Q134" s="14">
        <f t="shared" si="13"/>
        <v>497021.35467300145</v>
      </c>
      <c r="R134" s="11">
        <f t="shared" ca="1" si="14"/>
        <v>2</v>
      </c>
      <c r="S134" s="11" t="str">
        <f t="shared" si="15"/>
        <v>800-850</v>
      </c>
    </row>
    <row r="135" spans="1:19" x14ac:dyDescent="0.3">
      <c r="A135" s="11" t="s">
        <v>147</v>
      </c>
      <c r="B135" s="11" t="s">
        <v>1015</v>
      </c>
      <c r="C135" s="11">
        <v>49</v>
      </c>
      <c r="D135" s="11" t="s">
        <v>1035</v>
      </c>
      <c r="E135" s="11" t="s">
        <v>1037</v>
      </c>
      <c r="F135" s="12">
        <v>1313703</v>
      </c>
      <c r="G135" s="12">
        <v>1014520</v>
      </c>
      <c r="H135" s="11">
        <v>13.78</v>
      </c>
      <c r="I135" s="11">
        <v>96</v>
      </c>
      <c r="J135" s="11">
        <v>685</v>
      </c>
      <c r="K135" s="11" t="s">
        <v>1039</v>
      </c>
      <c r="L135" s="11" t="s">
        <v>1043</v>
      </c>
      <c r="M135" s="13">
        <v>43260</v>
      </c>
      <c r="N135" s="11" t="s">
        <v>1045</v>
      </c>
      <c r="O135" s="14">
        <f t="shared" si="11"/>
        <v>17496.95169120948</v>
      </c>
      <c r="P135" s="14">
        <f t="shared" si="12"/>
        <v>1679707.36235611</v>
      </c>
      <c r="Q135" s="14">
        <f t="shared" si="13"/>
        <v>665187.36235611001</v>
      </c>
      <c r="R135" s="11">
        <f t="shared" ca="1" si="14"/>
        <v>7</v>
      </c>
      <c r="S135" s="11" t="str">
        <f t="shared" si="15"/>
        <v>650-699</v>
      </c>
    </row>
    <row r="136" spans="1:19" x14ac:dyDescent="0.3">
      <c r="A136" s="11" t="s">
        <v>148</v>
      </c>
      <c r="B136" s="11" t="s">
        <v>1015</v>
      </c>
      <c r="C136" s="11">
        <v>48</v>
      </c>
      <c r="D136" s="11" t="s">
        <v>1034</v>
      </c>
      <c r="E136" s="11" t="s">
        <v>1037</v>
      </c>
      <c r="F136" s="12">
        <v>1845480</v>
      </c>
      <c r="G136" s="12">
        <v>241845</v>
      </c>
      <c r="H136" s="11">
        <v>9.3000000000000007</v>
      </c>
      <c r="I136" s="11">
        <v>72</v>
      </c>
      <c r="J136" s="11">
        <v>654</v>
      </c>
      <c r="K136" s="11" t="s">
        <v>1041</v>
      </c>
      <c r="L136" s="11" t="s">
        <v>1044</v>
      </c>
      <c r="M136" s="13">
        <v>43746</v>
      </c>
      <c r="N136" s="11" t="s">
        <v>1047</v>
      </c>
      <c r="O136" s="14">
        <f t="shared" si="11"/>
        <v>4395.4820185682947</v>
      </c>
      <c r="P136" s="14">
        <f t="shared" si="12"/>
        <v>316474.70533691719</v>
      </c>
      <c r="Q136" s="14">
        <f t="shared" si="13"/>
        <v>74629.705336917192</v>
      </c>
      <c r="R136" s="11">
        <f t="shared" ca="1" si="14"/>
        <v>6</v>
      </c>
      <c r="S136" s="11" t="str">
        <f t="shared" si="15"/>
        <v>650-699</v>
      </c>
    </row>
    <row r="137" spans="1:19" x14ac:dyDescent="0.3">
      <c r="A137" s="11" t="s">
        <v>149</v>
      </c>
      <c r="B137" s="11" t="s">
        <v>1016</v>
      </c>
      <c r="C137" s="11">
        <v>38</v>
      </c>
      <c r="D137" s="11" t="s">
        <v>1034</v>
      </c>
      <c r="E137" s="11" t="s">
        <v>1037</v>
      </c>
      <c r="F137" s="12">
        <v>1349294</v>
      </c>
      <c r="G137" s="12">
        <v>1649097</v>
      </c>
      <c r="H137" s="11">
        <v>14.43</v>
      </c>
      <c r="I137" s="11">
        <v>48</v>
      </c>
      <c r="J137" s="11">
        <v>827</v>
      </c>
      <c r="K137" s="11" t="s">
        <v>1040</v>
      </c>
      <c r="L137" s="11" t="s">
        <v>1044</v>
      </c>
      <c r="M137" s="13">
        <v>43906</v>
      </c>
      <c r="N137" s="11" t="s">
        <v>1047</v>
      </c>
      <c r="O137" s="14">
        <f t="shared" si="11"/>
        <v>45420.528973182794</v>
      </c>
      <c r="P137" s="14">
        <f t="shared" si="12"/>
        <v>2180185.3907127744</v>
      </c>
      <c r="Q137" s="14">
        <f t="shared" si="13"/>
        <v>531088.39071277436</v>
      </c>
      <c r="R137" s="11">
        <f t="shared" ca="1" si="14"/>
        <v>5</v>
      </c>
      <c r="S137" s="11" t="str">
        <f t="shared" si="15"/>
        <v>800-850</v>
      </c>
    </row>
    <row r="138" spans="1:19" x14ac:dyDescent="0.3">
      <c r="A138" s="11" t="s">
        <v>150</v>
      </c>
      <c r="B138" s="11" t="s">
        <v>1025</v>
      </c>
      <c r="C138" s="11">
        <v>27</v>
      </c>
      <c r="D138" s="11" t="s">
        <v>1035</v>
      </c>
      <c r="E138" s="11" t="s">
        <v>1036</v>
      </c>
      <c r="F138" s="12">
        <v>1805673</v>
      </c>
      <c r="G138" s="12">
        <v>360147</v>
      </c>
      <c r="H138" s="11">
        <v>12.73</v>
      </c>
      <c r="I138" s="11">
        <v>120</v>
      </c>
      <c r="J138" s="11">
        <v>710</v>
      </c>
      <c r="K138" s="11" t="s">
        <v>1040</v>
      </c>
      <c r="L138" s="11" t="s">
        <v>1044</v>
      </c>
      <c r="M138" s="13">
        <v>44636</v>
      </c>
      <c r="N138" s="11" t="s">
        <v>1045</v>
      </c>
      <c r="O138" s="14">
        <f t="shared" si="11"/>
        <v>5320.1796639485183</v>
      </c>
      <c r="P138" s="14">
        <f t="shared" si="12"/>
        <v>638421.55967382225</v>
      </c>
      <c r="Q138" s="14">
        <f t="shared" si="13"/>
        <v>278274.55967382225</v>
      </c>
      <c r="R138" s="11">
        <f t="shared" ca="1" si="14"/>
        <v>3</v>
      </c>
      <c r="S138" s="11" t="str">
        <f t="shared" si="15"/>
        <v>700-749</v>
      </c>
    </row>
    <row r="139" spans="1:19" x14ac:dyDescent="0.3">
      <c r="A139" s="11" t="s">
        <v>151</v>
      </c>
      <c r="B139" s="11" t="s">
        <v>1028</v>
      </c>
      <c r="C139" s="11">
        <v>35</v>
      </c>
      <c r="D139" s="11" t="s">
        <v>1034</v>
      </c>
      <c r="E139" s="11" t="s">
        <v>1038</v>
      </c>
      <c r="F139" s="12">
        <v>1049516</v>
      </c>
      <c r="G139" s="12">
        <v>1514697</v>
      </c>
      <c r="H139" s="11">
        <v>10.74</v>
      </c>
      <c r="I139" s="11">
        <v>72</v>
      </c>
      <c r="J139" s="11">
        <v>844</v>
      </c>
      <c r="K139" s="11" t="s">
        <v>1040</v>
      </c>
      <c r="L139" s="11" t="s">
        <v>1043</v>
      </c>
      <c r="M139" s="13">
        <v>45058</v>
      </c>
      <c r="N139" s="11" t="s">
        <v>1046</v>
      </c>
      <c r="O139" s="14">
        <f t="shared" si="11"/>
        <v>28629.554770475304</v>
      </c>
      <c r="P139" s="14">
        <f t="shared" si="12"/>
        <v>2061327.943474222</v>
      </c>
      <c r="Q139" s="14">
        <f t="shared" si="13"/>
        <v>546630.94347422197</v>
      </c>
      <c r="R139" s="11">
        <f t="shared" ca="1" si="14"/>
        <v>2</v>
      </c>
      <c r="S139" s="11" t="str">
        <f t="shared" si="15"/>
        <v>800-850</v>
      </c>
    </row>
    <row r="140" spans="1:19" x14ac:dyDescent="0.3">
      <c r="A140" s="11" t="s">
        <v>152</v>
      </c>
      <c r="B140" s="11" t="s">
        <v>1026</v>
      </c>
      <c r="C140" s="11">
        <v>60</v>
      </c>
      <c r="D140" s="11" t="s">
        <v>1035</v>
      </c>
      <c r="E140" s="11" t="s">
        <v>1038</v>
      </c>
      <c r="F140" s="12">
        <v>1677490</v>
      </c>
      <c r="G140" s="12">
        <v>1183623</v>
      </c>
      <c r="H140" s="11">
        <v>8.83</v>
      </c>
      <c r="I140" s="11">
        <v>72</v>
      </c>
      <c r="J140" s="11">
        <v>618</v>
      </c>
      <c r="K140" s="11" t="s">
        <v>1039</v>
      </c>
      <c r="L140" s="11" t="s">
        <v>1044</v>
      </c>
      <c r="M140" s="13">
        <v>44384</v>
      </c>
      <c r="N140" s="11" t="s">
        <v>1048</v>
      </c>
      <c r="O140" s="14">
        <f t="shared" si="11"/>
        <v>21235.712127741663</v>
      </c>
      <c r="P140" s="14">
        <f t="shared" si="12"/>
        <v>1528971.2731973997</v>
      </c>
      <c r="Q140" s="14">
        <f t="shared" si="13"/>
        <v>345348.27319739969</v>
      </c>
      <c r="R140" s="11">
        <f t="shared" ca="1" si="14"/>
        <v>4</v>
      </c>
      <c r="S140" s="11" t="str">
        <f t="shared" si="15"/>
        <v>600-649</v>
      </c>
    </row>
    <row r="141" spans="1:19" x14ac:dyDescent="0.3">
      <c r="A141" s="11" t="s">
        <v>153</v>
      </c>
      <c r="B141" s="11" t="s">
        <v>1031</v>
      </c>
      <c r="C141" s="11">
        <v>49</v>
      </c>
      <c r="D141" s="11" t="s">
        <v>1034</v>
      </c>
      <c r="E141" s="11" t="s">
        <v>1036</v>
      </c>
      <c r="F141" s="12">
        <v>483889</v>
      </c>
      <c r="G141" s="12">
        <v>221828</v>
      </c>
      <c r="H141" s="11">
        <v>10.87</v>
      </c>
      <c r="I141" s="11">
        <v>60</v>
      </c>
      <c r="J141" s="11">
        <v>667</v>
      </c>
      <c r="K141" s="11" t="s">
        <v>1039</v>
      </c>
      <c r="L141" s="11" t="s">
        <v>1044</v>
      </c>
      <c r="M141" s="13">
        <v>45218</v>
      </c>
      <c r="N141" s="11" t="s">
        <v>1045</v>
      </c>
      <c r="O141" s="14">
        <f t="shared" si="11"/>
        <v>4808.7091016164622</v>
      </c>
      <c r="P141" s="14">
        <f t="shared" si="12"/>
        <v>288522.54609698773</v>
      </c>
      <c r="Q141" s="14">
        <f t="shared" si="13"/>
        <v>66694.546096987731</v>
      </c>
      <c r="R141" s="11">
        <f t="shared" ca="1" si="14"/>
        <v>2</v>
      </c>
      <c r="S141" s="11" t="str">
        <f t="shared" si="15"/>
        <v>650-699</v>
      </c>
    </row>
    <row r="142" spans="1:19" x14ac:dyDescent="0.3">
      <c r="A142" s="11" t="s">
        <v>154</v>
      </c>
      <c r="B142" s="11" t="s">
        <v>1021</v>
      </c>
      <c r="C142" s="11">
        <v>53</v>
      </c>
      <c r="D142" s="11" t="s">
        <v>1035</v>
      </c>
      <c r="E142" s="11" t="s">
        <v>1038</v>
      </c>
      <c r="F142" s="12">
        <v>1691481</v>
      </c>
      <c r="G142" s="12">
        <v>288803</v>
      </c>
      <c r="H142" s="11">
        <v>12.23</v>
      </c>
      <c r="I142" s="11">
        <v>48</v>
      </c>
      <c r="J142" s="11">
        <v>739</v>
      </c>
      <c r="K142" s="11" t="s">
        <v>1042</v>
      </c>
      <c r="L142" s="11" t="s">
        <v>1044</v>
      </c>
      <c r="M142" s="13">
        <v>43232</v>
      </c>
      <c r="N142" s="11" t="s">
        <v>1047</v>
      </c>
      <c r="O142" s="14">
        <f t="shared" si="11"/>
        <v>7637.9454409225973</v>
      </c>
      <c r="P142" s="14">
        <f t="shared" si="12"/>
        <v>366621.38116428466</v>
      </c>
      <c r="Q142" s="14">
        <f t="shared" si="13"/>
        <v>77818.381164284656</v>
      </c>
      <c r="R142" s="11">
        <f t="shared" ca="1" si="14"/>
        <v>7</v>
      </c>
      <c r="S142" s="11" t="str">
        <f t="shared" si="15"/>
        <v>700-749</v>
      </c>
    </row>
    <row r="143" spans="1:19" x14ac:dyDescent="0.3">
      <c r="A143" s="11" t="s">
        <v>155</v>
      </c>
      <c r="B143" s="11" t="s">
        <v>1024</v>
      </c>
      <c r="C143" s="11">
        <v>47</v>
      </c>
      <c r="D143" s="11" t="s">
        <v>1035</v>
      </c>
      <c r="E143" s="11" t="s">
        <v>1038</v>
      </c>
      <c r="F143" s="12">
        <v>1521328</v>
      </c>
      <c r="G143" s="12">
        <v>1729746</v>
      </c>
      <c r="H143" s="11">
        <v>14.36</v>
      </c>
      <c r="I143" s="11">
        <v>120</v>
      </c>
      <c r="J143" s="11">
        <v>661</v>
      </c>
      <c r="K143" s="11" t="s">
        <v>1040</v>
      </c>
      <c r="L143" s="11" t="s">
        <v>1044</v>
      </c>
      <c r="M143" s="13">
        <v>45122</v>
      </c>
      <c r="N143" s="11" t="s">
        <v>1048</v>
      </c>
      <c r="O143" s="14">
        <f t="shared" si="11"/>
        <v>27232.82168875706</v>
      </c>
      <c r="P143" s="14">
        <f t="shared" si="12"/>
        <v>3267938.6026508473</v>
      </c>
      <c r="Q143" s="14">
        <f t="shared" si="13"/>
        <v>1538192.6026508473</v>
      </c>
      <c r="R143" s="11">
        <f t="shared" ca="1" si="14"/>
        <v>2</v>
      </c>
      <c r="S143" s="11" t="str">
        <f t="shared" si="15"/>
        <v>650-699</v>
      </c>
    </row>
    <row r="144" spans="1:19" x14ac:dyDescent="0.3">
      <c r="A144" s="11" t="s">
        <v>156</v>
      </c>
      <c r="B144" s="11" t="s">
        <v>1026</v>
      </c>
      <c r="C144" s="11">
        <v>58</v>
      </c>
      <c r="D144" s="11" t="s">
        <v>1034</v>
      </c>
      <c r="E144" s="11" t="s">
        <v>1038</v>
      </c>
      <c r="F144" s="12">
        <v>1365636</v>
      </c>
      <c r="G144" s="12">
        <v>1095299</v>
      </c>
      <c r="H144" s="11">
        <v>11.8</v>
      </c>
      <c r="I144" s="11">
        <v>48</v>
      </c>
      <c r="J144" s="11">
        <v>827</v>
      </c>
      <c r="K144" s="11" t="s">
        <v>1040</v>
      </c>
      <c r="L144" s="11" t="s">
        <v>1044</v>
      </c>
      <c r="M144" s="13">
        <v>43492</v>
      </c>
      <c r="N144" s="11" t="s">
        <v>1048</v>
      </c>
      <c r="O144" s="14">
        <f t="shared" si="11"/>
        <v>28735.984389423538</v>
      </c>
      <c r="P144" s="14">
        <f t="shared" si="12"/>
        <v>1379327.2506923298</v>
      </c>
      <c r="Q144" s="14">
        <f t="shared" si="13"/>
        <v>284028.25069232984</v>
      </c>
      <c r="R144" s="11">
        <f t="shared" ca="1" si="14"/>
        <v>6</v>
      </c>
      <c r="S144" s="11" t="str">
        <f t="shared" si="15"/>
        <v>800-850</v>
      </c>
    </row>
    <row r="145" spans="1:19" x14ac:dyDescent="0.3">
      <c r="A145" s="11" t="s">
        <v>157</v>
      </c>
      <c r="B145" s="11" t="s">
        <v>1024</v>
      </c>
      <c r="C145" s="11">
        <v>52</v>
      </c>
      <c r="D145" s="11" t="s">
        <v>1035</v>
      </c>
      <c r="E145" s="11" t="s">
        <v>1038</v>
      </c>
      <c r="F145" s="12">
        <v>1484186</v>
      </c>
      <c r="G145" s="12">
        <v>1733037</v>
      </c>
      <c r="H145" s="11">
        <v>14.44</v>
      </c>
      <c r="I145" s="11">
        <v>48</v>
      </c>
      <c r="J145" s="11">
        <v>736</v>
      </c>
      <c r="K145" s="11" t="s">
        <v>1039</v>
      </c>
      <c r="L145" s="11" t="s">
        <v>1044</v>
      </c>
      <c r="M145" s="13">
        <v>44749</v>
      </c>
      <c r="N145" s="11" t="s">
        <v>1046</v>
      </c>
      <c r="O145" s="14">
        <f t="shared" si="11"/>
        <v>47741.193706890954</v>
      </c>
      <c r="P145" s="14">
        <f t="shared" si="12"/>
        <v>2291577.2979307659</v>
      </c>
      <c r="Q145" s="14">
        <f t="shared" si="13"/>
        <v>558540.2979307659</v>
      </c>
      <c r="R145" s="11">
        <f t="shared" ca="1" si="14"/>
        <v>3</v>
      </c>
      <c r="S145" s="11" t="str">
        <f t="shared" si="15"/>
        <v>700-749</v>
      </c>
    </row>
    <row r="146" spans="1:19" x14ac:dyDescent="0.3">
      <c r="A146" s="11" t="s">
        <v>158</v>
      </c>
      <c r="B146" s="11" t="s">
        <v>1026</v>
      </c>
      <c r="C146" s="11">
        <v>31</v>
      </c>
      <c r="D146" s="11" t="s">
        <v>1035</v>
      </c>
      <c r="E146" s="11" t="s">
        <v>1038</v>
      </c>
      <c r="F146" s="12">
        <v>1592836</v>
      </c>
      <c r="G146" s="12">
        <v>214505</v>
      </c>
      <c r="H146" s="11">
        <v>12.91</v>
      </c>
      <c r="I146" s="11">
        <v>84</v>
      </c>
      <c r="J146" s="11">
        <v>842</v>
      </c>
      <c r="K146" s="11" t="s">
        <v>1042</v>
      </c>
      <c r="L146" s="11" t="s">
        <v>1044</v>
      </c>
      <c r="M146" s="13">
        <v>44166</v>
      </c>
      <c r="N146" s="11" t="s">
        <v>1048</v>
      </c>
      <c r="O146" s="14">
        <f t="shared" si="11"/>
        <v>3891.7791734559391</v>
      </c>
      <c r="P146" s="14">
        <f t="shared" si="12"/>
        <v>326909.45057029888</v>
      </c>
      <c r="Q146" s="14">
        <f t="shared" si="13"/>
        <v>112404.45057029888</v>
      </c>
      <c r="R146" s="11">
        <f t="shared" ca="1" si="14"/>
        <v>5</v>
      </c>
      <c r="S146" s="11" t="str">
        <f t="shared" si="15"/>
        <v>800-850</v>
      </c>
    </row>
    <row r="147" spans="1:19" x14ac:dyDescent="0.3">
      <c r="A147" s="11" t="s">
        <v>159</v>
      </c>
      <c r="B147" s="11" t="s">
        <v>1016</v>
      </c>
      <c r="C147" s="11">
        <v>59</v>
      </c>
      <c r="D147" s="11" t="s">
        <v>1034</v>
      </c>
      <c r="E147" s="11" t="s">
        <v>1038</v>
      </c>
      <c r="F147" s="12">
        <v>1029027</v>
      </c>
      <c r="G147" s="12">
        <v>1197139</v>
      </c>
      <c r="H147" s="11">
        <v>11</v>
      </c>
      <c r="I147" s="11">
        <v>96</v>
      </c>
      <c r="J147" s="11">
        <v>654</v>
      </c>
      <c r="K147" s="11" t="s">
        <v>1039</v>
      </c>
      <c r="L147" s="11" t="s">
        <v>1044</v>
      </c>
      <c r="M147" s="13">
        <v>43950</v>
      </c>
      <c r="N147" s="11" t="s">
        <v>1045</v>
      </c>
      <c r="O147" s="14">
        <f t="shared" si="11"/>
        <v>18805.168979732673</v>
      </c>
      <c r="P147" s="14">
        <f t="shared" si="12"/>
        <v>1805296.2220543367</v>
      </c>
      <c r="Q147" s="14">
        <f t="shared" si="13"/>
        <v>608157.22205433669</v>
      </c>
      <c r="R147" s="11">
        <f t="shared" ca="1" si="14"/>
        <v>5</v>
      </c>
      <c r="S147" s="11" t="str">
        <f t="shared" si="15"/>
        <v>650-699</v>
      </c>
    </row>
    <row r="148" spans="1:19" x14ac:dyDescent="0.3">
      <c r="A148" s="11" t="s">
        <v>160</v>
      </c>
      <c r="B148" s="11" t="s">
        <v>1016</v>
      </c>
      <c r="C148" s="11">
        <v>30</v>
      </c>
      <c r="D148" s="11" t="s">
        <v>1034</v>
      </c>
      <c r="E148" s="11" t="s">
        <v>1037</v>
      </c>
      <c r="F148" s="12">
        <v>516706</v>
      </c>
      <c r="G148" s="12">
        <v>467624</v>
      </c>
      <c r="H148" s="11">
        <v>12.69</v>
      </c>
      <c r="I148" s="11">
        <v>60</v>
      </c>
      <c r="J148" s="11">
        <v>716</v>
      </c>
      <c r="K148" s="11" t="s">
        <v>1040</v>
      </c>
      <c r="L148" s="11" t="s">
        <v>1044</v>
      </c>
      <c r="M148" s="13">
        <v>43319</v>
      </c>
      <c r="N148" s="11" t="s">
        <v>1045</v>
      </c>
      <c r="O148" s="14">
        <f t="shared" si="11"/>
        <v>10565.822163781524</v>
      </c>
      <c r="P148" s="14">
        <f t="shared" si="12"/>
        <v>633949.32982689142</v>
      </c>
      <c r="Q148" s="14">
        <f t="shared" si="13"/>
        <v>166325.32982689142</v>
      </c>
      <c r="R148" s="11">
        <f t="shared" ca="1" si="14"/>
        <v>7</v>
      </c>
      <c r="S148" s="11" t="str">
        <f t="shared" si="15"/>
        <v>700-749</v>
      </c>
    </row>
    <row r="149" spans="1:19" x14ac:dyDescent="0.3">
      <c r="A149" s="11" t="s">
        <v>161</v>
      </c>
      <c r="B149" s="11" t="s">
        <v>1029</v>
      </c>
      <c r="C149" s="11">
        <v>59</v>
      </c>
      <c r="D149" s="11" t="s">
        <v>1035</v>
      </c>
      <c r="E149" s="11" t="s">
        <v>1037</v>
      </c>
      <c r="F149" s="12">
        <v>1435786</v>
      </c>
      <c r="G149" s="12">
        <v>367256</v>
      </c>
      <c r="H149" s="11">
        <v>12.62</v>
      </c>
      <c r="I149" s="11">
        <v>120</v>
      </c>
      <c r="J149" s="11">
        <v>841</v>
      </c>
      <c r="K149" s="11" t="s">
        <v>1042</v>
      </c>
      <c r="L149" s="11" t="s">
        <v>1043</v>
      </c>
      <c r="M149" s="13">
        <v>43298</v>
      </c>
      <c r="N149" s="11" t="s">
        <v>1045</v>
      </c>
      <c r="O149" s="14">
        <f t="shared" si="11"/>
        <v>5401.520558359477</v>
      </c>
      <c r="P149" s="14">
        <f t="shared" si="12"/>
        <v>648182.46700313722</v>
      </c>
      <c r="Q149" s="14">
        <f t="shared" si="13"/>
        <v>280926.46700313722</v>
      </c>
      <c r="R149" s="11">
        <f t="shared" ca="1" si="14"/>
        <v>7</v>
      </c>
      <c r="S149" s="11" t="str">
        <f t="shared" si="15"/>
        <v>800-850</v>
      </c>
    </row>
    <row r="150" spans="1:19" x14ac:dyDescent="0.3">
      <c r="A150" s="11" t="s">
        <v>162</v>
      </c>
      <c r="B150" s="11" t="s">
        <v>1026</v>
      </c>
      <c r="C150" s="11">
        <v>42</v>
      </c>
      <c r="D150" s="11" t="s">
        <v>1035</v>
      </c>
      <c r="E150" s="11" t="s">
        <v>1038</v>
      </c>
      <c r="F150" s="12">
        <v>472261</v>
      </c>
      <c r="G150" s="12">
        <v>1416868</v>
      </c>
      <c r="H150" s="11">
        <v>11.68</v>
      </c>
      <c r="I150" s="11">
        <v>96</v>
      </c>
      <c r="J150" s="11">
        <v>628</v>
      </c>
      <c r="K150" s="11" t="s">
        <v>1039</v>
      </c>
      <c r="L150" s="11" t="s">
        <v>1044</v>
      </c>
      <c r="M150" s="13">
        <v>44369</v>
      </c>
      <c r="N150" s="11" t="s">
        <v>1048</v>
      </c>
      <c r="O150" s="14">
        <f t="shared" si="11"/>
        <v>22779.741935372807</v>
      </c>
      <c r="P150" s="14">
        <f t="shared" si="12"/>
        <v>2186855.2257957896</v>
      </c>
      <c r="Q150" s="14">
        <f t="shared" si="13"/>
        <v>769987.22579578962</v>
      </c>
      <c r="R150" s="11">
        <f t="shared" ca="1" si="14"/>
        <v>4</v>
      </c>
      <c r="S150" s="11" t="str">
        <f t="shared" si="15"/>
        <v>600-649</v>
      </c>
    </row>
    <row r="151" spans="1:19" x14ac:dyDescent="0.3">
      <c r="A151" s="11" t="s">
        <v>163</v>
      </c>
      <c r="B151" s="11" t="s">
        <v>1033</v>
      </c>
      <c r="C151" s="11">
        <v>39</v>
      </c>
      <c r="D151" s="11" t="s">
        <v>1035</v>
      </c>
      <c r="E151" s="11" t="s">
        <v>1038</v>
      </c>
      <c r="F151" s="12">
        <v>876897</v>
      </c>
      <c r="G151" s="12">
        <v>1251901</v>
      </c>
      <c r="H151" s="11">
        <v>13.14</v>
      </c>
      <c r="I151" s="11">
        <v>120</v>
      </c>
      <c r="J151" s="11">
        <v>713</v>
      </c>
      <c r="K151" s="11" t="s">
        <v>1039</v>
      </c>
      <c r="L151" s="11" t="s">
        <v>1044</v>
      </c>
      <c r="M151" s="13">
        <v>43406</v>
      </c>
      <c r="N151" s="11" t="s">
        <v>1048</v>
      </c>
      <c r="O151" s="14">
        <f t="shared" si="11"/>
        <v>18795.744790498327</v>
      </c>
      <c r="P151" s="14">
        <f t="shared" si="12"/>
        <v>2255489.3748597992</v>
      </c>
      <c r="Q151" s="14">
        <f t="shared" si="13"/>
        <v>1003588.3748597992</v>
      </c>
      <c r="R151" s="11">
        <f t="shared" ca="1" si="14"/>
        <v>7</v>
      </c>
      <c r="S151" s="11" t="str">
        <f t="shared" si="15"/>
        <v>700-749</v>
      </c>
    </row>
    <row r="152" spans="1:19" x14ac:dyDescent="0.3">
      <c r="A152" s="11" t="s">
        <v>164</v>
      </c>
      <c r="B152" s="11" t="s">
        <v>1032</v>
      </c>
      <c r="C152" s="11">
        <v>39</v>
      </c>
      <c r="D152" s="11" t="s">
        <v>1034</v>
      </c>
      <c r="E152" s="11" t="s">
        <v>1036</v>
      </c>
      <c r="F152" s="12">
        <v>358419</v>
      </c>
      <c r="G152" s="12">
        <v>1733461</v>
      </c>
      <c r="H152" s="11">
        <v>9.1199999999999992</v>
      </c>
      <c r="I152" s="11">
        <v>96</v>
      </c>
      <c r="J152" s="11">
        <v>825</v>
      </c>
      <c r="K152" s="11" t="s">
        <v>1040</v>
      </c>
      <c r="L152" s="11" t="s">
        <v>1044</v>
      </c>
      <c r="M152" s="13">
        <v>43850</v>
      </c>
      <c r="N152" s="11" t="s">
        <v>1045</v>
      </c>
      <c r="O152" s="14">
        <f t="shared" si="11"/>
        <v>25503.59712506154</v>
      </c>
      <c r="P152" s="14">
        <f t="shared" si="12"/>
        <v>2448345.3240059079</v>
      </c>
      <c r="Q152" s="14">
        <f t="shared" si="13"/>
        <v>714884.32400590787</v>
      </c>
      <c r="R152" s="11">
        <f t="shared" ca="1" si="14"/>
        <v>5</v>
      </c>
      <c r="S152" s="11" t="str">
        <f t="shared" si="15"/>
        <v>800-850</v>
      </c>
    </row>
    <row r="153" spans="1:19" x14ac:dyDescent="0.3">
      <c r="A153" s="11" t="s">
        <v>165</v>
      </c>
      <c r="B153" s="11" t="s">
        <v>1026</v>
      </c>
      <c r="C153" s="11">
        <v>31</v>
      </c>
      <c r="D153" s="11" t="s">
        <v>1035</v>
      </c>
      <c r="E153" s="11" t="s">
        <v>1037</v>
      </c>
      <c r="F153" s="12">
        <v>1442379</v>
      </c>
      <c r="G153" s="12">
        <v>1918654</v>
      </c>
      <c r="H153" s="11">
        <v>13.14</v>
      </c>
      <c r="I153" s="11">
        <v>96</v>
      </c>
      <c r="J153" s="11">
        <v>634</v>
      </c>
      <c r="K153" s="11" t="s">
        <v>1039</v>
      </c>
      <c r="L153" s="11" t="s">
        <v>1044</v>
      </c>
      <c r="M153" s="13">
        <v>43890</v>
      </c>
      <c r="N153" s="11" t="s">
        <v>1048</v>
      </c>
      <c r="O153" s="14">
        <f t="shared" si="11"/>
        <v>32397.741957760059</v>
      </c>
      <c r="P153" s="14">
        <f t="shared" si="12"/>
        <v>3110183.2279449655</v>
      </c>
      <c r="Q153" s="14">
        <f t="shared" si="13"/>
        <v>1191529.2279449655</v>
      </c>
      <c r="R153" s="11">
        <f t="shared" ca="1" si="14"/>
        <v>5</v>
      </c>
      <c r="S153" s="11" t="str">
        <f t="shared" si="15"/>
        <v>600-649</v>
      </c>
    </row>
    <row r="154" spans="1:19" x14ac:dyDescent="0.3">
      <c r="A154" s="11" t="s">
        <v>166</v>
      </c>
      <c r="B154" s="11" t="s">
        <v>1028</v>
      </c>
      <c r="C154" s="11">
        <v>56</v>
      </c>
      <c r="D154" s="11" t="s">
        <v>1034</v>
      </c>
      <c r="E154" s="11" t="s">
        <v>1038</v>
      </c>
      <c r="F154" s="12">
        <v>774901</v>
      </c>
      <c r="G154" s="12">
        <v>1516276</v>
      </c>
      <c r="H154" s="11">
        <v>8.17</v>
      </c>
      <c r="I154" s="11">
        <v>36</v>
      </c>
      <c r="J154" s="11">
        <v>689</v>
      </c>
      <c r="K154" s="11" t="s">
        <v>1040</v>
      </c>
      <c r="L154" s="11" t="s">
        <v>1044</v>
      </c>
      <c r="M154" s="13">
        <v>43526</v>
      </c>
      <c r="N154" s="11" t="s">
        <v>1047</v>
      </c>
      <c r="O154" s="14">
        <f t="shared" si="11"/>
        <v>47633.581628077394</v>
      </c>
      <c r="P154" s="14">
        <f t="shared" si="12"/>
        <v>1714808.9386107861</v>
      </c>
      <c r="Q154" s="14">
        <f t="shared" si="13"/>
        <v>198532.93861078611</v>
      </c>
      <c r="R154" s="11">
        <f t="shared" ca="1" si="14"/>
        <v>6</v>
      </c>
      <c r="S154" s="11" t="str">
        <f t="shared" si="15"/>
        <v>650-699</v>
      </c>
    </row>
    <row r="155" spans="1:19" x14ac:dyDescent="0.3">
      <c r="A155" s="11" t="s">
        <v>167</v>
      </c>
      <c r="B155" s="11" t="s">
        <v>1019</v>
      </c>
      <c r="C155" s="11">
        <v>30</v>
      </c>
      <c r="D155" s="11" t="s">
        <v>1034</v>
      </c>
      <c r="E155" s="11" t="s">
        <v>1036</v>
      </c>
      <c r="F155" s="12">
        <v>1638836</v>
      </c>
      <c r="G155" s="12">
        <v>976159</v>
      </c>
      <c r="H155" s="11">
        <v>8.49</v>
      </c>
      <c r="I155" s="11">
        <v>72</v>
      </c>
      <c r="J155" s="11">
        <v>766</v>
      </c>
      <c r="K155" s="11" t="s">
        <v>1039</v>
      </c>
      <c r="L155" s="11" t="s">
        <v>1044</v>
      </c>
      <c r="M155" s="13">
        <v>45287</v>
      </c>
      <c r="N155" s="11" t="s">
        <v>1046</v>
      </c>
      <c r="O155" s="14">
        <f t="shared" si="11"/>
        <v>17349.724918917575</v>
      </c>
      <c r="P155" s="14">
        <f t="shared" si="12"/>
        <v>1249180.1941620654</v>
      </c>
      <c r="Q155" s="14">
        <f t="shared" si="13"/>
        <v>273021.1941620654</v>
      </c>
      <c r="R155" s="11">
        <f t="shared" ca="1" si="14"/>
        <v>2</v>
      </c>
      <c r="S155" s="11" t="str">
        <f t="shared" si="15"/>
        <v>750-799</v>
      </c>
    </row>
    <row r="156" spans="1:19" x14ac:dyDescent="0.3">
      <c r="A156" s="11" t="s">
        <v>168</v>
      </c>
      <c r="B156" s="11" t="s">
        <v>1032</v>
      </c>
      <c r="C156" s="11">
        <v>33</v>
      </c>
      <c r="D156" s="11" t="s">
        <v>1034</v>
      </c>
      <c r="E156" s="11" t="s">
        <v>1036</v>
      </c>
      <c r="F156" s="12">
        <v>988563</v>
      </c>
      <c r="G156" s="12">
        <v>1705920</v>
      </c>
      <c r="H156" s="11">
        <v>14.38</v>
      </c>
      <c r="I156" s="11">
        <v>120</v>
      </c>
      <c r="J156" s="11">
        <v>646</v>
      </c>
      <c r="K156" s="11" t="s">
        <v>1041</v>
      </c>
      <c r="L156" s="11" t="s">
        <v>1044</v>
      </c>
      <c r="M156" s="13">
        <v>45349</v>
      </c>
      <c r="N156" s="11" t="s">
        <v>1048</v>
      </c>
      <c r="O156" s="14">
        <f t="shared" si="11"/>
        <v>26878.365109084021</v>
      </c>
      <c r="P156" s="14">
        <f t="shared" si="12"/>
        <v>3225403.8130900827</v>
      </c>
      <c r="Q156" s="14">
        <f t="shared" si="13"/>
        <v>1519483.8130900827</v>
      </c>
      <c r="R156" s="11">
        <f t="shared" ca="1" si="14"/>
        <v>1</v>
      </c>
      <c r="S156" s="11" t="str">
        <f t="shared" si="15"/>
        <v>600-649</v>
      </c>
    </row>
    <row r="157" spans="1:19" x14ac:dyDescent="0.3">
      <c r="A157" s="11" t="s">
        <v>169</v>
      </c>
      <c r="B157" s="11" t="s">
        <v>1019</v>
      </c>
      <c r="C157" s="11">
        <v>31</v>
      </c>
      <c r="D157" s="11" t="s">
        <v>1034</v>
      </c>
      <c r="E157" s="11" t="s">
        <v>1036</v>
      </c>
      <c r="F157" s="12">
        <v>1529393</v>
      </c>
      <c r="G157" s="12">
        <v>1379638</v>
      </c>
      <c r="H157" s="11">
        <v>12.08</v>
      </c>
      <c r="I157" s="11">
        <v>48</v>
      </c>
      <c r="J157" s="11">
        <v>788</v>
      </c>
      <c r="K157" s="11" t="s">
        <v>1042</v>
      </c>
      <c r="L157" s="11" t="s">
        <v>1044</v>
      </c>
      <c r="M157" s="13">
        <v>44301</v>
      </c>
      <c r="N157" s="11" t="s">
        <v>1046</v>
      </c>
      <c r="O157" s="14">
        <f t="shared" si="11"/>
        <v>36385.374852458219</v>
      </c>
      <c r="P157" s="14">
        <f t="shared" si="12"/>
        <v>1746497.9929179945</v>
      </c>
      <c r="Q157" s="14">
        <f t="shared" si="13"/>
        <v>366859.9929179945</v>
      </c>
      <c r="R157" s="11">
        <f t="shared" ca="1" si="14"/>
        <v>4</v>
      </c>
      <c r="S157" s="11" t="str">
        <f t="shared" si="15"/>
        <v>750-799</v>
      </c>
    </row>
    <row r="158" spans="1:19" x14ac:dyDescent="0.3">
      <c r="A158" s="11" t="s">
        <v>170</v>
      </c>
      <c r="B158" s="11" t="s">
        <v>1032</v>
      </c>
      <c r="C158" s="11">
        <v>58</v>
      </c>
      <c r="D158" s="11" t="s">
        <v>1034</v>
      </c>
      <c r="E158" s="11" t="s">
        <v>1036</v>
      </c>
      <c r="F158" s="12">
        <v>388870</v>
      </c>
      <c r="G158" s="12">
        <v>288977</v>
      </c>
      <c r="H158" s="11">
        <v>9.39</v>
      </c>
      <c r="I158" s="11">
        <v>96</v>
      </c>
      <c r="J158" s="11">
        <v>831</v>
      </c>
      <c r="K158" s="11" t="s">
        <v>1040</v>
      </c>
      <c r="L158" s="11" t="s">
        <v>1044</v>
      </c>
      <c r="M158" s="13">
        <v>44721</v>
      </c>
      <c r="N158" s="11" t="s">
        <v>1045</v>
      </c>
      <c r="O158" s="14">
        <f t="shared" si="11"/>
        <v>4292.2660613737326</v>
      </c>
      <c r="P158" s="14">
        <f t="shared" si="12"/>
        <v>412057.54189187835</v>
      </c>
      <c r="Q158" s="14">
        <f t="shared" si="13"/>
        <v>123080.54189187835</v>
      </c>
      <c r="R158" s="11">
        <f t="shared" ca="1" si="14"/>
        <v>3</v>
      </c>
      <c r="S158" s="11" t="str">
        <f t="shared" si="15"/>
        <v>800-850</v>
      </c>
    </row>
    <row r="159" spans="1:19" x14ac:dyDescent="0.3">
      <c r="A159" s="11" t="s">
        <v>171</v>
      </c>
      <c r="B159" s="11" t="s">
        <v>1032</v>
      </c>
      <c r="C159" s="11">
        <v>53</v>
      </c>
      <c r="D159" s="11" t="s">
        <v>1034</v>
      </c>
      <c r="E159" s="11" t="s">
        <v>1036</v>
      </c>
      <c r="F159" s="12">
        <v>1587931</v>
      </c>
      <c r="G159" s="12">
        <v>487604</v>
      </c>
      <c r="H159" s="11">
        <v>13.1</v>
      </c>
      <c r="I159" s="11">
        <v>36</v>
      </c>
      <c r="J159" s="11">
        <v>745</v>
      </c>
      <c r="K159" s="11" t="s">
        <v>1042</v>
      </c>
      <c r="L159" s="11" t="s">
        <v>1044</v>
      </c>
      <c r="M159" s="13">
        <v>43625</v>
      </c>
      <c r="N159" s="11" t="s">
        <v>1045</v>
      </c>
      <c r="O159" s="14">
        <f t="shared" si="11"/>
        <v>16452.801659132467</v>
      </c>
      <c r="P159" s="14">
        <f t="shared" si="12"/>
        <v>592300.85972876882</v>
      </c>
      <c r="Q159" s="14">
        <f t="shared" si="13"/>
        <v>104696.85972876882</v>
      </c>
      <c r="R159" s="11">
        <f t="shared" ca="1" si="14"/>
        <v>6</v>
      </c>
      <c r="S159" s="11" t="str">
        <f t="shared" si="15"/>
        <v>700-749</v>
      </c>
    </row>
    <row r="160" spans="1:19" x14ac:dyDescent="0.3">
      <c r="A160" s="11" t="s">
        <v>172</v>
      </c>
      <c r="B160" s="11" t="s">
        <v>1028</v>
      </c>
      <c r="C160" s="11">
        <v>41</v>
      </c>
      <c r="D160" s="11" t="s">
        <v>1034</v>
      </c>
      <c r="E160" s="11" t="s">
        <v>1037</v>
      </c>
      <c r="F160" s="12">
        <v>1568595</v>
      </c>
      <c r="G160" s="12">
        <v>1658859</v>
      </c>
      <c r="H160" s="11">
        <v>9.81</v>
      </c>
      <c r="I160" s="11">
        <v>96</v>
      </c>
      <c r="J160" s="11">
        <v>611</v>
      </c>
      <c r="K160" s="11" t="s">
        <v>1041</v>
      </c>
      <c r="L160" s="11" t="s">
        <v>1044</v>
      </c>
      <c r="M160" s="13">
        <v>45133</v>
      </c>
      <c r="N160" s="11" t="s">
        <v>1046</v>
      </c>
      <c r="O160" s="14">
        <f t="shared" si="11"/>
        <v>25005.333011083807</v>
      </c>
      <c r="P160" s="14">
        <f t="shared" si="12"/>
        <v>2400511.9690640457</v>
      </c>
      <c r="Q160" s="14">
        <f t="shared" si="13"/>
        <v>741652.9690640457</v>
      </c>
      <c r="R160" s="11">
        <f t="shared" ca="1" si="14"/>
        <v>2</v>
      </c>
      <c r="S160" s="11" t="str">
        <f t="shared" si="15"/>
        <v>600-649</v>
      </c>
    </row>
    <row r="161" spans="1:19" x14ac:dyDescent="0.3">
      <c r="A161" s="11" t="s">
        <v>173</v>
      </c>
      <c r="B161" s="11" t="s">
        <v>1025</v>
      </c>
      <c r="C161" s="11">
        <v>41</v>
      </c>
      <c r="D161" s="11" t="s">
        <v>1034</v>
      </c>
      <c r="E161" s="11" t="s">
        <v>1037</v>
      </c>
      <c r="F161" s="12">
        <v>1886832</v>
      </c>
      <c r="G161" s="12">
        <v>1082370</v>
      </c>
      <c r="H161" s="11">
        <v>13.95</v>
      </c>
      <c r="I161" s="11">
        <v>60</v>
      </c>
      <c r="J161" s="11">
        <v>724</v>
      </c>
      <c r="K161" s="11" t="s">
        <v>1042</v>
      </c>
      <c r="L161" s="11" t="s">
        <v>1044</v>
      </c>
      <c r="M161" s="13">
        <v>43784</v>
      </c>
      <c r="N161" s="11" t="s">
        <v>1046</v>
      </c>
      <c r="O161" s="14">
        <f t="shared" si="11"/>
        <v>25156.808423470517</v>
      </c>
      <c r="P161" s="14">
        <f t="shared" si="12"/>
        <v>1509408.5054082309</v>
      </c>
      <c r="Q161" s="14">
        <f t="shared" si="13"/>
        <v>427038.50540823094</v>
      </c>
      <c r="R161" s="11">
        <f t="shared" ca="1" si="14"/>
        <v>6</v>
      </c>
      <c r="S161" s="11" t="str">
        <f t="shared" si="15"/>
        <v>700-749</v>
      </c>
    </row>
    <row r="162" spans="1:19" x14ac:dyDescent="0.3">
      <c r="A162" s="11" t="s">
        <v>174</v>
      </c>
      <c r="B162" s="11" t="s">
        <v>1030</v>
      </c>
      <c r="C162" s="11">
        <v>29</v>
      </c>
      <c r="D162" s="11" t="s">
        <v>1035</v>
      </c>
      <c r="E162" s="11" t="s">
        <v>1037</v>
      </c>
      <c r="F162" s="12">
        <v>1099718</v>
      </c>
      <c r="G162" s="12">
        <v>982153</v>
      </c>
      <c r="H162" s="11">
        <v>13</v>
      </c>
      <c r="I162" s="11">
        <v>72</v>
      </c>
      <c r="J162" s="11">
        <v>647</v>
      </c>
      <c r="K162" s="11" t="s">
        <v>1039</v>
      </c>
      <c r="L162" s="11" t="s">
        <v>1044</v>
      </c>
      <c r="M162" s="13">
        <v>44660</v>
      </c>
      <c r="N162" s="11" t="s">
        <v>1048</v>
      </c>
      <c r="O162" s="14">
        <f t="shared" si="11"/>
        <v>19715.842650825154</v>
      </c>
      <c r="P162" s="14">
        <f t="shared" si="12"/>
        <v>1419540.6708594111</v>
      </c>
      <c r="Q162" s="14">
        <f t="shared" si="13"/>
        <v>437387.67085941113</v>
      </c>
      <c r="R162" s="11">
        <f t="shared" ca="1" si="14"/>
        <v>3</v>
      </c>
      <c r="S162" s="11" t="str">
        <f t="shared" si="15"/>
        <v>600-649</v>
      </c>
    </row>
    <row r="163" spans="1:19" x14ac:dyDescent="0.3">
      <c r="A163" s="11" t="s">
        <v>175</v>
      </c>
      <c r="B163" s="11" t="s">
        <v>1033</v>
      </c>
      <c r="C163" s="11">
        <v>59</v>
      </c>
      <c r="D163" s="11" t="s">
        <v>1035</v>
      </c>
      <c r="E163" s="11" t="s">
        <v>1036</v>
      </c>
      <c r="F163" s="12">
        <v>1431856</v>
      </c>
      <c r="G163" s="12">
        <v>700232</v>
      </c>
      <c r="H163" s="11">
        <v>7.86</v>
      </c>
      <c r="I163" s="11">
        <v>120</v>
      </c>
      <c r="J163" s="11">
        <v>798</v>
      </c>
      <c r="K163" s="11" t="s">
        <v>1039</v>
      </c>
      <c r="L163" s="11" t="s">
        <v>1044</v>
      </c>
      <c r="M163" s="13">
        <v>45302</v>
      </c>
      <c r="N163" s="11" t="s">
        <v>1047</v>
      </c>
      <c r="O163" s="14">
        <f t="shared" si="11"/>
        <v>8444.0345876516731</v>
      </c>
      <c r="P163" s="14">
        <f t="shared" si="12"/>
        <v>1013284.1505182008</v>
      </c>
      <c r="Q163" s="14">
        <f t="shared" si="13"/>
        <v>313052.15051820083</v>
      </c>
      <c r="R163" s="11">
        <f t="shared" ca="1" si="14"/>
        <v>1</v>
      </c>
      <c r="S163" s="11" t="str">
        <f t="shared" si="15"/>
        <v>750-799</v>
      </c>
    </row>
    <row r="164" spans="1:19" x14ac:dyDescent="0.3">
      <c r="A164" s="11" t="s">
        <v>176</v>
      </c>
      <c r="B164" s="11" t="s">
        <v>1023</v>
      </c>
      <c r="C164" s="11">
        <v>51</v>
      </c>
      <c r="D164" s="11" t="s">
        <v>1034</v>
      </c>
      <c r="E164" s="11" t="s">
        <v>1037</v>
      </c>
      <c r="F164" s="12">
        <v>342460</v>
      </c>
      <c r="G164" s="12">
        <v>942598</v>
      </c>
      <c r="H164" s="11">
        <v>8.77</v>
      </c>
      <c r="I164" s="11">
        <v>60</v>
      </c>
      <c r="J164" s="11">
        <v>756</v>
      </c>
      <c r="K164" s="11" t="s">
        <v>1040</v>
      </c>
      <c r="L164" s="11" t="s">
        <v>1044</v>
      </c>
      <c r="M164" s="13">
        <v>45290</v>
      </c>
      <c r="N164" s="11" t="s">
        <v>1047</v>
      </c>
      <c r="O164" s="14">
        <f t="shared" si="11"/>
        <v>19461.733261647281</v>
      </c>
      <c r="P164" s="14">
        <f t="shared" si="12"/>
        <v>1167703.9956988369</v>
      </c>
      <c r="Q164" s="14">
        <f t="shared" si="13"/>
        <v>225105.99569883686</v>
      </c>
      <c r="R164" s="11">
        <f t="shared" ca="1" si="14"/>
        <v>2</v>
      </c>
      <c r="S164" s="11" t="str">
        <f t="shared" si="15"/>
        <v>750-799</v>
      </c>
    </row>
    <row r="165" spans="1:19" x14ac:dyDescent="0.3">
      <c r="A165" s="11" t="s">
        <v>177</v>
      </c>
      <c r="B165" s="11" t="s">
        <v>1025</v>
      </c>
      <c r="C165" s="11">
        <v>25</v>
      </c>
      <c r="D165" s="11" t="s">
        <v>1034</v>
      </c>
      <c r="E165" s="11" t="s">
        <v>1037</v>
      </c>
      <c r="F165" s="12">
        <v>689069</v>
      </c>
      <c r="G165" s="12">
        <v>363445</v>
      </c>
      <c r="H165" s="11">
        <v>14.76</v>
      </c>
      <c r="I165" s="11">
        <v>36</v>
      </c>
      <c r="J165" s="11">
        <v>801</v>
      </c>
      <c r="K165" s="11" t="s">
        <v>1041</v>
      </c>
      <c r="L165" s="11" t="s">
        <v>1044</v>
      </c>
      <c r="M165" s="13">
        <v>44170</v>
      </c>
      <c r="N165" s="11" t="s">
        <v>1045</v>
      </c>
      <c r="O165" s="14">
        <f t="shared" si="11"/>
        <v>12556.266928594572</v>
      </c>
      <c r="P165" s="14">
        <f t="shared" si="12"/>
        <v>452025.60942940461</v>
      </c>
      <c r="Q165" s="14">
        <f t="shared" si="13"/>
        <v>88580.609429404605</v>
      </c>
      <c r="R165" s="11">
        <f t="shared" ca="1" si="14"/>
        <v>5</v>
      </c>
      <c r="S165" s="11" t="str">
        <f t="shared" si="15"/>
        <v>800-850</v>
      </c>
    </row>
    <row r="166" spans="1:19" x14ac:dyDescent="0.3">
      <c r="A166" s="11" t="s">
        <v>178</v>
      </c>
      <c r="B166" s="11" t="s">
        <v>1016</v>
      </c>
      <c r="C166" s="11">
        <v>47</v>
      </c>
      <c r="D166" s="11" t="s">
        <v>1035</v>
      </c>
      <c r="E166" s="11" t="s">
        <v>1036</v>
      </c>
      <c r="F166" s="12">
        <v>908744</v>
      </c>
      <c r="G166" s="12">
        <v>1959352</v>
      </c>
      <c r="H166" s="11">
        <v>8.7899999999999991</v>
      </c>
      <c r="I166" s="11">
        <v>96</v>
      </c>
      <c r="J166" s="11">
        <v>739</v>
      </c>
      <c r="K166" s="11" t="s">
        <v>1042</v>
      </c>
      <c r="L166" s="11" t="s">
        <v>1044</v>
      </c>
      <c r="M166" s="13">
        <v>43749</v>
      </c>
      <c r="N166" s="11" t="s">
        <v>1047</v>
      </c>
      <c r="O166" s="14">
        <f t="shared" si="11"/>
        <v>28491.903675405498</v>
      </c>
      <c r="P166" s="14">
        <f t="shared" si="12"/>
        <v>2735222.7528389278</v>
      </c>
      <c r="Q166" s="14">
        <f t="shared" si="13"/>
        <v>775870.75283892779</v>
      </c>
      <c r="R166" s="11">
        <f t="shared" ca="1" si="14"/>
        <v>6</v>
      </c>
      <c r="S166" s="11" t="str">
        <f t="shared" si="15"/>
        <v>700-749</v>
      </c>
    </row>
    <row r="167" spans="1:19" x14ac:dyDescent="0.3">
      <c r="A167" s="11" t="s">
        <v>179</v>
      </c>
      <c r="B167" s="11" t="s">
        <v>1028</v>
      </c>
      <c r="C167" s="11">
        <v>44</v>
      </c>
      <c r="D167" s="11" t="s">
        <v>1035</v>
      </c>
      <c r="E167" s="11" t="s">
        <v>1037</v>
      </c>
      <c r="F167" s="12">
        <v>664635</v>
      </c>
      <c r="G167" s="12">
        <v>1730688</v>
      </c>
      <c r="H167" s="11">
        <v>12.21</v>
      </c>
      <c r="I167" s="11">
        <v>96</v>
      </c>
      <c r="J167" s="11">
        <v>651</v>
      </c>
      <c r="K167" s="11" t="s">
        <v>1042</v>
      </c>
      <c r="L167" s="11" t="s">
        <v>1044</v>
      </c>
      <c r="M167" s="13">
        <v>44028</v>
      </c>
      <c r="N167" s="11" t="s">
        <v>1046</v>
      </c>
      <c r="O167" s="14">
        <f t="shared" si="11"/>
        <v>28328.67025274592</v>
      </c>
      <c r="P167" s="14">
        <f t="shared" si="12"/>
        <v>2719552.3442636086</v>
      </c>
      <c r="Q167" s="14">
        <f t="shared" si="13"/>
        <v>988864.34426360857</v>
      </c>
      <c r="R167" s="11">
        <f t="shared" ca="1" si="14"/>
        <v>5</v>
      </c>
      <c r="S167" s="11" t="str">
        <f t="shared" si="15"/>
        <v>650-699</v>
      </c>
    </row>
    <row r="168" spans="1:19" x14ac:dyDescent="0.3">
      <c r="A168" s="11" t="s">
        <v>180</v>
      </c>
      <c r="B168" s="11" t="s">
        <v>1021</v>
      </c>
      <c r="C168" s="11">
        <v>34</v>
      </c>
      <c r="D168" s="11" t="s">
        <v>1034</v>
      </c>
      <c r="E168" s="11" t="s">
        <v>1036</v>
      </c>
      <c r="F168" s="12">
        <v>1746984</v>
      </c>
      <c r="G168" s="12">
        <v>805081</v>
      </c>
      <c r="H168" s="11">
        <v>12.84</v>
      </c>
      <c r="I168" s="11">
        <v>96</v>
      </c>
      <c r="J168" s="11">
        <v>741</v>
      </c>
      <c r="K168" s="11" t="s">
        <v>1041</v>
      </c>
      <c r="L168" s="11" t="s">
        <v>1044</v>
      </c>
      <c r="M168" s="13">
        <v>45526</v>
      </c>
      <c r="N168" s="11" t="s">
        <v>1046</v>
      </c>
      <c r="O168" s="14">
        <f t="shared" si="11"/>
        <v>13459.250561606008</v>
      </c>
      <c r="P168" s="14">
        <f t="shared" si="12"/>
        <v>1292088.0539141768</v>
      </c>
      <c r="Q168" s="14">
        <f t="shared" si="13"/>
        <v>487007.05391417677</v>
      </c>
      <c r="R168" s="11">
        <f t="shared" ca="1" si="14"/>
        <v>1</v>
      </c>
      <c r="S168" s="11" t="str">
        <f t="shared" si="15"/>
        <v>700-749</v>
      </c>
    </row>
    <row r="169" spans="1:19" x14ac:dyDescent="0.3">
      <c r="A169" s="11" t="s">
        <v>181</v>
      </c>
      <c r="B169" s="11" t="s">
        <v>1019</v>
      </c>
      <c r="C169" s="11">
        <v>54</v>
      </c>
      <c r="D169" s="11" t="s">
        <v>1035</v>
      </c>
      <c r="E169" s="11" t="s">
        <v>1036</v>
      </c>
      <c r="F169" s="12">
        <v>1292789</v>
      </c>
      <c r="G169" s="12">
        <v>468996</v>
      </c>
      <c r="H169" s="11">
        <v>14.57</v>
      </c>
      <c r="I169" s="11">
        <v>60</v>
      </c>
      <c r="J169" s="11">
        <v>728</v>
      </c>
      <c r="K169" s="11" t="s">
        <v>1042</v>
      </c>
      <c r="L169" s="11" t="s">
        <v>1044</v>
      </c>
      <c r="M169" s="13">
        <v>43245</v>
      </c>
      <c r="N169" s="11" t="s">
        <v>1046</v>
      </c>
      <c r="O169" s="14">
        <f t="shared" si="11"/>
        <v>11051.803809232366</v>
      </c>
      <c r="P169" s="14">
        <f t="shared" si="12"/>
        <v>663108.22855394194</v>
      </c>
      <c r="Q169" s="14">
        <f t="shared" si="13"/>
        <v>194112.22855394194</v>
      </c>
      <c r="R169" s="11">
        <f t="shared" ca="1" si="14"/>
        <v>7</v>
      </c>
      <c r="S169" s="11" t="str">
        <f t="shared" si="15"/>
        <v>700-749</v>
      </c>
    </row>
    <row r="170" spans="1:19" x14ac:dyDescent="0.3">
      <c r="A170" s="11" t="s">
        <v>182</v>
      </c>
      <c r="B170" s="11" t="s">
        <v>1021</v>
      </c>
      <c r="C170" s="11">
        <v>32</v>
      </c>
      <c r="D170" s="11" t="s">
        <v>1035</v>
      </c>
      <c r="E170" s="11" t="s">
        <v>1038</v>
      </c>
      <c r="F170" s="12">
        <v>1289302</v>
      </c>
      <c r="G170" s="12">
        <v>1695041</v>
      </c>
      <c r="H170" s="11">
        <v>8.74</v>
      </c>
      <c r="I170" s="11">
        <v>60</v>
      </c>
      <c r="J170" s="11">
        <v>709</v>
      </c>
      <c r="K170" s="11" t="s">
        <v>1042</v>
      </c>
      <c r="L170" s="11" t="s">
        <v>1044</v>
      </c>
      <c r="M170" s="13">
        <v>44774</v>
      </c>
      <c r="N170" s="11" t="s">
        <v>1047</v>
      </c>
      <c r="O170" s="14">
        <f t="shared" si="11"/>
        <v>34972.758100816995</v>
      </c>
      <c r="P170" s="14">
        <f t="shared" si="12"/>
        <v>2098365.4860490197</v>
      </c>
      <c r="Q170" s="14">
        <f t="shared" si="13"/>
        <v>403324.48604901973</v>
      </c>
      <c r="R170" s="11">
        <f t="shared" ca="1" si="14"/>
        <v>3</v>
      </c>
      <c r="S170" s="11" t="str">
        <f t="shared" si="15"/>
        <v>700-749</v>
      </c>
    </row>
    <row r="171" spans="1:19" x14ac:dyDescent="0.3">
      <c r="A171" s="11" t="s">
        <v>183</v>
      </c>
      <c r="B171" s="11" t="s">
        <v>1014</v>
      </c>
      <c r="C171" s="11">
        <v>29</v>
      </c>
      <c r="D171" s="11" t="s">
        <v>1035</v>
      </c>
      <c r="E171" s="11" t="s">
        <v>1036</v>
      </c>
      <c r="F171" s="12">
        <v>1735651</v>
      </c>
      <c r="G171" s="12">
        <v>1333856</v>
      </c>
      <c r="H171" s="11">
        <v>14.59</v>
      </c>
      <c r="I171" s="11">
        <v>72</v>
      </c>
      <c r="J171" s="11">
        <v>637</v>
      </c>
      <c r="K171" s="11" t="s">
        <v>1040</v>
      </c>
      <c r="L171" s="11" t="s">
        <v>1044</v>
      </c>
      <c r="M171" s="13">
        <v>45367</v>
      </c>
      <c r="N171" s="11" t="s">
        <v>1047</v>
      </c>
      <c r="O171" s="14">
        <f t="shared" si="11"/>
        <v>27908.259057929448</v>
      </c>
      <c r="P171" s="14">
        <f t="shared" si="12"/>
        <v>2009394.6521709203</v>
      </c>
      <c r="Q171" s="14">
        <f t="shared" si="13"/>
        <v>675538.65217092028</v>
      </c>
      <c r="R171" s="11">
        <f t="shared" ca="1" si="14"/>
        <v>1</v>
      </c>
      <c r="S171" s="11" t="str">
        <f t="shared" si="15"/>
        <v>600-649</v>
      </c>
    </row>
    <row r="172" spans="1:19" x14ac:dyDescent="0.3">
      <c r="A172" s="11" t="s">
        <v>184</v>
      </c>
      <c r="B172" s="11" t="s">
        <v>1015</v>
      </c>
      <c r="C172" s="11">
        <v>52</v>
      </c>
      <c r="D172" s="11" t="s">
        <v>1034</v>
      </c>
      <c r="E172" s="11" t="s">
        <v>1038</v>
      </c>
      <c r="F172" s="12">
        <v>565493</v>
      </c>
      <c r="G172" s="12">
        <v>1113525</v>
      </c>
      <c r="H172" s="11">
        <v>10.63</v>
      </c>
      <c r="I172" s="11">
        <v>96</v>
      </c>
      <c r="J172" s="11">
        <v>602</v>
      </c>
      <c r="K172" s="11" t="s">
        <v>1042</v>
      </c>
      <c r="L172" s="11" t="s">
        <v>1044</v>
      </c>
      <c r="M172" s="13">
        <v>45260</v>
      </c>
      <c r="N172" s="11" t="s">
        <v>1047</v>
      </c>
      <c r="O172" s="14">
        <f t="shared" si="11"/>
        <v>17270.279889243622</v>
      </c>
      <c r="P172" s="14">
        <f t="shared" si="12"/>
        <v>1657946.8693673876</v>
      </c>
      <c r="Q172" s="14">
        <f t="shared" si="13"/>
        <v>544421.86936738761</v>
      </c>
      <c r="R172" s="11">
        <f t="shared" ca="1" si="14"/>
        <v>2</v>
      </c>
      <c r="S172" s="11" t="str">
        <f t="shared" si="15"/>
        <v>600-649</v>
      </c>
    </row>
    <row r="173" spans="1:19" x14ac:dyDescent="0.3">
      <c r="A173" s="11" t="s">
        <v>185</v>
      </c>
      <c r="B173" s="11" t="s">
        <v>1021</v>
      </c>
      <c r="C173" s="11">
        <v>40</v>
      </c>
      <c r="D173" s="11" t="s">
        <v>1035</v>
      </c>
      <c r="E173" s="11" t="s">
        <v>1037</v>
      </c>
      <c r="F173" s="12">
        <v>943160</v>
      </c>
      <c r="G173" s="12">
        <v>1228673</v>
      </c>
      <c r="H173" s="11">
        <v>10.210000000000001</v>
      </c>
      <c r="I173" s="11">
        <v>84</v>
      </c>
      <c r="J173" s="11">
        <v>624</v>
      </c>
      <c r="K173" s="11" t="s">
        <v>1040</v>
      </c>
      <c r="L173" s="11" t="s">
        <v>1044</v>
      </c>
      <c r="M173" s="13">
        <v>44586</v>
      </c>
      <c r="N173" s="11" t="s">
        <v>1045</v>
      </c>
      <c r="O173" s="14">
        <f t="shared" si="11"/>
        <v>20530.992697582518</v>
      </c>
      <c r="P173" s="14">
        <f t="shared" si="12"/>
        <v>1724603.3865969316</v>
      </c>
      <c r="Q173" s="14">
        <f t="shared" si="13"/>
        <v>495930.38659693161</v>
      </c>
      <c r="R173" s="11">
        <f t="shared" ca="1" si="14"/>
        <v>3</v>
      </c>
      <c r="S173" s="11" t="str">
        <f t="shared" si="15"/>
        <v>600-649</v>
      </c>
    </row>
    <row r="174" spans="1:19" x14ac:dyDescent="0.3">
      <c r="A174" s="11" t="s">
        <v>186</v>
      </c>
      <c r="B174" s="11" t="s">
        <v>1025</v>
      </c>
      <c r="C174" s="11">
        <v>54</v>
      </c>
      <c r="D174" s="11" t="s">
        <v>1034</v>
      </c>
      <c r="E174" s="11" t="s">
        <v>1036</v>
      </c>
      <c r="F174" s="12">
        <v>1507888</v>
      </c>
      <c r="G174" s="12">
        <v>1807666</v>
      </c>
      <c r="H174" s="11">
        <v>8.7200000000000006</v>
      </c>
      <c r="I174" s="11">
        <v>96</v>
      </c>
      <c r="J174" s="11">
        <v>678</v>
      </c>
      <c r="K174" s="11" t="s">
        <v>1041</v>
      </c>
      <c r="L174" s="11" t="s">
        <v>1043</v>
      </c>
      <c r="M174" s="13">
        <v>45442</v>
      </c>
      <c r="N174" s="11" t="s">
        <v>1048</v>
      </c>
      <c r="O174" s="14">
        <f t="shared" si="11"/>
        <v>26220.844158921627</v>
      </c>
      <c r="P174" s="14">
        <f t="shared" si="12"/>
        <v>2517201.0392564763</v>
      </c>
      <c r="Q174" s="14">
        <f t="shared" si="13"/>
        <v>709535.03925647633</v>
      </c>
      <c r="R174" s="11">
        <f t="shared" ca="1" si="14"/>
        <v>1</v>
      </c>
      <c r="S174" s="11" t="str">
        <f t="shared" si="15"/>
        <v>650-699</v>
      </c>
    </row>
    <row r="175" spans="1:19" x14ac:dyDescent="0.3">
      <c r="A175" s="11" t="s">
        <v>187</v>
      </c>
      <c r="B175" s="11" t="s">
        <v>1033</v>
      </c>
      <c r="C175" s="11">
        <v>27</v>
      </c>
      <c r="D175" s="11" t="s">
        <v>1034</v>
      </c>
      <c r="E175" s="11" t="s">
        <v>1037</v>
      </c>
      <c r="F175" s="12">
        <v>1842615</v>
      </c>
      <c r="G175" s="12">
        <v>328669</v>
      </c>
      <c r="H175" s="11">
        <v>11.83</v>
      </c>
      <c r="I175" s="11">
        <v>120</v>
      </c>
      <c r="J175" s="11">
        <v>808</v>
      </c>
      <c r="K175" s="11" t="s">
        <v>1041</v>
      </c>
      <c r="L175" s="11" t="s">
        <v>1044</v>
      </c>
      <c r="M175" s="13">
        <v>43171</v>
      </c>
      <c r="N175" s="11" t="s">
        <v>1048</v>
      </c>
      <c r="O175" s="14">
        <f t="shared" si="11"/>
        <v>4683.2021078968519</v>
      </c>
      <c r="P175" s="14">
        <f t="shared" si="12"/>
        <v>561984.25294762221</v>
      </c>
      <c r="Q175" s="14">
        <f t="shared" si="13"/>
        <v>233315.25294762221</v>
      </c>
      <c r="R175" s="11">
        <f t="shared" ca="1" si="14"/>
        <v>7</v>
      </c>
      <c r="S175" s="11" t="str">
        <f t="shared" si="15"/>
        <v>800-850</v>
      </c>
    </row>
    <row r="176" spans="1:19" x14ac:dyDescent="0.3">
      <c r="A176" s="11" t="s">
        <v>188</v>
      </c>
      <c r="B176" s="11" t="s">
        <v>1029</v>
      </c>
      <c r="C176" s="11">
        <v>53</v>
      </c>
      <c r="D176" s="11" t="s">
        <v>1035</v>
      </c>
      <c r="E176" s="11" t="s">
        <v>1038</v>
      </c>
      <c r="F176" s="12">
        <v>1867019</v>
      </c>
      <c r="G176" s="12">
        <v>1634563</v>
      </c>
      <c r="H176" s="11">
        <v>13.91</v>
      </c>
      <c r="I176" s="11">
        <v>84</v>
      </c>
      <c r="J176" s="11">
        <v>621</v>
      </c>
      <c r="K176" s="11" t="s">
        <v>1042</v>
      </c>
      <c r="L176" s="11" t="s">
        <v>1044</v>
      </c>
      <c r="M176" s="13">
        <v>43180</v>
      </c>
      <c r="N176" s="11" t="s">
        <v>1047</v>
      </c>
      <c r="O176" s="14">
        <f t="shared" si="11"/>
        <v>30550.520790917337</v>
      </c>
      <c r="P176" s="14">
        <f t="shared" si="12"/>
        <v>2566243.7464370565</v>
      </c>
      <c r="Q176" s="14">
        <f t="shared" si="13"/>
        <v>931680.74643705646</v>
      </c>
      <c r="R176" s="11">
        <f t="shared" ca="1" si="14"/>
        <v>7</v>
      </c>
      <c r="S176" s="11" t="str">
        <f t="shared" si="15"/>
        <v>600-649</v>
      </c>
    </row>
    <row r="177" spans="1:19" x14ac:dyDescent="0.3">
      <c r="A177" s="11" t="s">
        <v>189</v>
      </c>
      <c r="B177" s="11" t="s">
        <v>1031</v>
      </c>
      <c r="C177" s="11">
        <v>28</v>
      </c>
      <c r="D177" s="11" t="s">
        <v>1035</v>
      </c>
      <c r="E177" s="11" t="s">
        <v>1036</v>
      </c>
      <c r="F177" s="12">
        <v>1009869</v>
      </c>
      <c r="G177" s="12">
        <v>1307056</v>
      </c>
      <c r="H177" s="11">
        <v>14.18</v>
      </c>
      <c r="I177" s="11">
        <v>120</v>
      </c>
      <c r="J177" s="11">
        <v>619</v>
      </c>
      <c r="K177" s="11" t="s">
        <v>1040</v>
      </c>
      <c r="L177" s="11" t="s">
        <v>1043</v>
      </c>
      <c r="M177" s="13">
        <v>45114</v>
      </c>
      <c r="N177" s="11" t="s">
        <v>1046</v>
      </c>
      <c r="O177" s="14">
        <f t="shared" si="11"/>
        <v>20435.890290643405</v>
      </c>
      <c r="P177" s="14">
        <f t="shared" si="12"/>
        <v>2452306.8348772088</v>
      </c>
      <c r="Q177" s="14">
        <f t="shared" si="13"/>
        <v>1145250.8348772088</v>
      </c>
      <c r="R177" s="11">
        <f t="shared" ca="1" si="14"/>
        <v>2</v>
      </c>
      <c r="S177" s="11" t="str">
        <f t="shared" si="15"/>
        <v>600-649</v>
      </c>
    </row>
    <row r="178" spans="1:19" x14ac:dyDescent="0.3">
      <c r="A178" s="11" t="s">
        <v>190</v>
      </c>
      <c r="B178" s="11" t="s">
        <v>1023</v>
      </c>
      <c r="C178" s="11">
        <v>42</v>
      </c>
      <c r="D178" s="11" t="s">
        <v>1035</v>
      </c>
      <c r="E178" s="11" t="s">
        <v>1038</v>
      </c>
      <c r="F178" s="12">
        <v>919067</v>
      </c>
      <c r="G178" s="12">
        <v>372317</v>
      </c>
      <c r="H178" s="11">
        <v>11.74</v>
      </c>
      <c r="I178" s="11">
        <v>60</v>
      </c>
      <c r="J178" s="11">
        <v>763</v>
      </c>
      <c r="K178" s="11" t="s">
        <v>1040</v>
      </c>
      <c r="L178" s="11" t="s">
        <v>1044</v>
      </c>
      <c r="M178" s="13">
        <v>43735</v>
      </c>
      <c r="N178" s="11" t="s">
        <v>1046</v>
      </c>
      <c r="O178" s="14">
        <f t="shared" si="11"/>
        <v>8233.1517099980811</v>
      </c>
      <c r="P178" s="14">
        <f t="shared" si="12"/>
        <v>493989.10259988485</v>
      </c>
      <c r="Q178" s="14">
        <f t="shared" si="13"/>
        <v>121672.10259988485</v>
      </c>
      <c r="R178" s="11">
        <f t="shared" ca="1" si="14"/>
        <v>6</v>
      </c>
      <c r="S178" s="11" t="str">
        <f t="shared" si="15"/>
        <v>750-799</v>
      </c>
    </row>
    <row r="179" spans="1:19" x14ac:dyDescent="0.3">
      <c r="A179" s="11" t="s">
        <v>191</v>
      </c>
      <c r="B179" s="11" t="s">
        <v>1014</v>
      </c>
      <c r="C179" s="11">
        <v>28</v>
      </c>
      <c r="D179" s="11" t="s">
        <v>1034</v>
      </c>
      <c r="E179" s="11" t="s">
        <v>1036</v>
      </c>
      <c r="F179" s="12">
        <v>899207</v>
      </c>
      <c r="G179" s="12">
        <v>985060</v>
      </c>
      <c r="H179" s="11">
        <v>12.9</v>
      </c>
      <c r="I179" s="11">
        <v>48</v>
      </c>
      <c r="J179" s="11">
        <v>826</v>
      </c>
      <c r="K179" s="11" t="s">
        <v>1041</v>
      </c>
      <c r="L179" s="11" t="s">
        <v>1044</v>
      </c>
      <c r="M179" s="13">
        <v>45454</v>
      </c>
      <c r="N179" s="11" t="s">
        <v>1048</v>
      </c>
      <c r="O179" s="14">
        <f t="shared" si="11"/>
        <v>26377.82829967589</v>
      </c>
      <c r="P179" s="14">
        <f t="shared" si="12"/>
        <v>1266135.7583844427</v>
      </c>
      <c r="Q179" s="14">
        <f t="shared" si="13"/>
        <v>281075.75838444266</v>
      </c>
      <c r="R179" s="11">
        <f t="shared" ca="1" si="14"/>
        <v>1</v>
      </c>
      <c r="S179" s="11" t="str">
        <f t="shared" si="15"/>
        <v>800-850</v>
      </c>
    </row>
    <row r="180" spans="1:19" x14ac:dyDescent="0.3">
      <c r="A180" s="11" t="s">
        <v>192</v>
      </c>
      <c r="B180" s="11" t="s">
        <v>1020</v>
      </c>
      <c r="C180" s="11">
        <v>58</v>
      </c>
      <c r="D180" s="11" t="s">
        <v>1034</v>
      </c>
      <c r="E180" s="11" t="s">
        <v>1037</v>
      </c>
      <c r="F180" s="12">
        <v>549016</v>
      </c>
      <c r="G180" s="12">
        <v>1404101</v>
      </c>
      <c r="H180" s="11">
        <v>8.74</v>
      </c>
      <c r="I180" s="11">
        <v>120</v>
      </c>
      <c r="J180" s="11">
        <v>807</v>
      </c>
      <c r="K180" s="11" t="s">
        <v>1042</v>
      </c>
      <c r="L180" s="11" t="s">
        <v>1044</v>
      </c>
      <c r="M180" s="13">
        <v>43238</v>
      </c>
      <c r="N180" s="11" t="s">
        <v>1045</v>
      </c>
      <c r="O180" s="14">
        <f t="shared" si="11"/>
        <v>17589.588121171997</v>
      </c>
      <c r="P180" s="14">
        <f t="shared" si="12"/>
        <v>2110750.5745406398</v>
      </c>
      <c r="Q180" s="14">
        <f t="shared" si="13"/>
        <v>706649.57454063976</v>
      </c>
      <c r="R180" s="11">
        <f t="shared" ca="1" si="14"/>
        <v>7</v>
      </c>
      <c r="S180" s="11" t="str">
        <f t="shared" si="15"/>
        <v>800-850</v>
      </c>
    </row>
    <row r="181" spans="1:19" x14ac:dyDescent="0.3">
      <c r="A181" s="11" t="s">
        <v>193</v>
      </c>
      <c r="B181" s="11" t="s">
        <v>1018</v>
      </c>
      <c r="C181" s="11">
        <v>41</v>
      </c>
      <c r="D181" s="11" t="s">
        <v>1034</v>
      </c>
      <c r="E181" s="11" t="s">
        <v>1037</v>
      </c>
      <c r="F181" s="12">
        <v>934072</v>
      </c>
      <c r="G181" s="12">
        <v>1514268</v>
      </c>
      <c r="H181" s="11">
        <v>11.74</v>
      </c>
      <c r="I181" s="11">
        <v>120</v>
      </c>
      <c r="J181" s="11">
        <v>724</v>
      </c>
      <c r="K181" s="11" t="s">
        <v>1040</v>
      </c>
      <c r="L181" s="11" t="s">
        <v>1044</v>
      </c>
      <c r="M181" s="13">
        <v>45556</v>
      </c>
      <c r="N181" s="11" t="s">
        <v>1045</v>
      </c>
      <c r="O181" s="14">
        <f t="shared" si="11"/>
        <v>21498.3588120653</v>
      </c>
      <c r="P181" s="14">
        <f t="shared" si="12"/>
        <v>2579803.0574478358</v>
      </c>
      <c r="Q181" s="14">
        <f t="shared" si="13"/>
        <v>1065535.0574478358</v>
      </c>
      <c r="R181" s="11">
        <f t="shared" ca="1" si="14"/>
        <v>1</v>
      </c>
      <c r="S181" s="11" t="str">
        <f t="shared" si="15"/>
        <v>700-749</v>
      </c>
    </row>
    <row r="182" spans="1:19" x14ac:dyDescent="0.3">
      <c r="A182" s="11" t="s">
        <v>194</v>
      </c>
      <c r="B182" s="11" t="s">
        <v>1033</v>
      </c>
      <c r="C182" s="11">
        <v>41</v>
      </c>
      <c r="D182" s="11" t="s">
        <v>1034</v>
      </c>
      <c r="E182" s="11" t="s">
        <v>1038</v>
      </c>
      <c r="F182" s="12">
        <v>1357401</v>
      </c>
      <c r="G182" s="12">
        <v>1418097</v>
      </c>
      <c r="H182" s="11">
        <v>13.89</v>
      </c>
      <c r="I182" s="11">
        <v>48</v>
      </c>
      <c r="J182" s="11">
        <v>607</v>
      </c>
      <c r="K182" s="11" t="s">
        <v>1040</v>
      </c>
      <c r="L182" s="11" t="s">
        <v>1044</v>
      </c>
      <c r="M182" s="13">
        <v>45401</v>
      </c>
      <c r="N182" s="11" t="s">
        <v>1046</v>
      </c>
      <c r="O182" s="14">
        <f t="shared" si="11"/>
        <v>38673.389967202318</v>
      </c>
      <c r="P182" s="14">
        <f t="shared" si="12"/>
        <v>1856322.7184257112</v>
      </c>
      <c r="Q182" s="14">
        <f t="shared" si="13"/>
        <v>438225.71842571115</v>
      </c>
      <c r="R182" s="11">
        <f t="shared" ca="1" si="14"/>
        <v>1</v>
      </c>
      <c r="S182" s="11" t="str">
        <f t="shared" si="15"/>
        <v>600-649</v>
      </c>
    </row>
    <row r="183" spans="1:19" x14ac:dyDescent="0.3">
      <c r="A183" s="11" t="s">
        <v>195</v>
      </c>
      <c r="B183" s="11" t="s">
        <v>1027</v>
      </c>
      <c r="C183" s="11">
        <v>45</v>
      </c>
      <c r="D183" s="11" t="s">
        <v>1035</v>
      </c>
      <c r="E183" s="11" t="s">
        <v>1038</v>
      </c>
      <c r="F183" s="12">
        <v>1663425</v>
      </c>
      <c r="G183" s="12">
        <v>1479286</v>
      </c>
      <c r="H183" s="11">
        <v>14.2</v>
      </c>
      <c r="I183" s="11">
        <v>72</v>
      </c>
      <c r="J183" s="11">
        <v>724</v>
      </c>
      <c r="K183" s="11" t="s">
        <v>1041</v>
      </c>
      <c r="L183" s="11" t="s">
        <v>1044</v>
      </c>
      <c r="M183" s="13">
        <v>43120</v>
      </c>
      <c r="N183" s="11" t="s">
        <v>1047</v>
      </c>
      <c r="O183" s="14">
        <f t="shared" si="11"/>
        <v>30640.429890396063</v>
      </c>
      <c r="P183" s="14">
        <f t="shared" si="12"/>
        <v>2206110.9521085164</v>
      </c>
      <c r="Q183" s="14">
        <f t="shared" si="13"/>
        <v>726824.95210851636</v>
      </c>
      <c r="R183" s="11">
        <f t="shared" ca="1" si="14"/>
        <v>7</v>
      </c>
      <c r="S183" s="11" t="str">
        <f t="shared" si="15"/>
        <v>700-749</v>
      </c>
    </row>
    <row r="184" spans="1:19" x14ac:dyDescent="0.3">
      <c r="A184" s="11" t="s">
        <v>196</v>
      </c>
      <c r="B184" s="11" t="s">
        <v>1023</v>
      </c>
      <c r="C184" s="11">
        <v>39</v>
      </c>
      <c r="D184" s="11" t="s">
        <v>1034</v>
      </c>
      <c r="E184" s="11" t="s">
        <v>1036</v>
      </c>
      <c r="F184" s="12">
        <v>1597883</v>
      </c>
      <c r="G184" s="12">
        <v>659573</v>
      </c>
      <c r="H184" s="11">
        <v>13.1</v>
      </c>
      <c r="I184" s="11">
        <v>36</v>
      </c>
      <c r="J184" s="11">
        <v>794</v>
      </c>
      <c r="K184" s="11" t="s">
        <v>1042</v>
      </c>
      <c r="L184" s="11" t="s">
        <v>1044</v>
      </c>
      <c r="M184" s="13">
        <v>45495</v>
      </c>
      <c r="N184" s="11" t="s">
        <v>1047</v>
      </c>
      <c r="O184" s="14">
        <f t="shared" si="11"/>
        <v>22255.403460018741</v>
      </c>
      <c r="P184" s="14">
        <f t="shared" si="12"/>
        <v>801194.52456067468</v>
      </c>
      <c r="Q184" s="14">
        <f t="shared" si="13"/>
        <v>141621.52456067468</v>
      </c>
      <c r="R184" s="11">
        <f t="shared" ca="1" si="14"/>
        <v>1</v>
      </c>
      <c r="S184" s="11" t="str">
        <f t="shared" si="15"/>
        <v>750-799</v>
      </c>
    </row>
    <row r="185" spans="1:19" x14ac:dyDescent="0.3">
      <c r="A185" s="11" t="s">
        <v>197</v>
      </c>
      <c r="B185" s="11" t="s">
        <v>1032</v>
      </c>
      <c r="C185" s="11">
        <v>27</v>
      </c>
      <c r="D185" s="11" t="s">
        <v>1034</v>
      </c>
      <c r="E185" s="11" t="s">
        <v>1038</v>
      </c>
      <c r="F185" s="12">
        <v>884531</v>
      </c>
      <c r="G185" s="12">
        <v>1488144</v>
      </c>
      <c r="H185" s="11">
        <v>11.73</v>
      </c>
      <c r="I185" s="11">
        <v>120</v>
      </c>
      <c r="J185" s="11">
        <v>647</v>
      </c>
      <c r="K185" s="11" t="s">
        <v>1039</v>
      </c>
      <c r="L185" s="11" t="s">
        <v>1044</v>
      </c>
      <c r="M185" s="13">
        <v>43145</v>
      </c>
      <c r="N185" s="11" t="s">
        <v>1048</v>
      </c>
      <c r="O185" s="14">
        <f t="shared" si="11"/>
        <v>21118.915573615039</v>
      </c>
      <c r="P185" s="14">
        <f t="shared" si="12"/>
        <v>2534269.8688338045</v>
      </c>
      <c r="Q185" s="14">
        <f t="shared" si="13"/>
        <v>1046125.8688338045</v>
      </c>
      <c r="R185" s="11">
        <f t="shared" ca="1" si="14"/>
        <v>7</v>
      </c>
      <c r="S185" s="11" t="str">
        <f t="shared" si="15"/>
        <v>600-649</v>
      </c>
    </row>
    <row r="186" spans="1:19" x14ac:dyDescent="0.3">
      <c r="A186" s="11" t="s">
        <v>198</v>
      </c>
      <c r="B186" s="11" t="s">
        <v>1026</v>
      </c>
      <c r="C186" s="11">
        <v>33</v>
      </c>
      <c r="D186" s="11" t="s">
        <v>1035</v>
      </c>
      <c r="E186" s="11" t="s">
        <v>1038</v>
      </c>
      <c r="F186" s="12">
        <v>1344792</v>
      </c>
      <c r="G186" s="12">
        <v>1134871</v>
      </c>
      <c r="H186" s="11">
        <v>9.81</v>
      </c>
      <c r="I186" s="11">
        <v>48</v>
      </c>
      <c r="J186" s="11">
        <v>746</v>
      </c>
      <c r="K186" s="11" t="s">
        <v>1041</v>
      </c>
      <c r="L186" s="11" t="s">
        <v>1044</v>
      </c>
      <c r="M186" s="13">
        <v>43831</v>
      </c>
      <c r="N186" s="11" t="s">
        <v>1047</v>
      </c>
      <c r="O186" s="14">
        <f t="shared" si="11"/>
        <v>28679.818173194391</v>
      </c>
      <c r="P186" s="14">
        <f t="shared" si="12"/>
        <v>1376631.2723133308</v>
      </c>
      <c r="Q186" s="14">
        <f t="shared" si="13"/>
        <v>241760.27231333079</v>
      </c>
      <c r="R186" s="11">
        <f t="shared" ca="1" si="14"/>
        <v>5</v>
      </c>
      <c r="S186" s="11" t="str">
        <f t="shared" si="15"/>
        <v>700-749</v>
      </c>
    </row>
    <row r="187" spans="1:19" x14ac:dyDescent="0.3">
      <c r="A187" s="11" t="s">
        <v>199</v>
      </c>
      <c r="B187" s="11" t="s">
        <v>1014</v>
      </c>
      <c r="C187" s="11">
        <v>36</v>
      </c>
      <c r="D187" s="11" t="s">
        <v>1034</v>
      </c>
      <c r="E187" s="11" t="s">
        <v>1038</v>
      </c>
      <c r="F187" s="12">
        <v>1161261</v>
      </c>
      <c r="G187" s="12">
        <v>495127</v>
      </c>
      <c r="H187" s="11">
        <v>14.19</v>
      </c>
      <c r="I187" s="11">
        <v>96</v>
      </c>
      <c r="J187" s="11">
        <v>784</v>
      </c>
      <c r="K187" s="11" t="s">
        <v>1041</v>
      </c>
      <c r="L187" s="11" t="s">
        <v>1044</v>
      </c>
      <c r="M187" s="13">
        <v>43507</v>
      </c>
      <c r="N187" s="11" t="s">
        <v>1048</v>
      </c>
      <c r="O187" s="14">
        <f t="shared" si="11"/>
        <v>8654.723457010834</v>
      </c>
      <c r="P187" s="14">
        <f t="shared" si="12"/>
        <v>830853.45187304006</v>
      </c>
      <c r="Q187" s="14">
        <f t="shared" si="13"/>
        <v>335726.45187304006</v>
      </c>
      <c r="R187" s="11">
        <f t="shared" ca="1" si="14"/>
        <v>6</v>
      </c>
      <c r="S187" s="11" t="str">
        <f t="shared" si="15"/>
        <v>750-799</v>
      </c>
    </row>
    <row r="188" spans="1:19" x14ac:dyDescent="0.3">
      <c r="A188" s="11" t="s">
        <v>200</v>
      </c>
      <c r="B188" s="11" t="s">
        <v>1020</v>
      </c>
      <c r="C188" s="11">
        <v>35</v>
      </c>
      <c r="D188" s="11" t="s">
        <v>1035</v>
      </c>
      <c r="E188" s="11" t="s">
        <v>1038</v>
      </c>
      <c r="F188" s="12">
        <v>1167137</v>
      </c>
      <c r="G188" s="12">
        <v>1920625</v>
      </c>
      <c r="H188" s="11">
        <v>11.16</v>
      </c>
      <c r="I188" s="11">
        <v>48</v>
      </c>
      <c r="J188" s="11">
        <v>844</v>
      </c>
      <c r="K188" s="11" t="s">
        <v>1040</v>
      </c>
      <c r="L188" s="11" t="s">
        <v>1044</v>
      </c>
      <c r="M188" s="13">
        <v>44215</v>
      </c>
      <c r="N188" s="11" t="s">
        <v>1046</v>
      </c>
      <c r="O188" s="14">
        <f t="shared" si="11"/>
        <v>49788.923103479065</v>
      </c>
      <c r="P188" s="14">
        <f t="shared" si="12"/>
        <v>2389868.3089669952</v>
      </c>
      <c r="Q188" s="14">
        <f t="shared" si="13"/>
        <v>469243.30896699522</v>
      </c>
      <c r="R188" s="11">
        <f t="shared" ca="1" si="14"/>
        <v>4</v>
      </c>
      <c r="S188" s="11" t="str">
        <f t="shared" si="15"/>
        <v>800-850</v>
      </c>
    </row>
    <row r="189" spans="1:19" x14ac:dyDescent="0.3">
      <c r="A189" s="11" t="s">
        <v>201</v>
      </c>
      <c r="B189" s="11" t="s">
        <v>1016</v>
      </c>
      <c r="C189" s="11">
        <v>25</v>
      </c>
      <c r="D189" s="11" t="s">
        <v>1035</v>
      </c>
      <c r="E189" s="11" t="s">
        <v>1036</v>
      </c>
      <c r="F189" s="12">
        <v>1645202</v>
      </c>
      <c r="G189" s="12">
        <v>1481135</v>
      </c>
      <c r="H189" s="11">
        <v>8.9</v>
      </c>
      <c r="I189" s="11">
        <v>120</v>
      </c>
      <c r="J189" s="11">
        <v>636</v>
      </c>
      <c r="K189" s="11" t="s">
        <v>1039</v>
      </c>
      <c r="L189" s="11" t="s">
        <v>1043</v>
      </c>
      <c r="M189" s="13">
        <v>44693</v>
      </c>
      <c r="N189" s="11" t="s">
        <v>1047</v>
      </c>
      <c r="O189" s="14">
        <f t="shared" si="11"/>
        <v>18682.327627610452</v>
      </c>
      <c r="P189" s="14">
        <f t="shared" si="12"/>
        <v>2241879.315313254</v>
      </c>
      <c r="Q189" s="14">
        <f t="shared" si="13"/>
        <v>760744.31531325402</v>
      </c>
      <c r="R189" s="11">
        <f t="shared" ca="1" si="14"/>
        <v>3</v>
      </c>
      <c r="S189" s="11" t="str">
        <f t="shared" si="15"/>
        <v>600-649</v>
      </c>
    </row>
    <row r="190" spans="1:19" x14ac:dyDescent="0.3">
      <c r="A190" s="11" t="s">
        <v>202</v>
      </c>
      <c r="B190" s="11" t="s">
        <v>1017</v>
      </c>
      <c r="C190" s="11">
        <v>46</v>
      </c>
      <c r="D190" s="11" t="s">
        <v>1034</v>
      </c>
      <c r="E190" s="11" t="s">
        <v>1038</v>
      </c>
      <c r="F190" s="12">
        <v>1524542</v>
      </c>
      <c r="G190" s="12">
        <v>316230</v>
      </c>
      <c r="H190" s="11">
        <v>14.48</v>
      </c>
      <c r="I190" s="11">
        <v>72</v>
      </c>
      <c r="J190" s="11">
        <v>814</v>
      </c>
      <c r="K190" s="11" t="s">
        <v>1041</v>
      </c>
      <c r="L190" s="11" t="s">
        <v>1043</v>
      </c>
      <c r="M190" s="13">
        <v>43748</v>
      </c>
      <c r="N190" s="11" t="s">
        <v>1048</v>
      </c>
      <c r="O190" s="14">
        <f t="shared" si="11"/>
        <v>6597.7097380925197</v>
      </c>
      <c r="P190" s="14">
        <f t="shared" si="12"/>
        <v>475035.10114266141</v>
      </c>
      <c r="Q190" s="14">
        <f t="shared" si="13"/>
        <v>158805.10114266141</v>
      </c>
      <c r="R190" s="11">
        <f t="shared" ca="1" si="14"/>
        <v>6</v>
      </c>
      <c r="S190" s="11" t="str">
        <f t="shared" si="15"/>
        <v>800-850</v>
      </c>
    </row>
    <row r="191" spans="1:19" x14ac:dyDescent="0.3">
      <c r="A191" s="11" t="s">
        <v>203</v>
      </c>
      <c r="B191" s="11" t="s">
        <v>1032</v>
      </c>
      <c r="C191" s="11">
        <v>27</v>
      </c>
      <c r="D191" s="11" t="s">
        <v>1035</v>
      </c>
      <c r="E191" s="11" t="s">
        <v>1038</v>
      </c>
      <c r="F191" s="12">
        <v>1198153</v>
      </c>
      <c r="G191" s="12">
        <v>1375980</v>
      </c>
      <c r="H191" s="11">
        <v>8.39</v>
      </c>
      <c r="I191" s="11">
        <v>36</v>
      </c>
      <c r="J191" s="11">
        <v>661</v>
      </c>
      <c r="K191" s="11" t="s">
        <v>1039</v>
      </c>
      <c r="L191" s="11" t="s">
        <v>1044</v>
      </c>
      <c r="M191" s="13">
        <v>43637</v>
      </c>
      <c r="N191" s="11" t="s">
        <v>1048</v>
      </c>
      <c r="O191" s="14">
        <f t="shared" si="11"/>
        <v>43366.199910516545</v>
      </c>
      <c r="P191" s="14">
        <f t="shared" si="12"/>
        <v>1561183.1967785957</v>
      </c>
      <c r="Q191" s="14">
        <f t="shared" si="13"/>
        <v>185203.19677859568</v>
      </c>
      <c r="R191" s="11">
        <f t="shared" ca="1" si="14"/>
        <v>6</v>
      </c>
      <c r="S191" s="11" t="str">
        <f t="shared" si="15"/>
        <v>650-699</v>
      </c>
    </row>
    <row r="192" spans="1:19" x14ac:dyDescent="0.3">
      <c r="A192" s="11" t="s">
        <v>204</v>
      </c>
      <c r="B192" s="11" t="s">
        <v>1016</v>
      </c>
      <c r="C192" s="11">
        <v>41</v>
      </c>
      <c r="D192" s="11" t="s">
        <v>1034</v>
      </c>
      <c r="E192" s="11" t="s">
        <v>1038</v>
      </c>
      <c r="F192" s="12">
        <v>1118090</v>
      </c>
      <c r="G192" s="12">
        <v>1900474</v>
      </c>
      <c r="H192" s="11">
        <v>13.83</v>
      </c>
      <c r="I192" s="11">
        <v>48</v>
      </c>
      <c r="J192" s="11">
        <v>611</v>
      </c>
      <c r="K192" s="11" t="s">
        <v>1041</v>
      </c>
      <c r="L192" s="11" t="s">
        <v>1044</v>
      </c>
      <c r="M192" s="13">
        <v>45036</v>
      </c>
      <c r="N192" s="11" t="s">
        <v>1048</v>
      </c>
      <c r="O192" s="14">
        <f t="shared" si="11"/>
        <v>51771.336167054593</v>
      </c>
      <c r="P192" s="14">
        <f t="shared" si="12"/>
        <v>2485024.1360186203</v>
      </c>
      <c r="Q192" s="14">
        <f t="shared" si="13"/>
        <v>584550.13601862034</v>
      </c>
      <c r="R192" s="11">
        <f t="shared" ca="1" si="14"/>
        <v>2</v>
      </c>
      <c r="S192" s="11" t="str">
        <f t="shared" si="15"/>
        <v>600-649</v>
      </c>
    </row>
    <row r="193" spans="1:19" x14ac:dyDescent="0.3">
      <c r="A193" s="11" t="s">
        <v>205</v>
      </c>
      <c r="B193" s="11" t="s">
        <v>1025</v>
      </c>
      <c r="C193" s="11">
        <v>28</v>
      </c>
      <c r="D193" s="11" t="s">
        <v>1034</v>
      </c>
      <c r="E193" s="11" t="s">
        <v>1037</v>
      </c>
      <c r="F193" s="12">
        <v>378250</v>
      </c>
      <c r="G193" s="12">
        <v>1098506</v>
      </c>
      <c r="H193" s="11">
        <v>8.51</v>
      </c>
      <c r="I193" s="11">
        <v>84</v>
      </c>
      <c r="J193" s="11">
        <v>696</v>
      </c>
      <c r="K193" s="11" t="s">
        <v>1039</v>
      </c>
      <c r="L193" s="11" t="s">
        <v>1044</v>
      </c>
      <c r="M193" s="13">
        <v>45547</v>
      </c>
      <c r="N193" s="11" t="s">
        <v>1045</v>
      </c>
      <c r="O193" s="14">
        <f t="shared" si="11"/>
        <v>17401.998811427187</v>
      </c>
      <c r="P193" s="14">
        <f t="shared" si="12"/>
        <v>1461767.9001598838</v>
      </c>
      <c r="Q193" s="14">
        <f t="shared" si="13"/>
        <v>363261.90015988378</v>
      </c>
      <c r="R193" s="11">
        <f t="shared" ca="1" si="14"/>
        <v>1</v>
      </c>
      <c r="S193" s="11" t="str">
        <f t="shared" si="15"/>
        <v>650-699</v>
      </c>
    </row>
    <row r="194" spans="1:19" x14ac:dyDescent="0.3">
      <c r="A194" s="11" t="s">
        <v>206</v>
      </c>
      <c r="B194" s="11" t="s">
        <v>1014</v>
      </c>
      <c r="C194" s="11">
        <v>53</v>
      </c>
      <c r="D194" s="11" t="s">
        <v>1034</v>
      </c>
      <c r="E194" s="11" t="s">
        <v>1038</v>
      </c>
      <c r="F194" s="12">
        <v>452335</v>
      </c>
      <c r="G194" s="12">
        <v>735788</v>
      </c>
      <c r="H194" s="11">
        <v>13.25</v>
      </c>
      <c r="I194" s="11">
        <v>120</v>
      </c>
      <c r="J194" s="11">
        <v>667</v>
      </c>
      <c r="K194" s="11" t="s">
        <v>1042</v>
      </c>
      <c r="L194" s="11" t="s">
        <v>1044</v>
      </c>
      <c r="M194" s="13">
        <v>43251</v>
      </c>
      <c r="N194" s="11" t="s">
        <v>1047</v>
      </c>
      <c r="O194" s="14">
        <f t="shared" si="11"/>
        <v>11094.867489267084</v>
      </c>
      <c r="P194" s="14">
        <f t="shared" si="12"/>
        <v>1331384.0987120501</v>
      </c>
      <c r="Q194" s="14">
        <f t="shared" si="13"/>
        <v>595596.09871205012</v>
      </c>
      <c r="R194" s="11">
        <f t="shared" ca="1" si="14"/>
        <v>7</v>
      </c>
      <c r="S194" s="11" t="str">
        <f t="shared" si="15"/>
        <v>650-699</v>
      </c>
    </row>
    <row r="195" spans="1:19" x14ac:dyDescent="0.3">
      <c r="A195" s="11" t="s">
        <v>207</v>
      </c>
      <c r="B195" s="11" t="s">
        <v>1014</v>
      </c>
      <c r="C195" s="11">
        <v>31</v>
      </c>
      <c r="D195" s="11" t="s">
        <v>1035</v>
      </c>
      <c r="E195" s="11" t="s">
        <v>1038</v>
      </c>
      <c r="F195" s="12">
        <v>1946486</v>
      </c>
      <c r="G195" s="12">
        <v>757192</v>
      </c>
      <c r="H195" s="11">
        <v>11.39</v>
      </c>
      <c r="I195" s="11">
        <v>120</v>
      </c>
      <c r="J195" s="11">
        <v>782</v>
      </c>
      <c r="K195" s="11" t="s">
        <v>1042</v>
      </c>
      <c r="L195" s="11" t="s">
        <v>1044</v>
      </c>
      <c r="M195" s="13">
        <v>43517</v>
      </c>
      <c r="N195" s="11" t="s">
        <v>1045</v>
      </c>
      <c r="O195" s="14">
        <f t="shared" ref="O195:O258" si="16">PMT(H195/1200,I195,-G195)</f>
        <v>10598.178392712824</v>
      </c>
      <c r="P195" s="14">
        <f t="shared" ref="P195:P258" si="17">O195*I195</f>
        <v>1271781.4071255389</v>
      </c>
      <c r="Q195" s="14">
        <f t="shared" ref="Q195:Q258" si="18">P195-G195</f>
        <v>514589.40712553891</v>
      </c>
      <c r="R195" s="11">
        <f t="shared" ref="R195:R258" ca="1" si="19">(YEAR(TODAY())-YEAR(M195))</f>
        <v>6</v>
      </c>
      <c r="S195" s="11" t="str">
        <f t="shared" ref="S195:S258" si="20">IF(J195&lt;650,"600-649",
IF(J195&lt;700,"650-699",
IF(J195&lt;750,"700-749",
IF(J195&lt;800,"750-799","800-850"))))</f>
        <v>750-799</v>
      </c>
    </row>
    <row r="196" spans="1:19" x14ac:dyDescent="0.3">
      <c r="A196" s="11" t="s">
        <v>208</v>
      </c>
      <c r="B196" s="11" t="s">
        <v>1030</v>
      </c>
      <c r="C196" s="11">
        <v>57</v>
      </c>
      <c r="D196" s="11" t="s">
        <v>1035</v>
      </c>
      <c r="E196" s="11" t="s">
        <v>1036</v>
      </c>
      <c r="F196" s="12">
        <v>1265704</v>
      </c>
      <c r="G196" s="12">
        <v>881766</v>
      </c>
      <c r="H196" s="11">
        <v>13.52</v>
      </c>
      <c r="I196" s="11">
        <v>72</v>
      </c>
      <c r="J196" s="11">
        <v>788</v>
      </c>
      <c r="K196" s="11" t="s">
        <v>1041</v>
      </c>
      <c r="L196" s="11" t="s">
        <v>1044</v>
      </c>
      <c r="M196" s="13">
        <v>45554</v>
      </c>
      <c r="N196" s="11" t="s">
        <v>1045</v>
      </c>
      <c r="O196" s="14">
        <f t="shared" si="16"/>
        <v>17943.582274418</v>
      </c>
      <c r="P196" s="14">
        <f t="shared" si="17"/>
        <v>1291937.9237580961</v>
      </c>
      <c r="Q196" s="14">
        <f t="shared" si="18"/>
        <v>410171.92375809606</v>
      </c>
      <c r="R196" s="11">
        <f t="shared" ca="1" si="19"/>
        <v>1</v>
      </c>
      <c r="S196" s="11" t="str">
        <f t="shared" si="20"/>
        <v>750-799</v>
      </c>
    </row>
    <row r="197" spans="1:19" x14ac:dyDescent="0.3">
      <c r="A197" s="11" t="s">
        <v>209</v>
      </c>
      <c r="B197" s="11" t="s">
        <v>1027</v>
      </c>
      <c r="C197" s="11">
        <v>35</v>
      </c>
      <c r="D197" s="11" t="s">
        <v>1034</v>
      </c>
      <c r="E197" s="11" t="s">
        <v>1037</v>
      </c>
      <c r="F197" s="12">
        <v>1694894</v>
      </c>
      <c r="G197" s="12">
        <v>1224327</v>
      </c>
      <c r="H197" s="11">
        <v>8.57</v>
      </c>
      <c r="I197" s="11">
        <v>48</v>
      </c>
      <c r="J197" s="11">
        <v>827</v>
      </c>
      <c r="K197" s="11" t="s">
        <v>1042</v>
      </c>
      <c r="L197" s="11" t="s">
        <v>1044</v>
      </c>
      <c r="M197" s="13">
        <v>43416</v>
      </c>
      <c r="N197" s="11" t="s">
        <v>1045</v>
      </c>
      <c r="O197" s="14">
        <f t="shared" si="16"/>
        <v>30218.061726192609</v>
      </c>
      <c r="P197" s="14">
        <f t="shared" si="17"/>
        <v>1450466.9628572452</v>
      </c>
      <c r="Q197" s="14">
        <f t="shared" si="18"/>
        <v>226139.96285724523</v>
      </c>
      <c r="R197" s="11">
        <f t="shared" ca="1" si="19"/>
        <v>7</v>
      </c>
      <c r="S197" s="11" t="str">
        <f t="shared" si="20"/>
        <v>800-850</v>
      </c>
    </row>
    <row r="198" spans="1:19" x14ac:dyDescent="0.3">
      <c r="A198" s="11" t="s">
        <v>210</v>
      </c>
      <c r="B198" s="11" t="s">
        <v>1023</v>
      </c>
      <c r="C198" s="11">
        <v>42</v>
      </c>
      <c r="D198" s="11" t="s">
        <v>1035</v>
      </c>
      <c r="E198" s="11" t="s">
        <v>1038</v>
      </c>
      <c r="F198" s="12">
        <v>1903750</v>
      </c>
      <c r="G198" s="12">
        <v>1101452</v>
      </c>
      <c r="H198" s="11">
        <v>11.24</v>
      </c>
      <c r="I198" s="11">
        <v>36</v>
      </c>
      <c r="J198" s="11">
        <v>850</v>
      </c>
      <c r="K198" s="11" t="s">
        <v>1040</v>
      </c>
      <c r="L198" s="11" t="s">
        <v>1044</v>
      </c>
      <c r="M198" s="13">
        <v>44022</v>
      </c>
      <c r="N198" s="11" t="s">
        <v>1045</v>
      </c>
      <c r="O198" s="14">
        <f t="shared" si="16"/>
        <v>36185.440076145765</v>
      </c>
      <c r="P198" s="14">
        <f t="shared" si="17"/>
        <v>1302675.8427412475</v>
      </c>
      <c r="Q198" s="14">
        <f t="shared" si="18"/>
        <v>201223.8427412475</v>
      </c>
      <c r="R198" s="11">
        <f t="shared" ca="1" si="19"/>
        <v>5</v>
      </c>
      <c r="S198" s="11" t="str">
        <f t="shared" si="20"/>
        <v>800-850</v>
      </c>
    </row>
    <row r="199" spans="1:19" x14ac:dyDescent="0.3">
      <c r="A199" s="11" t="s">
        <v>211</v>
      </c>
      <c r="B199" s="11" t="s">
        <v>1028</v>
      </c>
      <c r="C199" s="11">
        <v>38</v>
      </c>
      <c r="D199" s="11" t="s">
        <v>1035</v>
      </c>
      <c r="E199" s="11" t="s">
        <v>1036</v>
      </c>
      <c r="F199" s="12">
        <v>1402548</v>
      </c>
      <c r="G199" s="12">
        <v>286958</v>
      </c>
      <c r="H199" s="11">
        <v>11.03</v>
      </c>
      <c r="I199" s="11">
        <v>36</v>
      </c>
      <c r="J199" s="11">
        <v>699</v>
      </c>
      <c r="K199" s="11" t="s">
        <v>1040</v>
      </c>
      <c r="L199" s="11" t="s">
        <v>1043</v>
      </c>
      <c r="M199" s="13">
        <v>45485</v>
      </c>
      <c r="N199" s="11" t="s">
        <v>1048</v>
      </c>
      <c r="O199" s="14">
        <f t="shared" si="16"/>
        <v>9398.7140958483051</v>
      </c>
      <c r="P199" s="14">
        <f t="shared" si="17"/>
        <v>338353.70745053899</v>
      </c>
      <c r="Q199" s="14">
        <f t="shared" si="18"/>
        <v>51395.70745053899</v>
      </c>
      <c r="R199" s="11">
        <f t="shared" ca="1" si="19"/>
        <v>1</v>
      </c>
      <c r="S199" s="11" t="str">
        <f t="shared" si="20"/>
        <v>650-699</v>
      </c>
    </row>
    <row r="200" spans="1:19" x14ac:dyDescent="0.3">
      <c r="A200" s="11" t="s">
        <v>212</v>
      </c>
      <c r="B200" s="11" t="s">
        <v>1019</v>
      </c>
      <c r="C200" s="11">
        <v>57</v>
      </c>
      <c r="D200" s="11" t="s">
        <v>1034</v>
      </c>
      <c r="E200" s="11" t="s">
        <v>1036</v>
      </c>
      <c r="F200" s="12">
        <v>1745684</v>
      </c>
      <c r="G200" s="12">
        <v>399571</v>
      </c>
      <c r="H200" s="11">
        <v>10.02</v>
      </c>
      <c r="I200" s="11">
        <v>72</v>
      </c>
      <c r="J200" s="11">
        <v>667</v>
      </c>
      <c r="K200" s="11" t="s">
        <v>1042</v>
      </c>
      <c r="L200" s="11" t="s">
        <v>1044</v>
      </c>
      <c r="M200" s="13">
        <v>45292</v>
      </c>
      <c r="N200" s="11" t="s">
        <v>1045</v>
      </c>
      <c r="O200" s="14">
        <f t="shared" si="16"/>
        <v>7406.4180889529807</v>
      </c>
      <c r="P200" s="14">
        <f t="shared" si="17"/>
        <v>533262.10240461456</v>
      </c>
      <c r="Q200" s="14">
        <f t="shared" si="18"/>
        <v>133691.10240461456</v>
      </c>
      <c r="R200" s="11">
        <f t="shared" ca="1" si="19"/>
        <v>1</v>
      </c>
      <c r="S200" s="11" t="str">
        <f t="shared" si="20"/>
        <v>650-699</v>
      </c>
    </row>
    <row r="201" spans="1:19" x14ac:dyDescent="0.3">
      <c r="A201" s="11" t="s">
        <v>213</v>
      </c>
      <c r="B201" s="11" t="s">
        <v>1027</v>
      </c>
      <c r="C201" s="11">
        <v>59</v>
      </c>
      <c r="D201" s="11" t="s">
        <v>1034</v>
      </c>
      <c r="E201" s="11" t="s">
        <v>1037</v>
      </c>
      <c r="F201" s="12">
        <v>1928752</v>
      </c>
      <c r="G201" s="12">
        <v>1226436</v>
      </c>
      <c r="H201" s="11">
        <v>7.87</v>
      </c>
      <c r="I201" s="11">
        <v>96</v>
      </c>
      <c r="J201" s="11">
        <v>683</v>
      </c>
      <c r="K201" s="11" t="s">
        <v>1039</v>
      </c>
      <c r="L201" s="11" t="s">
        <v>1044</v>
      </c>
      <c r="M201" s="13">
        <v>43733</v>
      </c>
      <c r="N201" s="11" t="s">
        <v>1046</v>
      </c>
      <c r="O201" s="14">
        <f t="shared" si="16"/>
        <v>17256.806114578249</v>
      </c>
      <c r="P201" s="14">
        <f t="shared" si="17"/>
        <v>1656653.3869995119</v>
      </c>
      <c r="Q201" s="14">
        <f t="shared" si="18"/>
        <v>430217.38699951186</v>
      </c>
      <c r="R201" s="11">
        <f t="shared" ca="1" si="19"/>
        <v>6</v>
      </c>
      <c r="S201" s="11" t="str">
        <f t="shared" si="20"/>
        <v>650-699</v>
      </c>
    </row>
    <row r="202" spans="1:19" x14ac:dyDescent="0.3">
      <c r="A202" s="11" t="s">
        <v>214</v>
      </c>
      <c r="B202" s="11" t="s">
        <v>1014</v>
      </c>
      <c r="C202" s="11">
        <v>51</v>
      </c>
      <c r="D202" s="11" t="s">
        <v>1035</v>
      </c>
      <c r="E202" s="11" t="s">
        <v>1036</v>
      </c>
      <c r="F202" s="12">
        <v>1415863</v>
      </c>
      <c r="G202" s="12">
        <v>407012</v>
      </c>
      <c r="H202" s="11">
        <v>7.57</v>
      </c>
      <c r="I202" s="11">
        <v>120</v>
      </c>
      <c r="J202" s="11">
        <v>673</v>
      </c>
      <c r="K202" s="11" t="s">
        <v>1040</v>
      </c>
      <c r="L202" s="11" t="s">
        <v>1044</v>
      </c>
      <c r="M202" s="13">
        <v>45363</v>
      </c>
      <c r="N202" s="11" t="s">
        <v>1048</v>
      </c>
      <c r="O202" s="14">
        <f t="shared" si="16"/>
        <v>4846.1873627511477</v>
      </c>
      <c r="P202" s="14">
        <f t="shared" si="17"/>
        <v>581542.48353013769</v>
      </c>
      <c r="Q202" s="14">
        <f t="shared" si="18"/>
        <v>174530.48353013769</v>
      </c>
      <c r="R202" s="11">
        <f t="shared" ca="1" si="19"/>
        <v>1</v>
      </c>
      <c r="S202" s="11" t="str">
        <f t="shared" si="20"/>
        <v>650-699</v>
      </c>
    </row>
    <row r="203" spans="1:19" x14ac:dyDescent="0.3">
      <c r="A203" s="11" t="s">
        <v>215</v>
      </c>
      <c r="B203" s="11" t="s">
        <v>1020</v>
      </c>
      <c r="C203" s="11">
        <v>41</v>
      </c>
      <c r="D203" s="11" t="s">
        <v>1035</v>
      </c>
      <c r="E203" s="11" t="s">
        <v>1037</v>
      </c>
      <c r="F203" s="12">
        <v>667640</v>
      </c>
      <c r="G203" s="12">
        <v>1679609</v>
      </c>
      <c r="H203" s="11">
        <v>14.96</v>
      </c>
      <c r="I203" s="11">
        <v>60</v>
      </c>
      <c r="J203" s="11">
        <v>639</v>
      </c>
      <c r="K203" s="11" t="s">
        <v>1040</v>
      </c>
      <c r="L203" s="11" t="s">
        <v>1044</v>
      </c>
      <c r="M203" s="13">
        <v>43174</v>
      </c>
      <c r="N203" s="11" t="s">
        <v>1048</v>
      </c>
      <c r="O203" s="14">
        <f t="shared" si="16"/>
        <v>39922.523451411536</v>
      </c>
      <c r="P203" s="14">
        <f t="shared" si="17"/>
        <v>2395351.4070846923</v>
      </c>
      <c r="Q203" s="14">
        <f t="shared" si="18"/>
        <v>715742.40708469227</v>
      </c>
      <c r="R203" s="11">
        <f t="shared" ca="1" si="19"/>
        <v>7</v>
      </c>
      <c r="S203" s="11" t="str">
        <f t="shared" si="20"/>
        <v>600-649</v>
      </c>
    </row>
    <row r="204" spans="1:19" x14ac:dyDescent="0.3">
      <c r="A204" s="11" t="s">
        <v>216</v>
      </c>
      <c r="B204" s="11" t="s">
        <v>1027</v>
      </c>
      <c r="C204" s="11">
        <v>25</v>
      </c>
      <c r="D204" s="11" t="s">
        <v>1035</v>
      </c>
      <c r="E204" s="11" t="s">
        <v>1037</v>
      </c>
      <c r="F204" s="12">
        <v>1885758</v>
      </c>
      <c r="G204" s="12">
        <v>884396</v>
      </c>
      <c r="H204" s="11">
        <v>11.05</v>
      </c>
      <c r="I204" s="11">
        <v>36</v>
      </c>
      <c r="J204" s="11">
        <v>804</v>
      </c>
      <c r="K204" s="11" t="s">
        <v>1040</v>
      </c>
      <c r="L204" s="11" t="s">
        <v>1044</v>
      </c>
      <c r="M204" s="13">
        <v>45044</v>
      </c>
      <c r="N204" s="11" t="s">
        <v>1045</v>
      </c>
      <c r="O204" s="14">
        <f t="shared" si="16"/>
        <v>28974.935836434259</v>
      </c>
      <c r="P204" s="14">
        <f t="shared" si="17"/>
        <v>1043097.6901116333</v>
      </c>
      <c r="Q204" s="14">
        <f t="shared" si="18"/>
        <v>158701.69011163327</v>
      </c>
      <c r="R204" s="11">
        <f t="shared" ca="1" si="19"/>
        <v>2</v>
      </c>
      <c r="S204" s="11" t="str">
        <f t="shared" si="20"/>
        <v>800-850</v>
      </c>
    </row>
    <row r="205" spans="1:19" x14ac:dyDescent="0.3">
      <c r="A205" s="11" t="s">
        <v>217</v>
      </c>
      <c r="B205" s="11" t="s">
        <v>1015</v>
      </c>
      <c r="C205" s="11">
        <v>39</v>
      </c>
      <c r="D205" s="11" t="s">
        <v>1035</v>
      </c>
      <c r="E205" s="11" t="s">
        <v>1037</v>
      </c>
      <c r="F205" s="12">
        <v>1262925</v>
      </c>
      <c r="G205" s="12">
        <v>676743</v>
      </c>
      <c r="H205" s="11">
        <v>8.84</v>
      </c>
      <c r="I205" s="11">
        <v>96</v>
      </c>
      <c r="J205" s="11">
        <v>717</v>
      </c>
      <c r="K205" s="11" t="s">
        <v>1039</v>
      </c>
      <c r="L205" s="11" t="s">
        <v>1044</v>
      </c>
      <c r="M205" s="13">
        <v>44753</v>
      </c>
      <c r="N205" s="11" t="s">
        <v>1047</v>
      </c>
      <c r="O205" s="14">
        <f t="shared" si="16"/>
        <v>9858.3417824819171</v>
      </c>
      <c r="P205" s="14">
        <f t="shared" si="17"/>
        <v>946400.81111826398</v>
      </c>
      <c r="Q205" s="14">
        <f t="shared" si="18"/>
        <v>269657.81111826398</v>
      </c>
      <c r="R205" s="11">
        <f t="shared" ca="1" si="19"/>
        <v>3</v>
      </c>
      <c r="S205" s="11" t="str">
        <f t="shared" si="20"/>
        <v>700-749</v>
      </c>
    </row>
    <row r="206" spans="1:19" x14ac:dyDescent="0.3">
      <c r="A206" s="11" t="s">
        <v>218</v>
      </c>
      <c r="B206" s="11" t="s">
        <v>1014</v>
      </c>
      <c r="C206" s="11">
        <v>50</v>
      </c>
      <c r="D206" s="11" t="s">
        <v>1035</v>
      </c>
      <c r="E206" s="11" t="s">
        <v>1036</v>
      </c>
      <c r="F206" s="12">
        <v>470384</v>
      </c>
      <c r="G206" s="12">
        <v>1696623</v>
      </c>
      <c r="H206" s="11">
        <v>12.75</v>
      </c>
      <c r="I206" s="11">
        <v>36</v>
      </c>
      <c r="J206" s="11">
        <v>759</v>
      </c>
      <c r="K206" s="11" t="s">
        <v>1040</v>
      </c>
      <c r="L206" s="11" t="s">
        <v>1044</v>
      </c>
      <c r="M206" s="13">
        <v>43945</v>
      </c>
      <c r="N206" s="11" t="s">
        <v>1045</v>
      </c>
      <c r="O206" s="14">
        <f t="shared" si="16"/>
        <v>56961.848104257973</v>
      </c>
      <c r="P206" s="14">
        <f t="shared" si="17"/>
        <v>2050626.531753287</v>
      </c>
      <c r="Q206" s="14">
        <f t="shared" si="18"/>
        <v>354003.53175328695</v>
      </c>
      <c r="R206" s="11">
        <f t="shared" ca="1" si="19"/>
        <v>5</v>
      </c>
      <c r="S206" s="11" t="str">
        <f t="shared" si="20"/>
        <v>750-799</v>
      </c>
    </row>
    <row r="207" spans="1:19" x14ac:dyDescent="0.3">
      <c r="A207" s="11" t="s">
        <v>219</v>
      </c>
      <c r="B207" s="11" t="s">
        <v>1019</v>
      </c>
      <c r="C207" s="11">
        <v>38</v>
      </c>
      <c r="D207" s="11" t="s">
        <v>1035</v>
      </c>
      <c r="E207" s="11" t="s">
        <v>1036</v>
      </c>
      <c r="F207" s="12">
        <v>1871531</v>
      </c>
      <c r="G207" s="12">
        <v>938281</v>
      </c>
      <c r="H207" s="11">
        <v>8.8000000000000007</v>
      </c>
      <c r="I207" s="11">
        <v>84</v>
      </c>
      <c r="J207" s="11">
        <v>772</v>
      </c>
      <c r="K207" s="11" t="s">
        <v>1042</v>
      </c>
      <c r="L207" s="11" t="s">
        <v>1044</v>
      </c>
      <c r="M207" s="13">
        <v>44524</v>
      </c>
      <c r="N207" s="11" t="s">
        <v>1046</v>
      </c>
      <c r="O207" s="14">
        <f t="shared" si="16"/>
        <v>15001.014463219764</v>
      </c>
      <c r="P207" s="14">
        <f t="shared" si="17"/>
        <v>1260085.2149104602</v>
      </c>
      <c r="Q207" s="14">
        <f t="shared" si="18"/>
        <v>321804.21491046017</v>
      </c>
      <c r="R207" s="11">
        <f t="shared" ca="1" si="19"/>
        <v>4</v>
      </c>
      <c r="S207" s="11" t="str">
        <f t="shared" si="20"/>
        <v>750-799</v>
      </c>
    </row>
    <row r="208" spans="1:19" x14ac:dyDescent="0.3">
      <c r="A208" s="11" t="s">
        <v>220</v>
      </c>
      <c r="B208" s="11" t="s">
        <v>1032</v>
      </c>
      <c r="C208" s="11">
        <v>49</v>
      </c>
      <c r="D208" s="11" t="s">
        <v>1035</v>
      </c>
      <c r="E208" s="11" t="s">
        <v>1036</v>
      </c>
      <c r="F208" s="12">
        <v>1858254</v>
      </c>
      <c r="G208" s="12">
        <v>310197</v>
      </c>
      <c r="H208" s="11">
        <v>11.51</v>
      </c>
      <c r="I208" s="11">
        <v>48</v>
      </c>
      <c r="J208" s="11">
        <v>665</v>
      </c>
      <c r="K208" s="11" t="s">
        <v>1039</v>
      </c>
      <c r="L208" s="11" t="s">
        <v>1044</v>
      </c>
      <c r="M208" s="13">
        <v>43761</v>
      </c>
      <c r="N208" s="11" t="s">
        <v>1046</v>
      </c>
      <c r="O208" s="14">
        <f t="shared" si="16"/>
        <v>8094.2471137975117</v>
      </c>
      <c r="P208" s="14">
        <f t="shared" si="17"/>
        <v>388523.86146228056</v>
      </c>
      <c r="Q208" s="14">
        <f t="shared" si="18"/>
        <v>78326.861462280562</v>
      </c>
      <c r="R208" s="11">
        <f t="shared" ca="1" si="19"/>
        <v>6</v>
      </c>
      <c r="S208" s="11" t="str">
        <f t="shared" si="20"/>
        <v>650-699</v>
      </c>
    </row>
    <row r="209" spans="1:19" x14ac:dyDescent="0.3">
      <c r="A209" s="11" t="s">
        <v>221</v>
      </c>
      <c r="B209" s="11" t="s">
        <v>1027</v>
      </c>
      <c r="C209" s="11">
        <v>44</v>
      </c>
      <c r="D209" s="11" t="s">
        <v>1035</v>
      </c>
      <c r="E209" s="11" t="s">
        <v>1036</v>
      </c>
      <c r="F209" s="12">
        <v>377991</v>
      </c>
      <c r="G209" s="12">
        <v>609181</v>
      </c>
      <c r="H209" s="11">
        <v>9.67</v>
      </c>
      <c r="I209" s="11">
        <v>48</v>
      </c>
      <c r="J209" s="11">
        <v>636</v>
      </c>
      <c r="K209" s="11" t="s">
        <v>1040</v>
      </c>
      <c r="L209" s="11" t="s">
        <v>1044</v>
      </c>
      <c r="M209" s="13">
        <v>43387</v>
      </c>
      <c r="N209" s="11" t="s">
        <v>1048</v>
      </c>
      <c r="O209" s="14">
        <f t="shared" si="16"/>
        <v>15354.0397492592</v>
      </c>
      <c r="P209" s="14">
        <f t="shared" si="17"/>
        <v>736993.90796444158</v>
      </c>
      <c r="Q209" s="14">
        <f t="shared" si="18"/>
        <v>127812.90796444158</v>
      </c>
      <c r="R209" s="11">
        <f t="shared" ca="1" si="19"/>
        <v>7</v>
      </c>
      <c r="S209" s="11" t="str">
        <f t="shared" si="20"/>
        <v>600-649</v>
      </c>
    </row>
    <row r="210" spans="1:19" x14ac:dyDescent="0.3">
      <c r="A210" s="11" t="s">
        <v>222</v>
      </c>
      <c r="B210" s="11" t="s">
        <v>1028</v>
      </c>
      <c r="C210" s="11">
        <v>41</v>
      </c>
      <c r="D210" s="11" t="s">
        <v>1034</v>
      </c>
      <c r="E210" s="11" t="s">
        <v>1037</v>
      </c>
      <c r="F210" s="12">
        <v>742267</v>
      </c>
      <c r="G210" s="12">
        <v>205350</v>
      </c>
      <c r="H210" s="11">
        <v>14.87</v>
      </c>
      <c r="I210" s="11">
        <v>72</v>
      </c>
      <c r="J210" s="11">
        <v>647</v>
      </c>
      <c r="K210" s="11" t="s">
        <v>1042</v>
      </c>
      <c r="L210" s="11" t="s">
        <v>1044</v>
      </c>
      <c r="M210" s="13">
        <v>44940</v>
      </c>
      <c r="N210" s="11" t="s">
        <v>1046</v>
      </c>
      <c r="O210" s="14">
        <f t="shared" si="16"/>
        <v>4327.6442037818269</v>
      </c>
      <c r="P210" s="14">
        <f t="shared" si="17"/>
        <v>311590.38267229154</v>
      </c>
      <c r="Q210" s="14">
        <f t="shared" si="18"/>
        <v>106240.38267229154</v>
      </c>
      <c r="R210" s="11">
        <f t="shared" ca="1" si="19"/>
        <v>2</v>
      </c>
      <c r="S210" s="11" t="str">
        <f t="shared" si="20"/>
        <v>600-649</v>
      </c>
    </row>
    <row r="211" spans="1:19" x14ac:dyDescent="0.3">
      <c r="A211" s="11" t="s">
        <v>223</v>
      </c>
      <c r="B211" s="11" t="s">
        <v>1032</v>
      </c>
      <c r="C211" s="11">
        <v>58</v>
      </c>
      <c r="D211" s="11" t="s">
        <v>1035</v>
      </c>
      <c r="E211" s="11" t="s">
        <v>1036</v>
      </c>
      <c r="F211" s="12">
        <v>817565</v>
      </c>
      <c r="G211" s="12">
        <v>773221</v>
      </c>
      <c r="H211" s="11">
        <v>9.0399999999999991</v>
      </c>
      <c r="I211" s="11">
        <v>48</v>
      </c>
      <c r="J211" s="11">
        <v>693</v>
      </c>
      <c r="K211" s="11" t="s">
        <v>1042</v>
      </c>
      <c r="L211" s="11" t="s">
        <v>1044</v>
      </c>
      <c r="M211" s="13">
        <v>43188</v>
      </c>
      <c r="N211" s="11" t="s">
        <v>1047</v>
      </c>
      <c r="O211" s="14">
        <f t="shared" si="16"/>
        <v>19256.32677468676</v>
      </c>
      <c r="P211" s="14">
        <f t="shared" si="17"/>
        <v>924303.68518496444</v>
      </c>
      <c r="Q211" s="14">
        <f t="shared" si="18"/>
        <v>151082.68518496444</v>
      </c>
      <c r="R211" s="11">
        <f t="shared" ca="1" si="19"/>
        <v>7</v>
      </c>
      <c r="S211" s="11" t="str">
        <f t="shared" si="20"/>
        <v>650-699</v>
      </c>
    </row>
    <row r="212" spans="1:19" x14ac:dyDescent="0.3">
      <c r="A212" s="11" t="s">
        <v>224</v>
      </c>
      <c r="B212" s="11" t="s">
        <v>1018</v>
      </c>
      <c r="C212" s="11">
        <v>51</v>
      </c>
      <c r="D212" s="11" t="s">
        <v>1034</v>
      </c>
      <c r="E212" s="11" t="s">
        <v>1036</v>
      </c>
      <c r="F212" s="12">
        <v>1405496</v>
      </c>
      <c r="G212" s="12">
        <v>1119026</v>
      </c>
      <c r="H212" s="11">
        <v>11.52</v>
      </c>
      <c r="I212" s="11">
        <v>84</v>
      </c>
      <c r="J212" s="11">
        <v>645</v>
      </c>
      <c r="K212" s="11" t="s">
        <v>1040</v>
      </c>
      <c r="L212" s="11" t="s">
        <v>1044</v>
      </c>
      <c r="M212" s="13">
        <v>43663</v>
      </c>
      <c r="N212" s="11" t="s">
        <v>1045</v>
      </c>
      <c r="O212" s="14">
        <f t="shared" si="16"/>
        <v>19467.772128524044</v>
      </c>
      <c r="P212" s="14">
        <f t="shared" si="17"/>
        <v>1635292.8587960198</v>
      </c>
      <c r="Q212" s="14">
        <f t="shared" si="18"/>
        <v>516266.85879601981</v>
      </c>
      <c r="R212" s="11">
        <f t="shared" ca="1" si="19"/>
        <v>6</v>
      </c>
      <c r="S212" s="11" t="str">
        <f t="shared" si="20"/>
        <v>600-649</v>
      </c>
    </row>
    <row r="213" spans="1:19" x14ac:dyDescent="0.3">
      <c r="A213" s="11" t="s">
        <v>225</v>
      </c>
      <c r="B213" s="11" t="s">
        <v>1030</v>
      </c>
      <c r="C213" s="11">
        <v>41</v>
      </c>
      <c r="D213" s="11" t="s">
        <v>1034</v>
      </c>
      <c r="E213" s="11" t="s">
        <v>1038</v>
      </c>
      <c r="F213" s="12">
        <v>1658752</v>
      </c>
      <c r="G213" s="12">
        <v>1035103</v>
      </c>
      <c r="H213" s="11">
        <v>11.86</v>
      </c>
      <c r="I213" s="11">
        <v>48</v>
      </c>
      <c r="J213" s="11">
        <v>839</v>
      </c>
      <c r="K213" s="11" t="s">
        <v>1041</v>
      </c>
      <c r="L213" s="11" t="s">
        <v>1044</v>
      </c>
      <c r="M213" s="13">
        <v>45031</v>
      </c>
      <c r="N213" s="11" t="s">
        <v>1048</v>
      </c>
      <c r="O213" s="14">
        <f t="shared" si="16"/>
        <v>27187.134626917818</v>
      </c>
      <c r="P213" s="14">
        <f t="shared" si="17"/>
        <v>1304982.4620920552</v>
      </c>
      <c r="Q213" s="14">
        <f t="shared" si="18"/>
        <v>269879.46209205524</v>
      </c>
      <c r="R213" s="11">
        <f t="shared" ca="1" si="19"/>
        <v>2</v>
      </c>
      <c r="S213" s="11" t="str">
        <f t="shared" si="20"/>
        <v>800-850</v>
      </c>
    </row>
    <row r="214" spans="1:19" x14ac:dyDescent="0.3">
      <c r="A214" s="11" t="s">
        <v>226</v>
      </c>
      <c r="B214" s="11" t="s">
        <v>1021</v>
      </c>
      <c r="C214" s="11">
        <v>39</v>
      </c>
      <c r="D214" s="11" t="s">
        <v>1035</v>
      </c>
      <c r="E214" s="11" t="s">
        <v>1037</v>
      </c>
      <c r="F214" s="12">
        <v>1369593</v>
      </c>
      <c r="G214" s="12">
        <v>1227319</v>
      </c>
      <c r="H214" s="11">
        <v>8.07</v>
      </c>
      <c r="I214" s="11">
        <v>120</v>
      </c>
      <c r="J214" s="11">
        <v>747</v>
      </c>
      <c r="K214" s="11" t="s">
        <v>1039</v>
      </c>
      <c r="L214" s="11" t="s">
        <v>1044</v>
      </c>
      <c r="M214" s="13">
        <v>45031</v>
      </c>
      <c r="N214" s="11" t="s">
        <v>1048</v>
      </c>
      <c r="O214" s="14">
        <f t="shared" si="16"/>
        <v>14936.201142444788</v>
      </c>
      <c r="P214" s="14">
        <f t="shared" si="17"/>
        <v>1792344.1370933745</v>
      </c>
      <c r="Q214" s="14">
        <f t="shared" si="18"/>
        <v>565025.13709337451</v>
      </c>
      <c r="R214" s="11">
        <f t="shared" ca="1" si="19"/>
        <v>2</v>
      </c>
      <c r="S214" s="11" t="str">
        <f t="shared" si="20"/>
        <v>700-749</v>
      </c>
    </row>
    <row r="215" spans="1:19" x14ac:dyDescent="0.3">
      <c r="A215" s="11" t="s">
        <v>227</v>
      </c>
      <c r="B215" s="11" t="s">
        <v>1023</v>
      </c>
      <c r="C215" s="11">
        <v>50</v>
      </c>
      <c r="D215" s="11" t="s">
        <v>1034</v>
      </c>
      <c r="E215" s="11" t="s">
        <v>1037</v>
      </c>
      <c r="F215" s="12">
        <v>472479</v>
      </c>
      <c r="G215" s="12">
        <v>1449226</v>
      </c>
      <c r="H215" s="11">
        <v>13.94</v>
      </c>
      <c r="I215" s="11">
        <v>96</v>
      </c>
      <c r="J215" s="11">
        <v>724</v>
      </c>
      <c r="K215" s="11" t="s">
        <v>1040</v>
      </c>
      <c r="L215" s="11" t="s">
        <v>1044</v>
      </c>
      <c r="M215" s="13">
        <v>44629</v>
      </c>
      <c r="N215" s="11" t="s">
        <v>1045</v>
      </c>
      <c r="O215" s="14">
        <f t="shared" si="16"/>
        <v>25125.770485030444</v>
      </c>
      <c r="P215" s="14">
        <f t="shared" si="17"/>
        <v>2412073.9665629226</v>
      </c>
      <c r="Q215" s="14">
        <f t="shared" si="18"/>
        <v>962847.96656292258</v>
      </c>
      <c r="R215" s="11">
        <f t="shared" ca="1" si="19"/>
        <v>3</v>
      </c>
      <c r="S215" s="11" t="str">
        <f t="shared" si="20"/>
        <v>700-749</v>
      </c>
    </row>
    <row r="216" spans="1:19" x14ac:dyDescent="0.3">
      <c r="A216" s="11" t="s">
        <v>228</v>
      </c>
      <c r="B216" s="11" t="s">
        <v>1027</v>
      </c>
      <c r="C216" s="11">
        <v>28</v>
      </c>
      <c r="D216" s="11" t="s">
        <v>1034</v>
      </c>
      <c r="E216" s="11" t="s">
        <v>1037</v>
      </c>
      <c r="F216" s="12">
        <v>1754320</v>
      </c>
      <c r="G216" s="12">
        <v>1381926</v>
      </c>
      <c r="H216" s="11">
        <v>14.45</v>
      </c>
      <c r="I216" s="11">
        <v>120</v>
      </c>
      <c r="J216" s="11">
        <v>848</v>
      </c>
      <c r="K216" s="11" t="s">
        <v>1042</v>
      </c>
      <c r="L216" s="11" t="s">
        <v>1044</v>
      </c>
      <c r="M216" s="13">
        <v>44295</v>
      </c>
      <c r="N216" s="11" t="s">
        <v>1046</v>
      </c>
      <c r="O216" s="14">
        <f t="shared" si="16"/>
        <v>21832.150040993176</v>
      </c>
      <c r="P216" s="14">
        <f t="shared" si="17"/>
        <v>2619858.0049191811</v>
      </c>
      <c r="Q216" s="14">
        <f t="shared" si="18"/>
        <v>1237932.0049191811</v>
      </c>
      <c r="R216" s="11">
        <f t="shared" ca="1" si="19"/>
        <v>4</v>
      </c>
      <c r="S216" s="11" t="str">
        <f t="shared" si="20"/>
        <v>800-850</v>
      </c>
    </row>
    <row r="217" spans="1:19" x14ac:dyDescent="0.3">
      <c r="A217" s="11" t="s">
        <v>229</v>
      </c>
      <c r="B217" s="11" t="s">
        <v>1032</v>
      </c>
      <c r="C217" s="11">
        <v>59</v>
      </c>
      <c r="D217" s="11" t="s">
        <v>1034</v>
      </c>
      <c r="E217" s="11" t="s">
        <v>1038</v>
      </c>
      <c r="F217" s="12">
        <v>1248042</v>
      </c>
      <c r="G217" s="12">
        <v>993863</v>
      </c>
      <c r="H217" s="11">
        <v>11.49</v>
      </c>
      <c r="I217" s="11">
        <v>84</v>
      </c>
      <c r="J217" s="11">
        <v>663</v>
      </c>
      <c r="K217" s="11" t="s">
        <v>1041</v>
      </c>
      <c r="L217" s="11" t="s">
        <v>1044</v>
      </c>
      <c r="M217" s="13">
        <v>44758</v>
      </c>
      <c r="N217" s="11" t="s">
        <v>1047</v>
      </c>
      <c r="O217" s="14">
        <f t="shared" si="16"/>
        <v>17274.490092165983</v>
      </c>
      <c r="P217" s="14">
        <f t="shared" si="17"/>
        <v>1451057.1677419425</v>
      </c>
      <c r="Q217" s="14">
        <f t="shared" si="18"/>
        <v>457194.16774194245</v>
      </c>
      <c r="R217" s="11">
        <f t="shared" ca="1" si="19"/>
        <v>3</v>
      </c>
      <c r="S217" s="11" t="str">
        <f t="shared" si="20"/>
        <v>650-699</v>
      </c>
    </row>
    <row r="218" spans="1:19" x14ac:dyDescent="0.3">
      <c r="A218" s="11" t="s">
        <v>230</v>
      </c>
      <c r="B218" s="11" t="s">
        <v>1019</v>
      </c>
      <c r="C218" s="11">
        <v>59</v>
      </c>
      <c r="D218" s="11" t="s">
        <v>1035</v>
      </c>
      <c r="E218" s="11" t="s">
        <v>1037</v>
      </c>
      <c r="F218" s="12">
        <v>821513</v>
      </c>
      <c r="G218" s="12">
        <v>1184309</v>
      </c>
      <c r="H218" s="11">
        <v>14.24</v>
      </c>
      <c r="I218" s="11">
        <v>84</v>
      </c>
      <c r="J218" s="11">
        <v>816</v>
      </c>
      <c r="K218" s="11" t="s">
        <v>1041</v>
      </c>
      <c r="L218" s="11" t="s">
        <v>1044</v>
      </c>
      <c r="M218" s="13">
        <v>45374</v>
      </c>
      <c r="N218" s="11" t="s">
        <v>1048</v>
      </c>
      <c r="O218" s="14">
        <f t="shared" si="16"/>
        <v>22351.276332184272</v>
      </c>
      <c r="P218" s="14">
        <f t="shared" si="17"/>
        <v>1877507.211903479</v>
      </c>
      <c r="Q218" s="14">
        <f t="shared" si="18"/>
        <v>693198.21190347895</v>
      </c>
      <c r="R218" s="11">
        <f t="shared" ca="1" si="19"/>
        <v>1</v>
      </c>
      <c r="S218" s="11" t="str">
        <f t="shared" si="20"/>
        <v>800-850</v>
      </c>
    </row>
    <row r="219" spans="1:19" x14ac:dyDescent="0.3">
      <c r="A219" s="11" t="s">
        <v>231</v>
      </c>
      <c r="B219" s="11" t="s">
        <v>1024</v>
      </c>
      <c r="C219" s="11">
        <v>26</v>
      </c>
      <c r="D219" s="11" t="s">
        <v>1034</v>
      </c>
      <c r="E219" s="11" t="s">
        <v>1036</v>
      </c>
      <c r="F219" s="12">
        <v>779765</v>
      </c>
      <c r="G219" s="12">
        <v>263910</v>
      </c>
      <c r="H219" s="11">
        <v>14.68</v>
      </c>
      <c r="I219" s="11">
        <v>72</v>
      </c>
      <c r="J219" s="11">
        <v>796</v>
      </c>
      <c r="K219" s="11" t="s">
        <v>1040</v>
      </c>
      <c r="L219" s="11" t="s">
        <v>1044</v>
      </c>
      <c r="M219" s="13">
        <v>45572</v>
      </c>
      <c r="N219" s="11" t="s">
        <v>1045</v>
      </c>
      <c r="O219" s="14">
        <f t="shared" si="16"/>
        <v>5534.6201509667953</v>
      </c>
      <c r="P219" s="14">
        <f t="shared" si="17"/>
        <v>398492.65086960926</v>
      </c>
      <c r="Q219" s="14">
        <f t="shared" si="18"/>
        <v>134582.65086960926</v>
      </c>
      <c r="R219" s="11">
        <f t="shared" ca="1" si="19"/>
        <v>1</v>
      </c>
      <c r="S219" s="11" t="str">
        <f t="shared" si="20"/>
        <v>750-799</v>
      </c>
    </row>
    <row r="220" spans="1:19" x14ac:dyDescent="0.3">
      <c r="A220" s="11" t="s">
        <v>232</v>
      </c>
      <c r="B220" s="11" t="s">
        <v>1024</v>
      </c>
      <c r="C220" s="11">
        <v>57</v>
      </c>
      <c r="D220" s="11" t="s">
        <v>1034</v>
      </c>
      <c r="E220" s="11" t="s">
        <v>1036</v>
      </c>
      <c r="F220" s="12">
        <v>818993</v>
      </c>
      <c r="G220" s="12">
        <v>1543083</v>
      </c>
      <c r="H220" s="11">
        <v>11.83</v>
      </c>
      <c r="I220" s="11">
        <v>72</v>
      </c>
      <c r="J220" s="11">
        <v>832</v>
      </c>
      <c r="K220" s="11" t="s">
        <v>1040</v>
      </c>
      <c r="L220" s="11" t="s">
        <v>1044</v>
      </c>
      <c r="M220" s="13">
        <v>43466</v>
      </c>
      <c r="N220" s="11" t="s">
        <v>1045</v>
      </c>
      <c r="O220" s="14">
        <f t="shared" si="16"/>
        <v>30031.328433740498</v>
      </c>
      <c r="P220" s="14">
        <f t="shared" si="17"/>
        <v>2162255.6472293157</v>
      </c>
      <c r="Q220" s="14">
        <f t="shared" si="18"/>
        <v>619172.64722931571</v>
      </c>
      <c r="R220" s="11">
        <f t="shared" ca="1" si="19"/>
        <v>6</v>
      </c>
      <c r="S220" s="11" t="str">
        <f t="shared" si="20"/>
        <v>800-850</v>
      </c>
    </row>
    <row r="221" spans="1:19" x14ac:dyDescent="0.3">
      <c r="A221" s="11" t="s">
        <v>233</v>
      </c>
      <c r="B221" s="11" t="s">
        <v>1021</v>
      </c>
      <c r="C221" s="11">
        <v>25</v>
      </c>
      <c r="D221" s="11" t="s">
        <v>1034</v>
      </c>
      <c r="E221" s="11" t="s">
        <v>1038</v>
      </c>
      <c r="F221" s="12">
        <v>1503081</v>
      </c>
      <c r="G221" s="12">
        <v>238263</v>
      </c>
      <c r="H221" s="11">
        <v>11.14</v>
      </c>
      <c r="I221" s="11">
        <v>48</v>
      </c>
      <c r="J221" s="11">
        <v>669</v>
      </c>
      <c r="K221" s="11" t="s">
        <v>1042</v>
      </c>
      <c r="L221" s="11" t="s">
        <v>1044</v>
      </c>
      <c r="M221" s="13">
        <v>45218</v>
      </c>
      <c r="N221" s="11" t="s">
        <v>1048</v>
      </c>
      <c r="O221" s="14">
        <f t="shared" si="16"/>
        <v>6174.2433782120497</v>
      </c>
      <c r="P221" s="14">
        <f t="shared" si="17"/>
        <v>296363.68215417839</v>
      </c>
      <c r="Q221" s="14">
        <f t="shared" si="18"/>
        <v>58100.682154178387</v>
      </c>
      <c r="R221" s="11">
        <f t="shared" ca="1" si="19"/>
        <v>2</v>
      </c>
      <c r="S221" s="11" t="str">
        <f t="shared" si="20"/>
        <v>650-699</v>
      </c>
    </row>
    <row r="222" spans="1:19" x14ac:dyDescent="0.3">
      <c r="A222" s="11" t="s">
        <v>234</v>
      </c>
      <c r="B222" s="11" t="s">
        <v>1014</v>
      </c>
      <c r="C222" s="11">
        <v>39</v>
      </c>
      <c r="D222" s="11" t="s">
        <v>1035</v>
      </c>
      <c r="E222" s="11" t="s">
        <v>1038</v>
      </c>
      <c r="F222" s="12">
        <v>1368996</v>
      </c>
      <c r="G222" s="12">
        <v>1598742</v>
      </c>
      <c r="H222" s="11">
        <v>8.5299999999999994</v>
      </c>
      <c r="I222" s="11">
        <v>36</v>
      </c>
      <c r="J222" s="11">
        <v>816</v>
      </c>
      <c r="K222" s="11" t="s">
        <v>1041</v>
      </c>
      <c r="L222" s="11" t="s">
        <v>1044</v>
      </c>
      <c r="M222" s="13">
        <v>43545</v>
      </c>
      <c r="N222" s="11" t="s">
        <v>1048</v>
      </c>
      <c r="O222" s="14">
        <f t="shared" si="16"/>
        <v>50490.575020823555</v>
      </c>
      <c r="P222" s="14">
        <f t="shared" si="17"/>
        <v>1817660.700749648</v>
      </c>
      <c r="Q222" s="14">
        <f t="shared" si="18"/>
        <v>218918.70074964804</v>
      </c>
      <c r="R222" s="11">
        <f t="shared" ca="1" si="19"/>
        <v>6</v>
      </c>
      <c r="S222" s="11" t="str">
        <f t="shared" si="20"/>
        <v>800-850</v>
      </c>
    </row>
    <row r="223" spans="1:19" x14ac:dyDescent="0.3">
      <c r="A223" s="11" t="s">
        <v>235</v>
      </c>
      <c r="B223" s="11" t="s">
        <v>1026</v>
      </c>
      <c r="C223" s="11">
        <v>28</v>
      </c>
      <c r="D223" s="11" t="s">
        <v>1035</v>
      </c>
      <c r="E223" s="11" t="s">
        <v>1036</v>
      </c>
      <c r="F223" s="12">
        <v>1904023</v>
      </c>
      <c r="G223" s="12">
        <v>1602287</v>
      </c>
      <c r="H223" s="11">
        <v>12.16</v>
      </c>
      <c r="I223" s="11">
        <v>72</v>
      </c>
      <c r="J223" s="11">
        <v>777</v>
      </c>
      <c r="K223" s="11" t="s">
        <v>1040</v>
      </c>
      <c r="L223" s="11" t="s">
        <v>1044</v>
      </c>
      <c r="M223" s="13">
        <v>44621</v>
      </c>
      <c r="N223" s="11" t="s">
        <v>1048</v>
      </c>
      <c r="O223" s="14">
        <f t="shared" si="16"/>
        <v>31458.496034390206</v>
      </c>
      <c r="P223" s="14">
        <f t="shared" si="17"/>
        <v>2265011.7144760946</v>
      </c>
      <c r="Q223" s="14">
        <f t="shared" si="18"/>
        <v>662724.71447609458</v>
      </c>
      <c r="R223" s="11">
        <f t="shared" ca="1" si="19"/>
        <v>3</v>
      </c>
      <c r="S223" s="11" t="str">
        <f t="shared" si="20"/>
        <v>750-799</v>
      </c>
    </row>
    <row r="224" spans="1:19" x14ac:dyDescent="0.3">
      <c r="A224" s="11" t="s">
        <v>236</v>
      </c>
      <c r="B224" s="11" t="s">
        <v>1021</v>
      </c>
      <c r="C224" s="11">
        <v>57</v>
      </c>
      <c r="D224" s="11" t="s">
        <v>1034</v>
      </c>
      <c r="E224" s="11" t="s">
        <v>1037</v>
      </c>
      <c r="F224" s="12">
        <v>1305322</v>
      </c>
      <c r="G224" s="12">
        <v>1016563</v>
      </c>
      <c r="H224" s="11">
        <v>9.17</v>
      </c>
      <c r="I224" s="11">
        <v>84</v>
      </c>
      <c r="J224" s="11">
        <v>788</v>
      </c>
      <c r="K224" s="11" t="s">
        <v>1040</v>
      </c>
      <c r="L224" s="11" t="s">
        <v>1044</v>
      </c>
      <c r="M224" s="13">
        <v>44382</v>
      </c>
      <c r="N224" s="11" t="s">
        <v>1046</v>
      </c>
      <c r="O224" s="14">
        <f t="shared" si="16"/>
        <v>16443.401336243394</v>
      </c>
      <c r="P224" s="14">
        <f t="shared" si="17"/>
        <v>1381245.7122444452</v>
      </c>
      <c r="Q224" s="14">
        <f t="shared" si="18"/>
        <v>364682.71224444523</v>
      </c>
      <c r="R224" s="11">
        <f t="shared" ca="1" si="19"/>
        <v>4</v>
      </c>
      <c r="S224" s="11" t="str">
        <f t="shared" si="20"/>
        <v>750-799</v>
      </c>
    </row>
    <row r="225" spans="1:19" x14ac:dyDescent="0.3">
      <c r="A225" s="11" t="s">
        <v>237</v>
      </c>
      <c r="B225" s="11" t="s">
        <v>1015</v>
      </c>
      <c r="C225" s="11">
        <v>38</v>
      </c>
      <c r="D225" s="11" t="s">
        <v>1034</v>
      </c>
      <c r="E225" s="11" t="s">
        <v>1036</v>
      </c>
      <c r="F225" s="12">
        <v>1128641</v>
      </c>
      <c r="G225" s="12">
        <v>1996723</v>
      </c>
      <c r="H225" s="11">
        <v>9.6999999999999993</v>
      </c>
      <c r="I225" s="11">
        <v>72</v>
      </c>
      <c r="J225" s="11">
        <v>662</v>
      </c>
      <c r="K225" s="11" t="s">
        <v>1040</v>
      </c>
      <c r="L225" s="11" t="s">
        <v>1044</v>
      </c>
      <c r="M225" s="13">
        <v>45132</v>
      </c>
      <c r="N225" s="11" t="s">
        <v>1048</v>
      </c>
      <c r="O225" s="14">
        <f t="shared" si="16"/>
        <v>36689.607109340388</v>
      </c>
      <c r="P225" s="14">
        <f t="shared" si="17"/>
        <v>2641651.7118725078</v>
      </c>
      <c r="Q225" s="14">
        <f t="shared" si="18"/>
        <v>644928.71187250782</v>
      </c>
      <c r="R225" s="11">
        <f t="shared" ca="1" si="19"/>
        <v>2</v>
      </c>
      <c r="S225" s="11" t="str">
        <f t="shared" si="20"/>
        <v>650-699</v>
      </c>
    </row>
    <row r="226" spans="1:19" x14ac:dyDescent="0.3">
      <c r="A226" s="11" t="s">
        <v>238</v>
      </c>
      <c r="B226" s="11" t="s">
        <v>1014</v>
      </c>
      <c r="C226" s="11">
        <v>48</v>
      </c>
      <c r="D226" s="11" t="s">
        <v>1035</v>
      </c>
      <c r="E226" s="11" t="s">
        <v>1036</v>
      </c>
      <c r="F226" s="12">
        <v>1503522</v>
      </c>
      <c r="G226" s="12">
        <v>519312</v>
      </c>
      <c r="H226" s="11">
        <v>9.33</v>
      </c>
      <c r="I226" s="11">
        <v>120</v>
      </c>
      <c r="J226" s="11">
        <v>689</v>
      </c>
      <c r="K226" s="11" t="s">
        <v>1042</v>
      </c>
      <c r="L226" s="11" t="s">
        <v>1043</v>
      </c>
      <c r="M226" s="13">
        <v>44515</v>
      </c>
      <c r="N226" s="11" t="s">
        <v>1047</v>
      </c>
      <c r="O226" s="14">
        <f t="shared" si="16"/>
        <v>6671.5292374114579</v>
      </c>
      <c r="P226" s="14">
        <f t="shared" si="17"/>
        <v>800583.508489375</v>
      </c>
      <c r="Q226" s="14">
        <f t="shared" si="18"/>
        <v>281271.508489375</v>
      </c>
      <c r="R226" s="11">
        <f t="shared" ca="1" si="19"/>
        <v>4</v>
      </c>
      <c r="S226" s="11" t="str">
        <f t="shared" si="20"/>
        <v>650-699</v>
      </c>
    </row>
    <row r="227" spans="1:19" x14ac:dyDescent="0.3">
      <c r="A227" s="11" t="s">
        <v>239</v>
      </c>
      <c r="B227" s="11" t="s">
        <v>1029</v>
      </c>
      <c r="C227" s="11">
        <v>26</v>
      </c>
      <c r="D227" s="11" t="s">
        <v>1035</v>
      </c>
      <c r="E227" s="11" t="s">
        <v>1038</v>
      </c>
      <c r="F227" s="12">
        <v>848815</v>
      </c>
      <c r="G227" s="12">
        <v>410047</v>
      </c>
      <c r="H227" s="11">
        <v>9.5500000000000007</v>
      </c>
      <c r="I227" s="11">
        <v>60</v>
      </c>
      <c r="J227" s="11">
        <v>616</v>
      </c>
      <c r="K227" s="11" t="s">
        <v>1040</v>
      </c>
      <c r="L227" s="11" t="s">
        <v>1044</v>
      </c>
      <c r="M227" s="13">
        <v>43232</v>
      </c>
      <c r="N227" s="11" t="s">
        <v>1048</v>
      </c>
      <c r="O227" s="14">
        <f t="shared" si="16"/>
        <v>8621.772979811165</v>
      </c>
      <c r="P227" s="14">
        <f t="shared" si="17"/>
        <v>517306.37878866988</v>
      </c>
      <c r="Q227" s="14">
        <f t="shared" si="18"/>
        <v>107259.37878866988</v>
      </c>
      <c r="R227" s="11">
        <f t="shared" ca="1" si="19"/>
        <v>7</v>
      </c>
      <c r="S227" s="11" t="str">
        <f t="shared" si="20"/>
        <v>600-649</v>
      </c>
    </row>
    <row r="228" spans="1:19" x14ac:dyDescent="0.3">
      <c r="A228" s="11" t="s">
        <v>240</v>
      </c>
      <c r="B228" s="11" t="s">
        <v>1026</v>
      </c>
      <c r="C228" s="11">
        <v>36</v>
      </c>
      <c r="D228" s="11" t="s">
        <v>1035</v>
      </c>
      <c r="E228" s="11" t="s">
        <v>1038</v>
      </c>
      <c r="F228" s="12">
        <v>1775780</v>
      </c>
      <c r="G228" s="12">
        <v>505694</v>
      </c>
      <c r="H228" s="11">
        <v>11.87</v>
      </c>
      <c r="I228" s="11">
        <v>96</v>
      </c>
      <c r="J228" s="11">
        <v>630</v>
      </c>
      <c r="K228" s="11" t="s">
        <v>1040</v>
      </c>
      <c r="L228" s="11" t="s">
        <v>1044</v>
      </c>
      <c r="M228" s="13">
        <v>45015</v>
      </c>
      <c r="N228" s="11" t="s">
        <v>1047</v>
      </c>
      <c r="O228" s="14">
        <f t="shared" si="16"/>
        <v>8182.8867386555285</v>
      </c>
      <c r="P228" s="14">
        <f t="shared" si="17"/>
        <v>785557.12691093073</v>
      </c>
      <c r="Q228" s="14">
        <f t="shared" si="18"/>
        <v>279863.12691093073</v>
      </c>
      <c r="R228" s="11">
        <f t="shared" ca="1" si="19"/>
        <v>2</v>
      </c>
      <c r="S228" s="11" t="str">
        <f t="shared" si="20"/>
        <v>600-649</v>
      </c>
    </row>
    <row r="229" spans="1:19" x14ac:dyDescent="0.3">
      <c r="A229" s="11" t="s">
        <v>241</v>
      </c>
      <c r="B229" s="11" t="s">
        <v>1024</v>
      </c>
      <c r="C229" s="11">
        <v>38</v>
      </c>
      <c r="D229" s="11" t="s">
        <v>1034</v>
      </c>
      <c r="E229" s="11" t="s">
        <v>1038</v>
      </c>
      <c r="F229" s="12">
        <v>1645769</v>
      </c>
      <c r="G229" s="12">
        <v>1678828</v>
      </c>
      <c r="H229" s="11">
        <v>14.62</v>
      </c>
      <c r="I229" s="11">
        <v>84</v>
      </c>
      <c r="J229" s="11">
        <v>823</v>
      </c>
      <c r="K229" s="11" t="s">
        <v>1042</v>
      </c>
      <c r="L229" s="11" t="s">
        <v>1044</v>
      </c>
      <c r="M229" s="13">
        <v>43858</v>
      </c>
      <c r="N229" s="11" t="s">
        <v>1048</v>
      </c>
      <c r="O229" s="14">
        <f t="shared" si="16"/>
        <v>32039.04928849078</v>
      </c>
      <c r="P229" s="14">
        <f t="shared" si="17"/>
        <v>2691280.1402332257</v>
      </c>
      <c r="Q229" s="14">
        <f t="shared" si="18"/>
        <v>1012452.1402332257</v>
      </c>
      <c r="R229" s="11">
        <f t="shared" ca="1" si="19"/>
        <v>5</v>
      </c>
      <c r="S229" s="11" t="str">
        <f t="shared" si="20"/>
        <v>800-850</v>
      </c>
    </row>
    <row r="230" spans="1:19" x14ac:dyDescent="0.3">
      <c r="A230" s="11" t="s">
        <v>242</v>
      </c>
      <c r="B230" s="11" t="s">
        <v>1017</v>
      </c>
      <c r="C230" s="11">
        <v>59</v>
      </c>
      <c r="D230" s="11" t="s">
        <v>1034</v>
      </c>
      <c r="E230" s="11" t="s">
        <v>1038</v>
      </c>
      <c r="F230" s="12">
        <v>1312253</v>
      </c>
      <c r="G230" s="12">
        <v>1429234</v>
      </c>
      <c r="H230" s="11">
        <v>14.38</v>
      </c>
      <c r="I230" s="11">
        <v>84</v>
      </c>
      <c r="J230" s="11">
        <v>718</v>
      </c>
      <c r="K230" s="11" t="s">
        <v>1042</v>
      </c>
      <c r="L230" s="11" t="s">
        <v>1044</v>
      </c>
      <c r="M230" s="13">
        <v>44519</v>
      </c>
      <c r="N230" s="11" t="s">
        <v>1047</v>
      </c>
      <c r="O230" s="14">
        <f t="shared" si="16"/>
        <v>27084.77979902926</v>
      </c>
      <c r="P230" s="14">
        <f t="shared" si="17"/>
        <v>2275121.5031184577</v>
      </c>
      <c r="Q230" s="14">
        <f t="shared" si="18"/>
        <v>845887.50311845774</v>
      </c>
      <c r="R230" s="11">
        <f t="shared" ca="1" si="19"/>
        <v>4</v>
      </c>
      <c r="S230" s="11" t="str">
        <f t="shared" si="20"/>
        <v>700-749</v>
      </c>
    </row>
    <row r="231" spans="1:19" x14ac:dyDescent="0.3">
      <c r="A231" s="11" t="s">
        <v>243</v>
      </c>
      <c r="B231" s="11" t="s">
        <v>1030</v>
      </c>
      <c r="C231" s="11">
        <v>29</v>
      </c>
      <c r="D231" s="11" t="s">
        <v>1035</v>
      </c>
      <c r="E231" s="11" t="s">
        <v>1037</v>
      </c>
      <c r="F231" s="12">
        <v>1215400</v>
      </c>
      <c r="G231" s="12">
        <v>993745</v>
      </c>
      <c r="H231" s="11">
        <v>11.24</v>
      </c>
      <c r="I231" s="11">
        <v>48</v>
      </c>
      <c r="J231" s="11">
        <v>776</v>
      </c>
      <c r="K231" s="11" t="s">
        <v>1039</v>
      </c>
      <c r="L231" s="11" t="s">
        <v>1044</v>
      </c>
      <c r="M231" s="13">
        <v>45185</v>
      </c>
      <c r="N231" s="11" t="s">
        <v>1046</v>
      </c>
      <c r="O231" s="14">
        <f t="shared" si="16"/>
        <v>25799.834827396917</v>
      </c>
      <c r="P231" s="14">
        <f t="shared" si="17"/>
        <v>1238392.071715052</v>
      </c>
      <c r="Q231" s="14">
        <f t="shared" si="18"/>
        <v>244647.07171505201</v>
      </c>
      <c r="R231" s="11">
        <f t="shared" ca="1" si="19"/>
        <v>2</v>
      </c>
      <c r="S231" s="11" t="str">
        <f t="shared" si="20"/>
        <v>750-799</v>
      </c>
    </row>
    <row r="232" spans="1:19" x14ac:dyDescent="0.3">
      <c r="A232" s="11" t="s">
        <v>244</v>
      </c>
      <c r="B232" s="11" t="s">
        <v>1020</v>
      </c>
      <c r="C232" s="11">
        <v>40</v>
      </c>
      <c r="D232" s="11" t="s">
        <v>1034</v>
      </c>
      <c r="E232" s="11" t="s">
        <v>1037</v>
      </c>
      <c r="F232" s="12">
        <v>767643</v>
      </c>
      <c r="G232" s="12">
        <v>1346572</v>
      </c>
      <c r="H232" s="11">
        <v>13.11</v>
      </c>
      <c r="I232" s="11">
        <v>120</v>
      </c>
      <c r="J232" s="11">
        <v>661</v>
      </c>
      <c r="K232" s="11" t="s">
        <v>1042</v>
      </c>
      <c r="L232" s="11" t="s">
        <v>1044</v>
      </c>
      <c r="M232" s="13">
        <v>43575</v>
      </c>
      <c r="N232" s="11" t="s">
        <v>1047</v>
      </c>
      <c r="O232" s="14">
        <f t="shared" si="16"/>
        <v>20193.227062125825</v>
      </c>
      <c r="P232" s="14">
        <f t="shared" si="17"/>
        <v>2423187.2474550991</v>
      </c>
      <c r="Q232" s="14">
        <f t="shared" si="18"/>
        <v>1076615.2474550991</v>
      </c>
      <c r="R232" s="11">
        <f t="shared" ca="1" si="19"/>
        <v>6</v>
      </c>
      <c r="S232" s="11" t="str">
        <f t="shared" si="20"/>
        <v>650-699</v>
      </c>
    </row>
    <row r="233" spans="1:19" x14ac:dyDescent="0.3">
      <c r="A233" s="11" t="s">
        <v>245</v>
      </c>
      <c r="B233" s="11" t="s">
        <v>1019</v>
      </c>
      <c r="C233" s="11">
        <v>42</v>
      </c>
      <c r="D233" s="11" t="s">
        <v>1035</v>
      </c>
      <c r="E233" s="11" t="s">
        <v>1038</v>
      </c>
      <c r="F233" s="12">
        <v>328159</v>
      </c>
      <c r="G233" s="12">
        <v>988372</v>
      </c>
      <c r="H233" s="11">
        <v>8.08</v>
      </c>
      <c r="I233" s="11">
        <v>72</v>
      </c>
      <c r="J233" s="11">
        <v>659</v>
      </c>
      <c r="K233" s="11" t="s">
        <v>1041</v>
      </c>
      <c r="L233" s="11" t="s">
        <v>1044</v>
      </c>
      <c r="M233" s="13">
        <v>45399</v>
      </c>
      <c r="N233" s="11" t="s">
        <v>1047</v>
      </c>
      <c r="O233" s="14">
        <f t="shared" si="16"/>
        <v>17367.997345548905</v>
      </c>
      <c r="P233" s="14">
        <f t="shared" si="17"/>
        <v>1250495.8088795212</v>
      </c>
      <c r="Q233" s="14">
        <f t="shared" si="18"/>
        <v>262123.80887952121</v>
      </c>
      <c r="R233" s="11">
        <f t="shared" ca="1" si="19"/>
        <v>1</v>
      </c>
      <c r="S233" s="11" t="str">
        <f t="shared" si="20"/>
        <v>650-699</v>
      </c>
    </row>
    <row r="234" spans="1:19" x14ac:dyDescent="0.3">
      <c r="A234" s="11" t="s">
        <v>246</v>
      </c>
      <c r="B234" s="11" t="s">
        <v>1032</v>
      </c>
      <c r="C234" s="11">
        <v>29</v>
      </c>
      <c r="D234" s="11" t="s">
        <v>1035</v>
      </c>
      <c r="E234" s="11" t="s">
        <v>1037</v>
      </c>
      <c r="F234" s="12">
        <v>1407004</v>
      </c>
      <c r="G234" s="12">
        <v>267960</v>
      </c>
      <c r="H234" s="11">
        <v>13.81</v>
      </c>
      <c r="I234" s="11">
        <v>60</v>
      </c>
      <c r="J234" s="11">
        <v>606</v>
      </c>
      <c r="K234" s="11" t="s">
        <v>1042</v>
      </c>
      <c r="L234" s="11" t="s">
        <v>1044</v>
      </c>
      <c r="M234" s="13">
        <v>43168</v>
      </c>
      <c r="N234" s="11" t="s">
        <v>1047</v>
      </c>
      <c r="O234" s="14">
        <f t="shared" si="16"/>
        <v>6208.5970755908638</v>
      </c>
      <c r="P234" s="14">
        <f t="shared" si="17"/>
        <v>372515.82453545183</v>
      </c>
      <c r="Q234" s="14">
        <f t="shared" si="18"/>
        <v>104555.82453545183</v>
      </c>
      <c r="R234" s="11">
        <f t="shared" ca="1" si="19"/>
        <v>7</v>
      </c>
      <c r="S234" s="11" t="str">
        <f t="shared" si="20"/>
        <v>600-649</v>
      </c>
    </row>
    <row r="235" spans="1:19" x14ac:dyDescent="0.3">
      <c r="A235" s="11" t="s">
        <v>247</v>
      </c>
      <c r="B235" s="11" t="s">
        <v>1032</v>
      </c>
      <c r="C235" s="11">
        <v>59</v>
      </c>
      <c r="D235" s="11" t="s">
        <v>1034</v>
      </c>
      <c r="E235" s="11" t="s">
        <v>1038</v>
      </c>
      <c r="F235" s="12">
        <v>1421092</v>
      </c>
      <c r="G235" s="12">
        <v>1526067</v>
      </c>
      <c r="H235" s="11">
        <v>11.75</v>
      </c>
      <c r="I235" s="11">
        <v>84</v>
      </c>
      <c r="J235" s="11">
        <v>641</v>
      </c>
      <c r="K235" s="11" t="s">
        <v>1039</v>
      </c>
      <c r="L235" s="11" t="s">
        <v>1044</v>
      </c>
      <c r="M235" s="13">
        <v>44526</v>
      </c>
      <c r="N235" s="11" t="s">
        <v>1045</v>
      </c>
      <c r="O235" s="14">
        <f t="shared" si="16"/>
        <v>26735.651110364568</v>
      </c>
      <c r="P235" s="14">
        <f t="shared" si="17"/>
        <v>2245794.6932706237</v>
      </c>
      <c r="Q235" s="14">
        <f t="shared" si="18"/>
        <v>719727.69327062368</v>
      </c>
      <c r="R235" s="11">
        <f t="shared" ca="1" si="19"/>
        <v>4</v>
      </c>
      <c r="S235" s="11" t="str">
        <f t="shared" si="20"/>
        <v>600-649</v>
      </c>
    </row>
    <row r="236" spans="1:19" x14ac:dyDescent="0.3">
      <c r="A236" s="11" t="s">
        <v>248</v>
      </c>
      <c r="B236" s="11" t="s">
        <v>1031</v>
      </c>
      <c r="C236" s="11">
        <v>50</v>
      </c>
      <c r="D236" s="11" t="s">
        <v>1035</v>
      </c>
      <c r="E236" s="11" t="s">
        <v>1037</v>
      </c>
      <c r="F236" s="12">
        <v>553957</v>
      </c>
      <c r="G236" s="12">
        <v>322262</v>
      </c>
      <c r="H236" s="11">
        <v>12.69</v>
      </c>
      <c r="I236" s="11">
        <v>36</v>
      </c>
      <c r="J236" s="11">
        <v>736</v>
      </c>
      <c r="K236" s="11" t="s">
        <v>1039</v>
      </c>
      <c r="L236" s="11" t="s">
        <v>1044</v>
      </c>
      <c r="M236" s="13">
        <v>45567</v>
      </c>
      <c r="N236" s="11" t="s">
        <v>1047</v>
      </c>
      <c r="O236" s="14">
        <f t="shared" si="16"/>
        <v>10810.22421728936</v>
      </c>
      <c r="P236" s="14">
        <f t="shared" si="17"/>
        <v>389168.07182241697</v>
      </c>
      <c r="Q236" s="14">
        <f t="shared" si="18"/>
        <v>66906.071822416969</v>
      </c>
      <c r="R236" s="11">
        <f t="shared" ca="1" si="19"/>
        <v>1</v>
      </c>
      <c r="S236" s="11" t="str">
        <f t="shared" si="20"/>
        <v>700-749</v>
      </c>
    </row>
    <row r="237" spans="1:19" x14ac:dyDescent="0.3">
      <c r="A237" s="11" t="s">
        <v>249</v>
      </c>
      <c r="B237" s="11" t="s">
        <v>1014</v>
      </c>
      <c r="C237" s="11">
        <v>36</v>
      </c>
      <c r="D237" s="11" t="s">
        <v>1035</v>
      </c>
      <c r="E237" s="11" t="s">
        <v>1037</v>
      </c>
      <c r="F237" s="12">
        <v>369190</v>
      </c>
      <c r="G237" s="12">
        <v>1577019</v>
      </c>
      <c r="H237" s="11">
        <v>13.17</v>
      </c>
      <c r="I237" s="11">
        <v>60</v>
      </c>
      <c r="J237" s="11">
        <v>698</v>
      </c>
      <c r="K237" s="11" t="s">
        <v>1042</v>
      </c>
      <c r="L237" s="11" t="s">
        <v>1044</v>
      </c>
      <c r="M237" s="13">
        <v>45284</v>
      </c>
      <c r="N237" s="11" t="s">
        <v>1045</v>
      </c>
      <c r="O237" s="14">
        <f t="shared" si="16"/>
        <v>36019.417324832706</v>
      </c>
      <c r="P237" s="14">
        <f t="shared" si="17"/>
        <v>2161165.0394899622</v>
      </c>
      <c r="Q237" s="14">
        <f t="shared" si="18"/>
        <v>584146.03948996216</v>
      </c>
      <c r="R237" s="11">
        <f t="shared" ca="1" si="19"/>
        <v>2</v>
      </c>
      <c r="S237" s="11" t="str">
        <f t="shared" si="20"/>
        <v>650-699</v>
      </c>
    </row>
    <row r="238" spans="1:19" x14ac:dyDescent="0.3">
      <c r="A238" s="11" t="s">
        <v>250</v>
      </c>
      <c r="B238" s="11" t="s">
        <v>1016</v>
      </c>
      <c r="C238" s="11">
        <v>38</v>
      </c>
      <c r="D238" s="11" t="s">
        <v>1035</v>
      </c>
      <c r="E238" s="11" t="s">
        <v>1036</v>
      </c>
      <c r="F238" s="12">
        <v>1376450</v>
      </c>
      <c r="G238" s="12">
        <v>1864231</v>
      </c>
      <c r="H238" s="11">
        <v>10.57</v>
      </c>
      <c r="I238" s="11">
        <v>84</v>
      </c>
      <c r="J238" s="11">
        <v>800</v>
      </c>
      <c r="K238" s="11" t="s">
        <v>1039</v>
      </c>
      <c r="L238" s="11" t="s">
        <v>1044</v>
      </c>
      <c r="M238" s="13">
        <v>44627</v>
      </c>
      <c r="N238" s="11" t="s">
        <v>1046</v>
      </c>
      <c r="O238" s="14">
        <f t="shared" si="16"/>
        <v>31500.253103602638</v>
      </c>
      <c r="P238" s="14">
        <f t="shared" si="17"/>
        <v>2646021.2607026217</v>
      </c>
      <c r="Q238" s="14">
        <f t="shared" si="18"/>
        <v>781790.26070262166</v>
      </c>
      <c r="R238" s="11">
        <f t="shared" ca="1" si="19"/>
        <v>3</v>
      </c>
      <c r="S238" s="11" t="str">
        <f t="shared" si="20"/>
        <v>800-850</v>
      </c>
    </row>
    <row r="239" spans="1:19" x14ac:dyDescent="0.3">
      <c r="A239" s="11" t="s">
        <v>251</v>
      </c>
      <c r="B239" s="11" t="s">
        <v>1019</v>
      </c>
      <c r="C239" s="11">
        <v>43</v>
      </c>
      <c r="D239" s="11" t="s">
        <v>1035</v>
      </c>
      <c r="E239" s="11" t="s">
        <v>1038</v>
      </c>
      <c r="F239" s="12">
        <v>885497</v>
      </c>
      <c r="G239" s="12">
        <v>463243</v>
      </c>
      <c r="H239" s="11">
        <v>9.67</v>
      </c>
      <c r="I239" s="11">
        <v>72</v>
      </c>
      <c r="J239" s="11">
        <v>659</v>
      </c>
      <c r="K239" s="11" t="s">
        <v>1041</v>
      </c>
      <c r="L239" s="11" t="s">
        <v>1044</v>
      </c>
      <c r="M239" s="13">
        <v>44969</v>
      </c>
      <c r="N239" s="11" t="s">
        <v>1047</v>
      </c>
      <c r="O239" s="14">
        <f t="shared" si="16"/>
        <v>8505.0754813679723</v>
      </c>
      <c r="P239" s="14">
        <f t="shared" si="17"/>
        <v>612365.43465849396</v>
      </c>
      <c r="Q239" s="14">
        <f t="shared" si="18"/>
        <v>149122.43465849396</v>
      </c>
      <c r="R239" s="11">
        <f t="shared" ca="1" si="19"/>
        <v>2</v>
      </c>
      <c r="S239" s="11" t="str">
        <f t="shared" si="20"/>
        <v>650-699</v>
      </c>
    </row>
    <row r="240" spans="1:19" x14ac:dyDescent="0.3">
      <c r="A240" s="11" t="s">
        <v>252</v>
      </c>
      <c r="B240" s="11" t="s">
        <v>1028</v>
      </c>
      <c r="C240" s="11">
        <v>32</v>
      </c>
      <c r="D240" s="11" t="s">
        <v>1035</v>
      </c>
      <c r="E240" s="11" t="s">
        <v>1036</v>
      </c>
      <c r="F240" s="12">
        <v>1802889</v>
      </c>
      <c r="G240" s="12">
        <v>1923108</v>
      </c>
      <c r="H240" s="11">
        <v>13.48</v>
      </c>
      <c r="I240" s="11">
        <v>84</v>
      </c>
      <c r="J240" s="11">
        <v>748</v>
      </c>
      <c r="K240" s="11" t="s">
        <v>1040</v>
      </c>
      <c r="L240" s="11" t="s">
        <v>1043</v>
      </c>
      <c r="M240" s="13">
        <v>44574</v>
      </c>
      <c r="N240" s="11" t="s">
        <v>1048</v>
      </c>
      <c r="O240" s="14">
        <f t="shared" si="16"/>
        <v>35488.907108489766</v>
      </c>
      <c r="P240" s="14">
        <f t="shared" si="17"/>
        <v>2981068.1971131405</v>
      </c>
      <c r="Q240" s="14">
        <f t="shared" si="18"/>
        <v>1057960.1971131405</v>
      </c>
      <c r="R240" s="11">
        <f t="shared" ca="1" si="19"/>
        <v>3</v>
      </c>
      <c r="S240" s="11" t="str">
        <f t="shared" si="20"/>
        <v>700-749</v>
      </c>
    </row>
    <row r="241" spans="1:19" x14ac:dyDescent="0.3">
      <c r="A241" s="11" t="s">
        <v>253</v>
      </c>
      <c r="B241" s="11" t="s">
        <v>1025</v>
      </c>
      <c r="C241" s="11">
        <v>43</v>
      </c>
      <c r="D241" s="11" t="s">
        <v>1034</v>
      </c>
      <c r="E241" s="11" t="s">
        <v>1038</v>
      </c>
      <c r="F241" s="12">
        <v>1245287</v>
      </c>
      <c r="G241" s="12">
        <v>1010719</v>
      </c>
      <c r="H241" s="11">
        <v>13.36</v>
      </c>
      <c r="I241" s="11">
        <v>36</v>
      </c>
      <c r="J241" s="11">
        <v>801</v>
      </c>
      <c r="K241" s="11" t="s">
        <v>1041</v>
      </c>
      <c r="L241" s="11" t="s">
        <v>1044</v>
      </c>
      <c r="M241" s="13">
        <v>44037</v>
      </c>
      <c r="N241" s="11" t="s">
        <v>1046</v>
      </c>
      <c r="O241" s="14">
        <f t="shared" si="16"/>
        <v>34230.638776753949</v>
      </c>
      <c r="P241" s="14">
        <f t="shared" si="17"/>
        <v>1232302.9959631423</v>
      </c>
      <c r="Q241" s="14">
        <f t="shared" si="18"/>
        <v>221583.99596314225</v>
      </c>
      <c r="R241" s="11">
        <f t="shared" ca="1" si="19"/>
        <v>5</v>
      </c>
      <c r="S241" s="11" t="str">
        <f t="shared" si="20"/>
        <v>800-850</v>
      </c>
    </row>
    <row r="242" spans="1:19" x14ac:dyDescent="0.3">
      <c r="A242" s="11" t="s">
        <v>254</v>
      </c>
      <c r="B242" s="11" t="s">
        <v>1014</v>
      </c>
      <c r="C242" s="11">
        <v>44</v>
      </c>
      <c r="D242" s="11" t="s">
        <v>1034</v>
      </c>
      <c r="E242" s="11" t="s">
        <v>1037</v>
      </c>
      <c r="F242" s="12">
        <v>1490029</v>
      </c>
      <c r="G242" s="12">
        <v>1309558</v>
      </c>
      <c r="H242" s="11">
        <v>14.95</v>
      </c>
      <c r="I242" s="11">
        <v>36</v>
      </c>
      <c r="J242" s="11">
        <v>825</v>
      </c>
      <c r="K242" s="11" t="s">
        <v>1042</v>
      </c>
      <c r="L242" s="11" t="s">
        <v>1044</v>
      </c>
      <c r="M242" s="13">
        <v>43221</v>
      </c>
      <c r="N242" s="11" t="s">
        <v>1048</v>
      </c>
      <c r="O242" s="14">
        <f t="shared" si="16"/>
        <v>45364.200018750824</v>
      </c>
      <c r="P242" s="14">
        <f t="shared" si="17"/>
        <v>1633111.2006750298</v>
      </c>
      <c r="Q242" s="14">
        <f t="shared" si="18"/>
        <v>323553.20067502977</v>
      </c>
      <c r="R242" s="11">
        <f t="shared" ca="1" si="19"/>
        <v>7</v>
      </c>
      <c r="S242" s="11" t="str">
        <f t="shared" si="20"/>
        <v>800-850</v>
      </c>
    </row>
    <row r="243" spans="1:19" x14ac:dyDescent="0.3">
      <c r="A243" s="11" t="s">
        <v>255</v>
      </c>
      <c r="B243" s="11" t="s">
        <v>1031</v>
      </c>
      <c r="C243" s="11">
        <v>36</v>
      </c>
      <c r="D243" s="11" t="s">
        <v>1035</v>
      </c>
      <c r="E243" s="11" t="s">
        <v>1036</v>
      </c>
      <c r="F243" s="12">
        <v>960545</v>
      </c>
      <c r="G243" s="12">
        <v>221136</v>
      </c>
      <c r="H243" s="11">
        <v>9.73</v>
      </c>
      <c r="I243" s="11">
        <v>72</v>
      </c>
      <c r="J243" s="11">
        <v>659</v>
      </c>
      <c r="K243" s="11" t="s">
        <v>1041</v>
      </c>
      <c r="L243" s="11" t="s">
        <v>1044</v>
      </c>
      <c r="M243" s="13">
        <v>44200</v>
      </c>
      <c r="N243" s="11" t="s">
        <v>1046</v>
      </c>
      <c r="O243" s="14">
        <f t="shared" si="16"/>
        <v>4066.6846994946732</v>
      </c>
      <c r="P243" s="14">
        <f t="shared" si="17"/>
        <v>292801.29836361646</v>
      </c>
      <c r="Q243" s="14">
        <f t="shared" si="18"/>
        <v>71665.298363616457</v>
      </c>
      <c r="R243" s="11">
        <f t="shared" ca="1" si="19"/>
        <v>4</v>
      </c>
      <c r="S243" s="11" t="str">
        <f t="shared" si="20"/>
        <v>650-699</v>
      </c>
    </row>
    <row r="244" spans="1:19" x14ac:dyDescent="0.3">
      <c r="A244" s="11" t="s">
        <v>256</v>
      </c>
      <c r="B244" s="11" t="s">
        <v>1020</v>
      </c>
      <c r="C244" s="11">
        <v>36</v>
      </c>
      <c r="D244" s="11" t="s">
        <v>1035</v>
      </c>
      <c r="E244" s="11" t="s">
        <v>1037</v>
      </c>
      <c r="F244" s="12">
        <v>1476667</v>
      </c>
      <c r="G244" s="12">
        <v>1771494</v>
      </c>
      <c r="H244" s="11">
        <v>7.85</v>
      </c>
      <c r="I244" s="11">
        <v>96</v>
      </c>
      <c r="J244" s="11">
        <v>611</v>
      </c>
      <c r="K244" s="11" t="s">
        <v>1042</v>
      </c>
      <c r="L244" s="11" t="s">
        <v>1044</v>
      </c>
      <c r="M244" s="13">
        <v>43521</v>
      </c>
      <c r="N244" s="11" t="s">
        <v>1047</v>
      </c>
      <c r="O244" s="14">
        <f t="shared" si="16"/>
        <v>24908.195382024325</v>
      </c>
      <c r="P244" s="14">
        <f t="shared" si="17"/>
        <v>2391186.7566743353</v>
      </c>
      <c r="Q244" s="14">
        <f t="shared" si="18"/>
        <v>619692.75667433534</v>
      </c>
      <c r="R244" s="11">
        <f t="shared" ca="1" si="19"/>
        <v>6</v>
      </c>
      <c r="S244" s="11" t="str">
        <f t="shared" si="20"/>
        <v>600-649</v>
      </c>
    </row>
    <row r="245" spans="1:19" x14ac:dyDescent="0.3">
      <c r="A245" s="11" t="s">
        <v>257</v>
      </c>
      <c r="B245" s="11" t="s">
        <v>1028</v>
      </c>
      <c r="C245" s="11">
        <v>58</v>
      </c>
      <c r="D245" s="11" t="s">
        <v>1035</v>
      </c>
      <c r="E245" s="11" t="s">
        <v>1036</v>
      </c>
      <c r="F245" s="12">
        <v>1885070</v>
      </c>
      <c r="G245" s="12">
        <v>1205646</v>
      </c>
      <c r="H245" s="11">
        <v>10.96</v>
      </c>
      <c r="I245" s="11">
        <v>60</v>
      </c>
      <c r="J245" s="11">
        <v>801</v>
      </c>
      <c r="K245" s="11" t="s">
        <v>1042</v>
      </c>
      <c r="L245" s="11" t="s">
        <v>1044</v>
      </c>
      <c r="M245" s="13">
        <v>43664</v>
      </c>
      <c r="N245" s="11" t="s">
        <v>1045</v>
      </c>
      <c r="O245" s="14">
        <f t="shared" si="16"/>
        <v>26189.621166644716</v>
      </c>
      <c r="P245" s="14">
        <f t="shared" si="17"/>
        <v>1571377.2699986829</v>
      </c>
      <c r="Q245" s="14">
        <f t="shared" si="18"/>
        <v>365731.2699986829</v>
      </c>
      <c r="R245" s="11">
        <f t="shared" ca="1" si="19"/>
        <v>6</v>
      </c>
      <c r="S245" s="11" t="str">
        <f t="shared" si="20"/>
        <v>800-850</v>
      </c>
    </row>
    <row r="246" spans="1:19" x14ac:dyDescent="0.3">
      <c r="A246" s="11" t="s">
        <v>258</v>
      </c>
      <c r="B246" s="11" t="s">
        <v>1023</v>
      </c>
      <c r="C246" s="11">
        <v>53</v>
      </c>
      <c r="D246" s="11" t="s">
        <v>1034</v>
      </c>
      <c r="E246" s="11" t="s">
        <v>1038</v>
      </c>
      <c r="F246" s="12">
        <v>1585642</v>
      </c>
      <c r="G246" s="12">
        <v>281404</v>
      </c>
      <c r="H246" s="11">
        <v>10.65</v>
      </c>
      <c r="I246" s="11">
        <v>72</v>
      </c>
      <c r="J246" s="11">
        <v>689</v>
      </c>
      <c r="K246" s="11" t="s">
        <v>1039</v>
      </c>
      <c r="L246" s="11" t="s">
        <v>1044</v>
      </c>
      <c r="M246" s="13">
        <v>44603</v>
      </c>
      <c r="N246" s="11" t="s">
        <v>1045</v>
      </c>
      <c r="O246" s="14">
        <f t="shared" si="16"/>
        <v>5305.9555750417612</v>
      </c>
      <c r="P246" s="14">
        <f t="shared" si="17"/>
        <v>382028.80140300683</v>
      </c>
      <c r="Q246" s="14">
        <f t="shared" si="18"/>
        <v>100624.80140300683</v>
      </c>
      <c r="R246" s="11">
        <f t="shared" ca="1" si="19"/>
        <v>3</v>
      </c>
      <c r="S246" s="11" t="str">
        <f t="shared" si="20"/>
        <v>650-699</v>
      </c>
    </row>
    <row r="247" spans="1:19" x14ac:dyDescent="0.3">
      <c r="A247" s="11" t="s">
        <v>259</v>
      </c>
      <c r="B247" s="11" t="s">
        <v>1029</v>
      </c>
      <c r="C247" s="11">
        <v>60</v>
      </c>
      <c r="D247" s="11" t="s">
        <v>1035</v>
      </c>
      <c r="E247" s="11" t="s">
        <v>1036</v>
      </c>
      <c r="F247" s="12">
        <v>385786</v>
      </c>
      <c r="G247" s="12">
        <v>681256</v>
      </c>
      <c r="H247" s="11">
        <v>12.34</v>
      </c>
      <c r="I247" s="11">
        <v>96</v>
      </c>
      <c r="J247" s="11">
        <v>608</v>
      </c>
      <c r="K247" s="11" t="s">
        <v>1039</v>
      </c>
      <c r="L247" s="11" t="s">
        <v>1044</v>
      </c>
      <c r="M247" s="13">
        <v>44401</v>
      </c>
      <c r="N247" s="11" t="s">
        <v>1048</v>
      </c>
      <c r="O247" s="14">
        <f t="shared" si="16"/>
        <v>11200.004247933819</v>
      </c>
      <c r="P247" s="14">
        <f t="shared" si="17"/>
        <v>1075200.4078016467</v>
      </c>
      <c r="Q247" s="14">
        <f t="shared" si="18"/>
        <v>393944.40780164674</v>
      </c>
      <c r="R247" s="11">
        <f t="shared" ca="1" si="19"/>
        <v>4</v>
      </c>
      <c r="S247" s="11" t="str">
        <f t="shared" si="20"/>
        <v>600-649</v>
      </c>
    </row>
    <row r="248" spans="1:19" x14ac:dyDescent="0.3">
      <c r="A248" s="11" t="s">
        <v>260</v>
      </c>
      <c r="B248" s="11" t="s">
        <v>1023</v>
      </c>
      <c r="C248" s="11">
        <v>53</v>
      </c>
      <c r="D248" s="11" t="s">
        <v>1035</v>
      </c>
      <c r="E248" s="11" t="s">
        <v>1038</v>
      </c>
      <c r="F248" s="12">
        <v>442485</v>
      </c>
      <c r="G248" s="12">
        <v>833108</v>
      </c>
      <c r="H248" s="11">
        <v>12.63</v>
      </c>
      <c r="I248" s="11">
        <v>60</v>
      </c>
      <c r="J248" s="11">
        <v>708</v>
      </c>
      <c r="K248" s="11" t="s">
        <v>1041</v>
      </c>
      <c r="L248" s="11" t="s">
        <v>1044</v>
      </c>
      <c r="M248" s="13">
        <v>44062</v>
      </c>
      <c r="N248" s="11" t="s">
        <v>1046</v>
      </c>
      <c r="O248" s="14">
        <f t="shared" si="16"/>
        <v>18798.345005325606</v>
      </c>
      <c r="P248" s="14">
        <f t="shared" si="17"/>
        <v>1127900.7003195363</v>
      </c>
      <c r="Q248" s="14">
        <f t="shared" si="18"/>
        <v>294792.70031953626</v>
      </c>
      <c r="R248" s="11">
        <f t="shared" ca="1" si="19"/>
        <v>5</v>
      </c>
      <c r="S248" s="11" t="str">
        <f t="shared" si="20"/>
        <v>700-749</v>
      </c>
    </row>
    <row r="249" spans="1:19" x14ac:dyDescent="0.3">
      <c r="A249" s="11" t="s">
        <v>261</v>
      </c>
      <c r="B249" s="11" t="s">
        <v>1031</v>
      </c>
      <c r="C249" s="11">
        <v>32</v>
      </c>
      <c r="D249" s="11" t="s">
        <v>1034</v>
      </c>
      <c r="E249" s="11" t="s">
        <v>1036</v>
      </c>
      <c r="F249" s="12">
        <v>789217</v>
      </c>
      <c r="G249" s="12">
        <v>1525667</v>
      </c>
      <c r="H249" s="11">
        <v>8.39</v>
      </c>
      <c r="I249" s="11">
        <v>96</v>
      </c>
      <c r="J249" s="11">
        <v>838</v>
      </c>
      <c r="K249" s="11" t="s">
        <v>1042</v>
      </c>
      <c r="L249" s="11" t="s">
        <v>1043</v>
      </c>
      <c r="M249" s="13">
        <v>43861</v>
      </c>
      <c r="N249" s="11" t="s">
        <v>1047</v>
      </c>
      <c r="O249" s="14">
        <f t="shared" si="16"/>
        <v>21871.510408789381</v>
      </c>
      <c r="P249" s="14">
        <f t="shared" si="17"/>
        <v>2099664.9992437805</v>
      </c>
      <c r="Q249" s="14">
        <f t="shared" si="18"/>
        <v>573997.9992437805</v>
      </c>
      <c r="R249" s="11">
        <f t="shared" ca="1" si="19"/>
        <v>5</v>
      </c>
      <c r="S249" s="11" t="str">
        <f t="shared" si="20"/>
        <v>800-850</v>
      </c>
    </row>
    <row r="250" spans="1:19" x14ac:dyDescent="0.3">
      <c r="A250" s="11" t="s">
        <v>262</v>
      </c>
      <c r="B250" s="11" t="s">
        <v>1032</v>
      </c>
      <c r="C250" s="11">
        <v>43</v>
      </c>
      <c r="D250" s="11" t="s">
        <v>1034</v>
      </c>
      <c r="E250" s="11" t="s">
        <v>1037</v>
      </c>
      <c r="F250" s="12">
        <v>1739785</v>
      </c>
      <c r="G250" s="12">
        <v>1220098</v>
      </c>
      <c r="H250" s="11">
        <v>14.53</v>
      </c>
      <c r="I250" s="11">
        <v>84</v>
      </c>
      <c r="J250" s="11">
        <v>625</v>
      </c>
      <c r="K250" s="11" t="s">
        <v>1041</v>
      </c>
      <c r="L250" s="11" t="s">
        <v>1044</v>
      </c>
      <c r="M250" s="13">
        <v>44304</v>
      </c>
      <c r="N250" s="11" t="s">
        <v>1048</v>
      </c>
      <c r="O250" s="14">
        <f t="shared" si="16"/>
        <v>23223.358221648941</v>
      </c>
      <c r="P250" s="14">
        <f t="shared" si="17"/>
        <v>1950762.090618511</v>
      </c>
      <c r="Q250" s="14">
        <f t="shared" si="18"/>
        <v>730664.09061851096</v>
      </c>
      <c r="R250" s="11">
        <f t="shared" ca="1" si="19"/>
        <v>4</v>
      </c>
      <c r="S250" s="11" t="str">
        <f t="shared" si="20"/>
        <v>600-649</v>
      </c>
    </row>
    <row r="251" spans="1:19" x14ac:dyDescent="0.3">
      <c r="A251" s="11" t="s">
        <v>263</v>
      </c>
      <c r="B251" s="11" t="s">
        <v>1025</v>
      </c>
      <c r="C251" s="11">
        <v>40</v>
      </c>
      <c r="D251" s="11" t="s">
        <v>1035</v>
      </c>
      <c r="E251" s="11" t="s">
        <v>1038</v>
      </c>
      <c r="F251" s="12">
        <v>1474739</v>
      </c>
      <c r="G251" s="12">
        <v>774808</v>
      </c>
      <c r="H251" s="11">
        <v>8.86</v>
      </c>
      <c r="I251" s="11">
        <v>36</v>
      </c>
      <c r="J251" s="11">
        <v>849</v>
      </c>
      <c r="K251" s="11" t="s">
        <v>1041</v>
      </c>
      <c r="L251" s="11" t="s">
        <v>1044</v>
      </c>
      <c r="M251" s="13">
        <v>44095</v>
      </c>
      <c r="N251" s="11" t="s">
        <v>1047</v>
      </c>
      <c r="O251" s="14">
        <f t="shared" si="16"/>
        <v>24588.233524336392</v>
      </c>
      <c r="P251" s="14">
        <f t="shared" si="17"/>
        <v>885176.40687611012</v>
      </c>
      <c r="Q251" s="14">
        <f t="shared" si="18"/>
        <v>110368.40687611012</v>
      </c>
      <c r="R251" s="11">
        <f t="shared" ca="1" si="19"/>
        <v>5</v>
      </c>
      <c r="S251" s="11" t="str">
        <f t="shared" si="20"/>
        <v>800-850</v>
      </c>
    </row>
    <row r="252" spans="1:19" x14ac:dyDescent="0.3">
      <c r="A252" s="11" t="s">
        <v>264</v>
      </c>
      <c r="B252" s="11" t="s">
        <v>1015</v>
      </c>
      <c r="C252" s="11">
        <v>59</v>
      </c>
      <c r="D252" s="11" t="s">
        <v>1035</v>
      </c>
      <c r="E252" s="11" t="s">
        <v>1036</v>
      </c>
      <c r="F252" s="12">
        <v>1820226</v>
      </c>
      <c r="G252" s="12">
        <v>824976</v>
      </c>
      <c r="H252" s="11">
        <v>10.18</v>
      </c>
      <c r="I252" s="11">
        <v>72</v>
      </c>
      <c r="J252" s="11">
        <v>603</v>
      </c>
      <c r="K252" s="11" t="s">
        <v>1040</v>
      </c>
      <c r="L252" s="11" t="s">
        <v>1043</v>
      </c>
      <c r="M252" s="13">
        <v>43552</v>
      </c>
      <c r="N252" s="11" t="s">
        <v>1045</v>
      </c>
      <c r="O252" s="14">
        <f t="shared" si="16"/>
        <v>15358.361304682943</v>
      </c>
      <c r="P252" s="14">
        <f t="shared" si="17"/>
        <v>1105802.013937172</v>
      </c>
      <c r="Q252" s="14">
        <f t="shared" si="18"/>
        <v>280826.01393717201</v>
      </c>
      <c r="R252" s="11">
        <f t="shared" ca="1" si="19"/>
        <v>6</v>
      </c>
      <c r="S252" s="11" t="str">
        <f t="shared" si="20"/>
        <v>600-649</v>
      </c>
    </row>
    <row r="253" spans="1:19" x14ac:dyDescent="0.3">
      <c r="A253" s="11" t="s">
        <v>265</v>
      </c>
      <c r="B253" s="11" t="s">
        <v>1019</v>
      </c>
      <c r="C253" s="11">
        <v>30</v>
      </c>
      <c r="D253" s="11" t="s">
        <v>1034</v>
      </c>
      <c r="E253" s="11" t="s">
        <v>1038</v>
      </c>
      <c r="F253" s="12">
        <v>458490</v>
      </c>
      <c r="G253" s="12">
        <v>440148</v>
      </c>
      <c r="H253" s="11">
        <v>7.74</v>
      </c>
      <c r="I253" s="11">
        <v>60</v>
      </c>
      <c r="J253" s="11">
        <v>749</v>
      </c>
      <c r="K253" s="11" t="s">
        <v>1041</v>
      </c>
      <c r="L253" s="11" t="s">
        <v>1043</v>
      </c>
      <c r="M253" s="13">
        <v>45266</v>
      </c>
      <c r="N253" s="11" t="s">
        <v>1045</v>
      </c>
      <c r="O253" s="14">
        <f t="shared" si="16"/>
        <v>8869.9466400961774</v>
      </c>
      <c r="P253" s="14">
        <f t="shared" si="17"/>
        <v>532196.79840577068</v>
      </c>
      <c r="Q253" s="14">
        <f t="shared" si="18"/>
        <v>92048.798405770678</v>
      </c>
      <c r="R253" s="11">
        <f t="shared" ca="1" si="19"/>
        <v>2</v>
      </c>
      <c r="S253" s="11" t="str">
        <f t="shared" si="20"/>
        <v>700-749</v>
      </c>
    </row>
    <row r="254" spans="1:19" x14ac:dyDescent="0.3">
      <c r="A254" s="11" t="s">
        <v>266</v>
      </c>
      <c r="B254" s="11" t="s">
        <v>1031</v>
      </c>
      <c r="C254" s="11">
        <v>46</v>
      </c>
      <c r="D254" s="11" t="s">
        <v>1035</v>
      </c>
      <c r="E254" s="11" t="s">
        <v>1036</v>
      </c>
      <c r="F254" s="12">
        <v>978564</v>
      </c>
      <c r="G254" s="12">
        <v>1487661</v>
      </c>
      <c r="H254" s="11">
        <v>14.38</v>
      </c>
      <c r="I254" s="11">
        <v>60</v>
      </c>
      <c r="J254" s="11">
        <v>729</v>
      </c>
      <c r="K254" s="11" t="s">
        <v>1042</v>
      </c>
      <c r="L254" s="11" t="s">
        <v>1044</v>
      </c>
      <c r="M254" s="13">
        <v>44184</v>
      </c>
      <c r="N254" s="11" t="s">
        <v>1048</v>
      </c>
      <c r="O254" s="14">
        <f t="shared" si="16"/>
        <v>34909.045318644348</v>
      </c>
      <c r="P254" s="14">
        <f t="shared" si="17"/>
        <v>2094542.7191186608</v>
      </c>
      <c r="Q254" s="14">
        <f t="shared" si="18"/>
        <v>606881.71911866078</v>
      </c>
      <c r="R254" s="11">
        <f t="shared" ca="1" si="19"/>
        <v>5</v>
      </c>
      <c r="S254" s="11" t="str">
        <f t="shared" si="20"/>
        <v>700-749</v>
      </c>
    </row>
    <row r="255" spans="1:19" x14ac:dyDescent="0.3">
      <c r="A255" s="11" t="s">
        <v>267</v>
      </c>
      <c r="B255" s="11" t="s">
        <v>1033</v>
      </c>
      <c r="C255" s="11">
        <v>55</v>
      </c>
      <c r="D255" s="11" t="s">
        <v>1035</v>
      </c>
      <c r="E255" s="11" t="s">
        <v>1037</v>
      </c>
      <c r="F255" s="12">
        <v>1923304</v>
      </c>
      <c r="G255" s="12">
        <v>443925</v>
      </c>
      <c r="H255" s="11">
        <v>9.3699999999999992</v>
      </c>
      <c r="I255" s="11">
        <v>48</v>
      </c>
      <c r="J255" s="11">
        <v>693</v>
      </c>
      <c r="K255" s="11" t="s">
        <v>1041</v>
      </c>
      <c r="L255" s="11" t="s">
        <v>1044</v>
      </c>
      <c r="M255" s="13">
        <v>44628</v>
      </c>
      <c r="N255" s="11" t="s">
        <v>1048</v>
      </c>
      <c r="O255" s="14">
        <f t="shared" si="16"/>
        <v>11125.249674688681</v>
      </c>
      <c r="P255" s="14">
        <f t="shared" si="17"/>
        <v>534011.98438505665</v>
      </c>
      <c r="Q255" s="14">
        <f t="shared" si="18"/>
        <v>90086.984385056654</v>
      </c>
      <c r="R255" s="11">
        <f t="shared" ca="1" si="19"/>
        <v>3</v>
      </c>
      <c r="S255" s="11" t="str">
        <f t="shared" si="20"/>
        <v>650-699</v>
      </c>
    </row>
    <row r="256" spans="1:19" x14ac:dyDescent="0.3">
      <c r="A256" s="11" t="s">
        <v>268</v>
      </c>
      <c r="B256" s="11" t="s">
        <v>1015</v>
      </c>
      <c r="C256" s="11">
        <v>45</v>
      </c>
      <c r="D256" s="11" t="s">
        <v>1035</v>
      </c>
      <c r="E256" s="11" t="s">
        <v>1038</v>
      </c>
      <c r="F256" s="12">
        <v>558648</v>
      </c>
      <c r="G256" s="12">
        <v>1557739</v>
      </c>
      <c r="H256" s="11">
        <v>7.75</v>
      </c>
      <c r="I256" s="11">
        <v>120</v>
      </c>
      <c r="J256" s="11">
        <v>770</v>
      </c>
      <c r="K256" s="11" t="s">
        <v>1039</v>
      </c>
      <c r="L256" s="11" t="s">
        <v>1044</v>
      </c>
      <c r="M256" s="13">
        <v>44040</v>
      </c>
      <c r="N256" s="11" t="s">
        <v>1046</v>
      </c>
      <c r="O256" s="14">
        <f t="shared" si="16"/>
        <v>18694.524055601672</v>
      </c>
      <c r="P256" s="14">
        <f t="shared" si="17"/>
        <v>2243342.8866722006</v>
      </c>
      <c r="Q256" s="14">
        <f t="shared" si="18"/>
        <v>685603.88667220064</v>
      </c>
      <c r="R256" s="11">
        <f t="shared" ca="1" si="19"/>
        <v>5</v>
      </c>
      <c r="S256" s="11" t="str">
        <f t="shared" si="20"/>
        <v>750-799</v>
      </c>
    </row>
    <row r="257" spans="1:19" x14ac:dyDescent="0.3">
      <c r="A257" s="11" t="s">
        <v>269</v>
      </c>
      <c r="B257" s="11" t="s">
        <v>1021</v>
      </c>
      <c r="C257" s="11">
        <v>44</v>
      </c>
      <c r="D257" s="11" t="s">
        <v>1034</v>
      </c>
      <c r="E257" s="11" t="s">
        <v>1037</v>
      </c>
      <c r="F257" s="12">
        <v>584740</v>
      </c>
      <c r="G257" s="12">
        <v>524951</v>
      </c>
      <c r="H257" s="11">
        <v>8.17</v>
      </c>
      <c r="I257" s="11">
        <v>120</v>
      </c>
      <c r="J257" s="11">
        <v>745</v>
      </c>
      <c r="K257" s="11" t="s">
        <v>1042</v>
      </c>
      <c r="L257" s="11" t="s">
        <v>1044</v>
      </c>
      <c r="M257" s="13">
        <v>45356</v>
      </c>
      <c r="N257" s="11" t="s">
        <v>1045</v>
      </c>
      <c r="O257" s="14">
        <f t="shared" si="16"/>
        <v>6416.3574126166523</v>
      </c>
      <c r="P257" s="14">
        <f t="shared" si="17"/>
        <v>769962.88951399829</v>
      </c>
      <c r="Q257" s="14">
        <f t="shared" si="18"/>
        <v>245011.88951399829</v>
      </c>
      <c r="R257" s="11">
        <f t="shared" ca="1" si="19"/>
        <v>1</v>
      </c>
      <c r="S257" s="11" t="str">
        <f t="shared" si="20"/>
        <v>700-749</v>
      </c>
    </row>
    <row r="258" spans="1:19" x14ac:dyDescent="0.3">
      <c r="A258" s="11" t="s">
        <v>270</v>
      </c>
      <c r="B258" s="11" t="s">
        <v>1021</v>
      </c>
      <c r="C258" s="11">
        <v>30</v>
      </c>
      <c r="D258" s="11" t="s">
        <v>1034</v>
      </c>
      <c r="E258" s="11" t="s">
        <v>1037</v>
      </c>
      <c r="F258" s="12">
        <v>1981170</v>
      </c>
      <c r="G258" s="12">
        <v>681913</v>
      </c>
      <c r="H258" s="11">
        <v>14.34</v>
      </c>
      <c r="I258" s="11">
        <v>84</v>
      </c>
      <c r="J258" s="11">
        <v>614</v>
      </c>
      <c r="K258" s="11" t="s">
        <v>1042</v>
      </c>
      <c r="L258" s="11" t="s">
        <v>1043</v>
      </c>
      <c r="M258" s="13">
        <v>44831</v>
      </c>
      <c r="N258" s="11" t="s">
        <v>1047</v>
      </c>
      <c r="O258" s="14">
        <f t="shared" si="16"/>
        <v>12907.477731710562</v>
      </c>
      <c r="P258" s="14">
        <f t="shared" si="17"/>
        <v>1084228.1294636871</v>
      </c>
      <c r="Q258" s="14">
        <f t="shared" si="18"/>
        <v>402315.12946368707</v>
      </c>
      <c r="R258" s="11">
        <f t="shared" ca="1" si="19"/>
        <v>3</v>
      </c>
      <c r="S258" s="11" t="str">
        <f t="shared" si="20"/>
        <v>600-649</v>
      </c>
    </row>
    <row r="259" spans="1:19" x14ac:dyDescent="0.3">
      <c r="A259" s="11" t="s">
        <v>271</v>
      </c>
      <c r="B259" s="11" t="s">
        <v>1031</v>
      </c>
      <c r="C259" s="11">
        <v>31</v>
      </c>
      <c r="D259" s="11" t="s">
        <v>1035</v>
      </c>
      <c r="E259" s="11" t="s">
        <v>1037</v>
      </c>
      <c r="F259" s="12">
        <v>1339270</v>
      </c>
      <c r="G259" s="12">
        <v>320445</v>
      </c>
      <c r="H259" s="11">
        <v>13.8</v>
      </c>
      <c r="I259" s="11">
        <v>120</v>
      </c>
      <c r="J259" s="11">
        <v>720</v>
      </c>
      <c r="K259" s="11" t="s">
        <v>1039</v>
      </c>
      <c r="L259" s="11" t="s">
        <v>1044</v>
      </c>
      <c r="M259" s="13">
        <v>44774</v>
      </c>
      <c r="N259" s="11" t="s">
        <v>1045</v>
      </c>
      <c r="O259" s="14">
        <f t="shared" ref="O259:O322" si="21">PMT(H259/1200,I259,-G259)</f>
        <v>4936.9733766679774</v>
      </c>
      <c r="P259" s="14">
        <f t="shared" ref="P259:P322" si="22">O259*I259</f>
        <v>592436.80520015734</v>
      </c>
      <c r="Q259" s="14">
        <f t="shared" ref="Q259:Q322" si="23">P259-G259</f>
        <v>271991.80520015734</v>
      </c>
      <c r="R259" s="11">
        <f t="shared" ref="R259:R322" ca="1" si="24">(YEAR(TODAY())-YEAR(M259))</f>
        <v>3</v>
      </c>
      <c r="S259" s="11" t="str">
        <f t="shared" ref="S259:S322" si="25">IF(J259&lt;650,"600-649",
IF(J259&lt;700,"650-699",
IF(J259&lt;750,"700-749",
IF(J259&lt;800,"750-799","800-850"))))</f>
        <v>700-749</v>
      </c>
    </row>
    <row r="260" spans="1:19" x14ac:dyDescent="0.3">
      <c r="A260" s="11" t="s">
        <v>272</v>
      </c>
      <c r="B260" s="11" t="s">
        <v>1022</v>
      </c>
      <c r="C260" s="11">
        <v>29</v>
      </c>
      <c r="D260" s="11" t="s">
        <v>1034</v>
      </c>
      <c r="E260" s="11" t="s">
        <v>1038</v>
      </c>
      <c r="F260" s="12">
        <v>1343588</v>
      </c>
      <c r="G260" s="12">
        <v>1933442</v>
      </c>
      <c r="H260" s="11">
        <v>10.78</v>
      </c>
      <c r="I260" s="11">
        <v>96</v>
      </c>
      <c r="J260" s="11">
        <v>617</v>
      </c>
      <c r="K260" s="11" t="s">
        <v>1041</v>
      </c>
      <c r="L260" s="11" t="s">
        <v>1044</v>
      </c>
      <c r="M260" s="13">
        <v>45451</v>
      </c>
      <c r="N260" s="11" t="s">
        <v>1048</v>
      </c>
      <c r="O260" s="14">
        <f t="shared" si="21"/>
        <v>30142.383229675776</v>
      </c>
      <c r="P260" s="14">
        <f t="shared" si="22"/>
        <v>2893668.7900488744</v>
      </c>
      <c r="Q260" s="14">
        <f t="shared" si="23"/>
        <v>960226.79004887445</v>
      </c>
      <c r="R260" s="11">
        <f t="shared" ca="1" si="24"/>
        <v>1</v>
      </c>
      <c r="S260" s="11" t="str">
        <f t="shared" si="25"/>
        <v>600-649</v>
      </c>
    </row>
    <row r="261" spans="1:19" x14ac:dyDescent="0.3">
      <c r="A261" s="11" t="s">
        <v>273</v>
      </c>
      <c r="B261" s="11" t="s">
        <v>1016</v>
      </c>
      <c r="C261" s="11">
        <v>58</v>
      </c>
      <c r="D261" s="11" t="s">
        <v>1035</v>
      </c>
      <c r="E261" s="11" t="s">
        <v>1037</v>
      </c>
      <c r="F261" s="12">
        <v>541640</v>
      </c>
      <c r="G261" s="12">
        <v>756421</v>
      </c>
      <c r="H261" s="11">
        <v>10.29</v>
      </c>
      <c r="I261" s="11">
        <v>72</v>
      </c>
      <c r="J261" s="11">
        <v>762</v>
      </c>
      <c r="K261" s="11" t="s">
        <v>1040</v>
      </c>
      <c r="L261" s="11" t="s">
        <v>1044</v>
      </c>
      <c r="M261" s="13">
        <v>43805</v>
      </c>
      <c r="N261" s="11" t="s">
        <v>1046</v>
      </c>
      <c r="O261" s="14">
        <f t="shared" si="21"/>
        <v>14124.205448786131</v>
      </c>
      <c r="P261" s="14">
        <f t="shared" si="22"/>
        <v>1016942.7923126015</v>
      </c>
      <c r="Q261" s="14">
        <f t="shared" si="23"/>
        <v>260521.79231260146</v>
      </c>
      <c r="R261" s="11">
        <f t="shared" ca="1" si="24"/>
        <v>6</v>
      </c>
      <c r="S261" s="11" t="str">
        <f t="shared" si="25"/>
        <v>750-799</v>
      </c>
    </row>
    <row r="262" spans="1:19" x14ac:dyDescent="0.3">
      <c r="A262" s="11" t="s">
        <v>274</v>
      </c>
      <c r="B262" s="11" t="s">
        <v>1022</v>
      </c>
      <c r="C262" s="11">
        <v>39</v>
      </c>
      <c r="D262" s="11" t="s">
        <v>1035</v>
      </c>
      <c r="E262" s="11" t="s">
        <v>1038</v>
      </c>
      <c r="F262" s="12">
        <v>1461654</v>
      </c>
      <c r="G262" s="12">
        <v>1747926</v>
      </c>
      <c r="H262" s="11">
        <v>8.2799999999999994</v>
      </c>
      <c r="I262" s="11">
        <v>120</v>
      </c>
      <c r="J262" s="11">
        <v>612</v>
      </c>
      <c r="K262" s="11" t="s">
        <v>1039</v>
      </c>
      <c r="L262" s="11" t="s">
        <v>1044</v>
      </c>
      <c r="M262" s="13">
        <v>43319</v>
      </c>
      <c r="N262" s="11" t="s">
        <v>1045</v>
      </c>
      <c r="O262" s="14">
        <f t="shared" si="21"/>
        <v>21466.658381054094</v>
      </c>
      <c r="P262" s="14">
        <f t="shared" si="22"/>
        <v>2575999.0057264911</v>
      </c>
      <c r="Q262" s="14">
        <f t="shared" si="23"/>
        <v>828073.0057264911</v>
      </c>
      <c r="R262" s="11">
        <f t="shared" ca="1" si="24"/>
        <v>7</v>
      </c>
      <c r="S262" s="11" t="str">
        <f t="shared" si="25"/>
        <v>600-649</v>
      </c>
    </row>
    <row r="263" spans="1:19" x14ac:dyDescent="0.3">
      <c r="A263" s="11" t="s">
        <v>275</v>
      </c>
      <c r="B263" s="11" t="s">
        <v>1030</v>
      </c>
      <c r="C263" s="11">
        <v>40</v>
      </c>
      <c r="D263" s="11" t="s">
        <v>1034</v>
      </c>
      <c r="E263" s="11" t="s">
        <v>1036</v>
      </c>
      <c r="F263" s="12">
        <v>762237</v>
      </c>
      <c r="G263" s="12">
        <v>659502</v>
      </c>
      <c r="H263" s="11">
        <v>9.14</v>
      </c>
      <c r="I263" s="11">
        <v>48</v>
      </c>
      <c r="J263" s="11">
        <v>706</v>
      </c>
      <c r="K263" s="11" t="s">
        <v>1041</v>
      </c>
      <c r="L263" s="11" t="s">
        <v>1043</v>
      </c>
      <c r="M263" s="13">
        <v>44530</v>
      </c>
      <c r="N263" s="11" t="s">
        <v>1046</v>
      </c>
      <c r="O263" s="14">
        <f t="shared" si="21"/>
        <v>16455.611824391362</v>
      </c>
      <c r="P263" s="14">
        <f t="shared" si="22"/>
        <v>789869.36757078534</v>
      </c>
      <c r="Q263" s="14">
        <f t="shared" si="23"/>
        <v>130367.36757078534</v>
      </c>
      <c r="R263" s="11">
        <f t="shared" ca="1" si="24"/>
        <v>4</v>
      </c>
      <c r="S263" s="11" t="str">
        <f t="shared" si="25"/>
        <v>700-749</v>
      </c>
    </row>
    <row r="264" spans="1:19" x14ac:dyDescent="0.3">
      <c r="A264" s="11" t="s">
        <v>276</v>
      </c>
      <c r="B264" s="11" t="s">
        <v>1031</v>
      </c>
      <c r="C264" s="11">
        <v>50</v>
      </c>
      <c r="D264" s="11" t="s">
        <v>1035</v>
      </c>
      <c r="E264" s="11" t="s">
        <v>1036</v>
      </c>
      <c r="F264" s="12">
        <v>796997</v>
      </c>
      <c r="G264" s="12">
        <v>727190</v>
      </c>
      <c r="H264" s="11">
        <v>14.35</v>
      </c>
      <c r="I264" s="11">
        <v>48</v>
      </c>
      <c r="J264" s="11">
        <v>798</v>
      </c>
      <c r="K264" s="11" t="s">
        <v>1039</v>
      </c>
      <c r="L264" s="11" t="s">
        <v>1044</v>
      </c>
      <c r="M264" s="13">
        <v>43299</v>
      </c>
      <c r="N264" s="11" t="s">
        <v>1045</v>
      </c>
      <c r="O264" s="14">
        <f t="shared" si="21"/>
        <v>19999.449364391559</v>
      </c>
      <c r="P264" s="14">
        <f t="shared" si="22"/>
        <v>959973.56949079479</v>
      </c>
      <c r="Q264" s="14">
        <f t="shared" si="23"/>
        <v>232783.56949079479</v>
      </c>
      <c r="R264" s="11">
        <f t="shared" ca="1" si="24"/>
        <v>7</v>
      </c>
      <c r="S264" s="11" t="str">
        <f t="shared" si="25"/>
        <v>750-799</v>
      </c>
    </row>
    <row r="265" spans="1:19" x14ac:dyDescent="0.3">
      <c r="A265" s="11" t="s">
        <v>277</v>
      </c>
      <c r="B265" s="11" t="s">
        <v>1030</v>
      </c>
      <c r="C265" s="11">
        <v>37</v>
      </c>
      <c r="D265" s="11" t="s">
        <v>1034</v>
      </c>
      <c r="E265" s="11" t="s">
        <v>1038</v>
      </c>
      <c r="F265" s="12">
        <v>1599602</v>
      </c>
      <c r="G265" s="12">
        <v>1479138</v>
      </c>
      <c r="H265" s="11">
        <v>10.61</v>
      </c>
      <c r="I265" s="11">
        <v>84</v>
      </c>
      <c r="J265" s="11">
        <v>747</v>
      </c>
      <c r="K265" s="11" t="s">
        <v>1039</v>
      </c>
      <c r="L265" s="11" t="s">
        <v>1044</v>
      </c>
      <c r="M265" s="13">
        <v>44110</v>
      </c>
      <c r="N265" s="11" t="s">
        <v>1046</v>
      </c>
      <c r="O265" s="14">
        <f t="shared" si="21"/>
        <v>25024.15489474465</v>
      </c>
      <c r="P265" s="14">
        <f t="shared" si="22"/>
        <v>2102029.0111585506</v>
      </c>
      <c r="Q265" s="14">
        <f t="shared" si="23"/>
        <v>622891.01115855062</v>
      </c>
      <c r="R265" s="11">
        <f t="shared" ca="1" si="24"/>
        <v>5</v>
      </c>
      <c r="S265" s="11" t="str">
        <f t="shared" si="25"/>
        <v>700-749</v>
      </c>
    </row>
    <row r="266" spans="1:19" x14ac:dyDescent="0.3">
      <c r="A266" s="11" t="s">
        <v>278</v>
      </c>
      <c r="B266" s="11" t="s">
        <v>1014</v>
      </c>
      <c r="C266" s="11">
        <v>45</v>
      </c>
      <c r="D266" s="11" t="s">
        <v>1034</v>
      </c>
      <c r="E266" s="11" t="s">
        <v>1036</v>
      </c>
      <c r="F266" s="12">
        <v>1769247</v>
      </c>
      <c r="G266" s="12">
        <v>533659</v>
      </c>
      <c r="H266" s="11">
        <v>14.49</v>
      </c>
      <c r="I266" s="11">
        <v>72</v>
      </c>
      <c r="J266" s="11">
        <v>670</v>
      </c>
      <c r="K266" s="11" t="s">
        <v>1042</v>
      </c>
      <c r="L266" s="11" t="s">
        <v>1044</v>
      </c>
      <c r="M266" s="13">
        <v>43461</v>
      </c>
      <c r="N266" s="11" t="s">
        <v>1046</v>
      </c>
      <c r="O266" s="14">
        <f t="shared" si="21"/>
        <v>11136.948005976679</v>
      </c>
      <c r="P266" s="14">
        <f t="shared" si="22"/>
        <v>801860.25643032091</v>
      </c>
      <c r="Q266" s="14">
        <f t="shared" si="23"/>
        <v>268201.25643032091</v>
      </c>
      <c r="R266" s="11">
        <f t="shared" ca="1" si="24"/>
        <v>7</v>
      </c>
      <c r="S266" s="11" t="str">
        <f t="shared" si="25"/>
        <v>650-699</v>
      </c>
    </row>
    <row r="267" spans="1:19" x14ac:dyDescent="0.3">
      <c r="A267" s="11" t="s">
        <v>279</v>
      </c>
      <c r="B267" s="11" t="s">
        <v>1032</v>
      </c>
      <c r="C267" s="11">
        <v>29</v>
      </c>
      <c r="D267" s="11" t="s">
        <v>1034</v>
      </c>
      <c r="E267" s="11" t="s">
        <v>1038</v>
      </c>
      <c r="F267" s="12">
        <v>1663722</v>
      </c>
      <c r="G267" s="12">
        <v>1828028</v>
      </c>
      <c r="H267" s="11">
        <v>9.4700000000000006</v>
      </c>
      <c r="I267" s="11">
        <v>72</v>
      </c>
      <c r="J267" s="11">
        <v>831</v>
      </c>
      <c r="K267" s="11" t="s">
        <v>1041</v>
      </c>
      <c r="L267" s="11" t="s">
        <v>1043</v>
      </c>
      <c r="M267" s="13">
        <v>43516</v>
      </c>
      <c r="N267" s="11" t="s">
        <v>1045</v>
      </c>
      <c r="O267" s="14">
        <f t="shared" si="21"/>
        <v>33379.216006991192</v>
      </c>
      <c r="P267" s="14">
        <f t="shared" si="22"/>
        <v>2403303.552503366</v>
      </c>
      <c r="Q267" s="14">
        <f t="shared" si="23"/>
        <v>575275.55250336602</v>
      </c>
      <c r="R267" s="11">
        <f t="shared" ca="1" si="24"/>
        <v>6</v>
      </c>
      <c r="S267" s="11" t="str">
        <f t="shared" si="25"/>
        <v>800-850</v>
      </c>
    </row>
    <row r="268" spans="1:19" x14ac:dyDescent="0.3">
      <c r="A268" s="11" t="s">
        <v>280</v>
      </c>
      <c r="B268" s="11" t="s">
        <v>1018</v>
      </c>
      <c r="C268" s="11">
        <v>26</v>
      </c>
      <c r="D268" s="11" t="s">
        <v>1034</v>
      </c>
      <c r="E268" s="11" t="s">
        <v>1037</v>
      </c>
      <c r="F268" s="12">
        <v>1278266</v>
      </c>
      <c r="G268" s="12">
        <v>1189889</v>
      </c>
      <c r="H268" s="11">
        <v>10.45</v>
      </c>
      <c r="I268" s="11">
        <v>36</v>
      </c>
      <c r="J268" s="11">
        <v>613</v>
      </c>
      <c r="K268" s="11" t="s">
        <v>1042</v>
      </c>
      <c r="L268" s="11" t="s">
        <v>1044</v>
      </c>
      <c r="M268" s="13">
        <v>45371</v>
      </c>
      <c r="N268" s="11" t="s">
        <v>1045</v>
      </c>
      <c r="O268" s="14">
        <f t="shared" si="21"/>
        <v>38646.252607345356</v>
      </c>
      <c r="P268" s="14">
        <f t="shared" si="22"/>
        <v>1391265.0938644328</v>
      </c>
      <c r="Q268" s="14">
        <f t="shared" si="23"/>
        <v>201376.09386443277</v>
      </c>
      <c r="R268" s="11">
        <f t="shared" ca="1" si="24"/>
        <v>1</v>
      </c>
      <c r="S268" s="11" t="str">
        <f t="shared" si="25"/>
        <v>600-649</v>
      </c>
    </row>
    <row r="269" spans="1:19" x14ac:dyDescent="0.3">
      <c r="A269" s="11" t="s">
        <v>281</v>
      </c>
      <c r="B269" s="11" t="s">
        <v>1019</v>
      </c>
      <c r="C269" s="11">
        <v>26</v>
      </c>
      <c r="D269" s="11" t="s">
        <v>1034</v>
      </c>
      <c r="E269" s="11" t="s">
        <v>1036</v>
      </c>
      <c r="F269" s="12">
        <v>1306382</v>
      </c>
      <c r="G269" s="12">
        <v>1148343</v>
      </c>
      <c r="H269" s="11">
        <v>13.71</v>
      </c>
      <c r="I269" s="11">
        <v>120</v>
      </c>
      <c r="J269" s="11">
        <v>643</v>
      </c>
      <c r="K269" s="11" t="s">
        <v>1039</v>
      </c>
      <c r="L269" s="11" t="s">
        <v>1044</v>
      </c>
      <c r="M269" s="13">
        <v>45433</v>
      </c>
      <c r="N269" s="11" t="s">
        <v>1045</v>
      </c>
      <c r="O269" s="14">
        <f t="shared" si="21"/>
        <v>17630.2263859657</v>
      </c>
      <c r="P269" s="14">
        <f t="shared" si="22"/>
        <v>2115627.1663158839</v>
      </c>
      <c r="Q269" s="14">
        <f t="shared" si="23"/>
        <v>967284.16631588386</v>
      </c>
      <c r="R269" s="11">
        <f t="shared" ca="1" si="24"/>
        <v>1</v>
      </c>
      <c r="S269" s="11" t="str">
        <f t="shared" si="25"/>
        <v>600-649</v>
      </c>
    </row>
    <row r="270" spans="1:19" x14ac:dyDescent="0.3">
      <c r="A270" s="11" t="s">
        <v>282</v>
      </c>
      <c r="B270" s="11" t="s">
        <v>1020</v>
      </c>
      <c r="C270" s="11">
        <v>30</v>
      </c>
      <c r="D270" s="11" t="s">
        <v>1035</v>
      </c>
      <c r="E270" s="11" t="s">
        <v>1038</v>
      </c>
      <c r="F270" s="12">
        <v>592365</v>
      </c>
      <c r="G270" s="12">
        <v>1891906</v>
      </c>
      <c r="H270" s="11">
        <v>9.11</v>
      </c>
      <c r="I270" s="11">
        <v>36</v>
      </c>
      <c r="J270" s="11">
        <v>679</v>
      </c>
      <c r="K270" s="11" t="s">
        <v>1041</v>
      </c>
      <c r="L270" s="11" t="s">
        <v>1044</v>
      </c>
      <c r="M270" s="13">
        <v>44695</v>
      </c>
      <c r="N270" s="11" t="s">
        <v>1047</v>
      </c>
      <c r="O270" s="14">
        <f t="shared" si="21"/>
        <v>60259.008697032594</v>
      </c>
      <c r="P270" s="14">
        <f t="shared" si="22"/>
        <v>2169324.3130931733</v>
      </c>
      <c r="Q270" s="14">
        <f t="shared" si="23"/>
        <v>277418.31309317332</v>
      </c>
      <c r="R270" s="11">
        <f t="shared" ca="1" si="24"/>
        <v>3</v>
      </c>
      <c r="S270" s="11" t="str">
        <f t="shared" si="25"/>
        <v>650-699</v>
      </c>
    </row>
    <row r="271" spans="1:19" x14ac:dyDescent="0.3">
      <c r="A271" s="11" t="s">
        <v>283</v>
      </c>
      <c r="B271" s="11" t="s">
        <v>1031</v>
      </c>
      <c r="C271" s="11">
        <v>31</v>
      </c>
      <c r="D271" s="11" t="s">
        <v>1035</v>
      </c>
      <c r="E271" s="11" t="s">
        <v>1038</v>
      </c>
      <c r="F271" s="12">
        <v>824064</v>
      </c>
      <c r="G271" s="12">
        <v>387729</v>
      </c>
      <c r="H271" s="11">
        <v>14.96</v>
      </c>
      <c r="I271" s="11">
        <v>36</v>
      </c>
      <c r="J271" s="11">
        <v>816</v>
      </c>
      <c r="K271" s="11" t="s">
        <v>1041</v>
      </c>
      <c r="L271" s="11" t="s">
        <v>1044</v>
      </c>
      <c r="M271" s="13">
        <v>43290</v>
      </c>
      <c r="N271" s="11" t="s">
        <v>1047</v>
      </c>
      <c r="O271" s="14">
        <f t="shared" si="21"/>
        <v>13433.159497022783</v>
      </c>
      <c r="P271" s="14">
        <f t="shared" si="22"/>
        <v>483593.74189282022</v>
      </c>
      <c r="Q271" s="14">
        <f t="shared" si="23"/>
        <v>95864.741892820224</v>
      </c>
      <c r="R271" s="11">
        <f t="shared" ca="1" si="24"/>
        <v>7</v>
      </c>
      <c r="S271" s="11" t="str">
        <f t="shared" si="25"/>
        <v>800-850</v>
      </c>
    </row>
    <row r="272" spans="1:19" x14ac:dyDescent="0.3">
      <c r="A272" s="11" t="s">
        <v>284</v>
      </c>
      <c r="B272" s="11" t="s">
        <v>1022</v>
      </c>
      <c r="C272" s="11">
        <v>27</v>
      </c>
      <c r="D272" s="11" t="s">
        <v>1034</v>
      </c>
      <c r="E272" s="11" t="s">
        <v>1036</v>
      </c>
      <c r="F272" s="12">
        <v>1136922</v>
      </c>
      <c r="G272" s="12">
        <v>1281040</v>
      </c>
      <c r="H272" s="11">
        <v>14.34</v>
      </c>
      <c r="I272" s="11">
        <v>48</v>
      </c>
      <c r="J272" s="11">
        <v>782</v>
      </c>
      <c r="K272" s="11" t="s">
        <v>1039</v>
      </c>
      <c r="L272" s="11" t="s">
        <v>1044</v>
      </c>
      <c r="M272" s="13">
        <v>45574</v>
      </c>
      <c r="N272" s="11" t="s">
        <v>1046</v>
      </c>
      <c r="O272" s="14">
        <f t="shared" si="21"/>
        <v>35225.188234658868</v>
      </c>
      <c r="P272" s="14">
        <f t="shared" si="22"/>
        <v>1690809.0352636257</v>
      </c>
      <c r="Q272" s="14">
        <f t="shared" si="23"/>
        <v>409769.03526362567</v>
      </c>
      <c r="R272" s="11">
        <f t="shared" ca="1" si="24"/>
        <v>1</v>
      </c>
      <c r="S272" s="11" t="str">
        <f t="shared" si="25"/>
        <v>750-799</v>
      </c>
    </row>
    <row r="273" spans="1:19" x14ac:dyDescent="0.3">
      <c r="A273" s="11" t="s">
        <v>285</v>
      </c>
      <c r="B273" s="11" t="s">
        <v>1025</v>
      </c>
      <c r="C273" s="11">
        <v>37</v>
      </c>
      <c r="D273" s="11" t="s">
        <v>1034</v>
      </c>
      <c r="E273" s="11" t="s">
        <v>1038</v>
      </c>
      <c r="F273" s="12">
        <v>1859055</v>
      </c>
      <c r="G273" s="12">
        <v>1722974</v>
      </c>
      <c r="H273" s="11">
        <v>9.0500000000000007</v>
      </c>
      <c r="I273" s="11">
        <v>36</v>
      </c>
      <c r="J273" s="11">
        <v>615</v>
      </c>
      <c r="K273" s="11" t="s">
        <v>1039</v>
      </c>
      <c r="L273" s="11" t="s">
        <v>1044</v>
      </c>
      <c r="M273" s="13">
        <v>44330</v>
      </c>
      <c r="N273" s="11" t="s">
        <v>1046</v>
      </c>
      <c r="O273" s="14">
        <f t="shared" si="21"/>
        <v>54830.216090461508</v>
      </c>
      <c r="P273" s="14">
        <f t="shared" si="22"/>
        <v>1973887.7792566144</v>
      </c>
      <c r="Q273" s="14">
        <f t="shared" si="23"/>
        <v>250913.77925661439</v>
      </c>
      <c r="R273" s="11">
        <f t="shared" ca="1" si="24"/>
        <v>4</v>
      </c>
      <c r="S273" s="11" t="str">
        <f t="shared" si="25"/>
        <v>600-649</v>
      </c>
    </row>
    <row r="274" spans="1:19" x14ac:dyDescent="0.3">
      <c r="A274" s="11" t="s">
        <v>286</v>
      </c>
      <c r="B274" s="11" t="s">
        <v>1014</v>
      </c>
      <c r="C274" s="11">
        <v>36</v>
      </c>
      <c r="D274" s="11" t="s">
        <v>1035</v>
      </c>
      <c r="E274" s="11" t="s">
        <v>1037</v>
      </c>
      <c r="F274" s="12">
        <v>430193</v>
      </c>
      <c r="G274" s="12">
        <v>669753</v>
      </c>
      <c r="H274" s="11">
        <v>11.94</v>
      </c>
      <c r="I274" s="11">
        <v>72</v>
      </c>
      <c r="J274" s="11">
        <v>764</v>
      </c>
      <c r="K274" s="11" t="s">
        <v>1039</v>
      </c>
      <c r="L274" s="11" t="s">
        <v>1044</v>
      </c>
      <c r="M274" s="13">
        <v>43938</v>
      </c>
      <c r="N274" s="11" t="s">
        <v>1045</v>
      </c>
      <c r="O274" s="14">
        <f t="shared" si="21"/>
        <v>13072.912158839867</v>
      </c>
      <c r="P274" s="14">
        <f t="shared" si="22"/>
        <v>941249.67543647042</v>
      </c>
      <c r="Q274" s="14">
        <f t="shared" si="23"/>
        <v>271496.67543647042</v>
      </c>
      <c r="R274" s="11">
        <f t="shared" ca="1" si="24"/>
        <v>5</v>
      </c>
      <c r="S274" s="11" t="str">
        <f t="shared" si="25"/>
        <v>750-799</v>
      </c>
    </row>
    <row r="275" spans="1:19" x14ac:dyDescent="0.3">
      <c r="A275" s="11" t="s">
        <v>287</v>
      </c>
      <c r="B275" s="11" t="s">
        <v>1018</v>
      </c>
      <c r="C275" s="11">
        <v>28</v>
      </c>
      <c r="D275" s="11" t="s">
        <v>1035</v>
      </c>
      <c r="E275" s="11" t="s">
        <v>1036</v>
      </c>
      <c r="F275" s="12">
        <v>982281</v>
      </c>
      <c r="G275" s="12">
        <v>377721</v>
      </c>
      <c r="H275" s="11">
        <v>11.11</v>
      </c>
      <c r="I275" s="11">
        <v>36</v>
      </c>
      <c r="J275" s="11">
        <v>661</v>
      </c>
      <c r="K275" s="11" t="s">
        <v>1039</v>
      </c>
      <c r="L275" s="11" t="s">
        <v>1044</v>
      </c>
      <c r="M275" s="13">
        <v>43556</v>
      </c>
      <c r="N275" s="11" t="s">
        <v>1048</v>
      </c>
      <c r="O275" s="14">
        <f t="shared" si="21"/>
        <v>12385.786486811799</v>
      </c>
      <c r="P275" s="14">
        <f t="shared" si="22"/>
        <v>445888.3135252248</v>
      </c>
      <c r="Q275" s="14">
        <f t="shared" si="23"/>
        <v>68167.313525224803</v>
      </c>
      <c r="R275" s="11">
        <f t="shared" ca="1" si="24"/>
        <v>6</v>
      </c>
      <c r="S275" s="11" t="str">
        <f t="shared" si="25"/>
        <v>650-699</v>
      </c>
    </row>
    <row r="276" spans="1:19" x14ac:dyDescent="0.3">
      <c r="A276" s="11" t="s">
        <v>288</v>
      </c>
      <c r="B276" s="11" t="s">
        <v>1016</v>
      </c>
      <c r="C276" s="11">
        <v>46</v>
      </c>
      <c r="D276" s="11" t="s">
        <v>1035</v>
      </c>
      <c r="E276" s="11" t="s">
        <v>1036</v>
      </c>
      <c r="F276" s="12">
        <v>754006</v>
      </c>
      <c r="G276" s="12">
        <v>559139</v>
      </c>
      <c r="H276" s="11">
        <v>13.45</v>
      </c>
      <c r="I276" s="11">
        <v>84</v>
      </c>
      <c r="J276" s="11">
        <v>789</v>
      </c>
      <c r="K276" s="11" t="s">
        <v>1040</v>
      </c>
      <c r="L276" s="11" t="s">
        <v>1044</v>
      </c>
      <c r="M276" s="13">
        <v>43638</v>
      </c>
      <c r="N276" s="11" t="s">
        <v>1045</v>
      </c>
      <c r="O276" s="14">
        <f t="shared" si="21"/>
        <v>10309.125914915256</v>
      </c>
      <c r="P276" s="14">
        <f t="shared" si="22"/>
        <v>865966.57685288147</v>
      </c>
      <c r="Q276" s="14">
        <f t="shared" si="23"/>
        <v>306827.57685288147</v>
      </c>
      <c r="R276" s="11">
        <f t="shared" ca="1" si="24"/>
        <v>6</v>
      </c>
      <c r="S276" s="11" t="str">
        <f t="shared" si="25"/>
        <v>750-799</v>
      </c>
    </row>
    <row r="277" spans="1:19" x14ac:dyDescent="0.3">
      <c r="A277" s="11" t="s">
        <v>289</v>
      </c>
      <c r="B277" s="11" t="s">
        <v>1024</v>
      </c>
      <c r="C277" s="11">
        <v>51</v>
      </c>
      <c r="D277" s="11" t="s">
        <v>1034</v>
      </c>
      <c r="E277" s="11" t="s">
        <v>1038</v>
      </c>
      <c r="F277" s="12">
        <v>1868279</v>
      </c>
      <c r="G277" s="12">
        <v>1192846</v>
      </c>
      <c r="H277" s="11">
        <v>13.61</v>
      </c>
      <c r="I277" s="11">
        <v>120</v>
      </c>
      <c r="J277" s="11">
        <v>753</v>
      </c>
      <c r="K277" s="11" t="s">
        <v>1041</v>
      </c>
      <c r="L277" s="11" t="s">
        <v>1044</v>
      </c>
      <c r="M277" s="13">
        <v>45268</v>
      </c>
      <c r="N277" s="11" t="s">
        <v>1047</v>
      </c>
      <c r="O277" s="14">
        <f t="shared" si="21"/>
        <v>18242.208318055076</v>
      </c>
      <c r="P277" s="14">
        <f t="shared" si="22"/>
        <v>2189064.9981666091</v>
      </c>
      <c r="Q277" s="14">
        <f t="shared" si="23"/>
        <v>996218.99816660909</v>
      </c>
      <c r="R277" s="11">
        <f t="shared" ca="1" si="24"/>
        <v>2</v>
      </c>
      <c r="S277" s="11" t="str">
        <f t="shared" si="25"/>
        <v>750-799</v>
      </c>
    </row>
    <row r="278" spans="1:19" x14ac:dyDescent="0.3">
      <c r="A278" s="11" t="s">
        <v>290</v>
      </c>
      <c r="B278" s="11" t="s">
        <v>1015</v>
      </c>
      <c r="C278" s="11">
        <v>60</v>
      </c>
      <c r="D278" s="11" t="s">
        <v>1034</v>
      </c>
      <c r="E278" s="11" t="s">
        <v>1036</v>
      </c>
      <c r="F278" s="12">
        <v>527361</v>
      </c>
      <c r="G278" s="12">
        <v>1702176</v>
      </c>
      <c r="H278" s="11">
        <v>11.42</v>
      </c>
      <c r="I278" s="11">
        <v>36</v>
      </c>
      <c r="J278" s="11">
        <v>646</v>
      </c>
      <c r="K278" s="11" t="s">
        <v>1041</v>
      </c>
      <c r="L278" s="11" t="s">
        <v>1044</v>
      </c>
      <c r="M278" s="13">
        <v>44954</v>
      </c>
      <c r="N278" s="11" t="s">
        <v>1046</v>
      </c>
      <c r="O278" s="14">
        <f t="shared" si="21"/>
        <v>56066.225348926782</v>
      </c>
      <c r="P278" s="14">
        <f t="shared" si="22"/>
        <v>2018384.1125613642</v>
      </c>
      <c r="Q278" s="14">
        <f t="shared" si="23"/>
        <v>316208.11256136419</v>
      </c>
      <c r="R278" s="11">
        <f t="shared" ca="1" si="24"/>
        <v>2</v>
      </c>
      <c r="S278" s="11" t="str">
        <f t="shared" si="25"/>
        <v>600-649</v>
      </c>
    </row>
    <row r="279" spans="1:19" x14ac:dyDescent="0.3">
      <c r="A279" s="11" t="s">
        <v>291</v>
      </c>
      <c r="B279" s="11" t="s">
        <v>1028</v>
      </c>
      <c r="C279" s="11">
        <v>39</v>
      </c>
      <c r="D279" s="11" t="s">
        <v>1034</v>
      </c>
      <c r="E279" s="11" t="s">
        <v>1038</v>
      </c>
      <c r="F279" s="12">
        <v>1751174</v>
      </c>
      <c r="G279" s="12">
        <v>1130921</v>
      </c>
      <c r="H279" s="11">
        <v>10.38</v>
      </c>
      <c r="I279" s="11">
        <v>84</v>
      </c>
      <c r="J279" s="11">
        <v>827</v>
      </c>
      <c r="K279" s="11" t="s">
        <v>1042</v>
      </c>
      <c r="L279" s="11" t="s">
        <v>1044</v>
      </c>
      <c r="M279" s="13">
        <v>45010</v>
      </c>
      <c r="N279" s="11" t="s">
        <v>1046</v>
      </c>
      <c r="O279" s="14">
        <f t="shared" si="21"/>
        <v>18997.423427153088</v>
      </c>
      <c r="P279" s="14">
        <f t="shared" si="22"/>
        <v>1595783.5678808594</v>
      </c>
      <c r="Q279" s="14">
        <f t="shared" si="23"/>
        <v>464862.56788085937</v>
      </c>
      <c r="R279" s="11">
        <f t="shared" ca="1" si="24"/>
        <v>2</v>
      </c>
      <c r="S279" s="11" t="str">
        <f t="shared" si="25"/>
        <v>800-850</v>
      </c>
    </row>
    <row r="280" spans="1:19" x14ac:dyDescent="0.3">
      <c r="A280" s="11" t="s">
        <v>292</v>
      </c>
      <c r="B280" s="11" t="s">
        <v>1017</v>
      </c>
      <c r="C280" s="11">
        <v>50</v>
      </c>
      <c r="D280" s="11" t="s">
        <v>1035</v>
      </c>
      <c r="E280" s="11" t="s">
        <v>1038</v>
      </c>
      <c r="F280" s="12">
        <v>332084</v>
      </c>
      <c r="G280" s="12">
        <v>499921</v>
      </c>
      <c r="H280" s="11">
        <v>13.4</v>
      </c>
      <c r="I280" s="11">
        <v>36</v>
      </c>
      <c r="J280" s="11">
        <v>632</v>
      </c>
      <c r="K280" s="11" t="s">
        <v>1040</v>
      </c>
      <c r="L280" s="11" t="s">
        <v>1043</v>
      </c>
      <c r="M280" s="13">
        <v>45144</v>
      </c>
      <c r="N280" s="11" t="s">
        <v>1045</v>
      </c>
      <c r="O280" s="14">
        <f t="shared" si="21"/>
        <v>16940.792751399782</v>
      </c>
      <c r="P280" s="14">
        <f t="shared" si="22"/>
        <v>609868.53905039211</v>
      </c>
      <c r="Q280" s="14">
        <f t="shared" si="23"/>
        <v>109947.53905039211</v>
      </c>
      <c r="R280" s="11">
        <f t="shared" ca="1" si="24"/>
        <v>2</v>
      </c>
      <c r="S280" s="11" t="str">
        <f t="shared" si="25"/>
        <v>600-649</v>
      </c>
    </row>
    <row r="281" spans="1:19" x14ac:dyDescent="0.3">
      <c r="A281" s="11" t="s">
        <v>293</v>
      </c>
      <c r="B281" s="11" t="s">
        <v>1021</v>
      </c>
      <c r="C281" s="11">
        <v>35</v>
      </c>
      <c r="D281" s="11" t="s">
        <v>1034</v>
      </c>
      <c r="E281" s="11" t="s">
        <v>1037</v>
      </c>
      <c r="F281" s="12">
        <v>944155</v>
      </c>
      <c r="G281" s="12">
        <v>1357203</v>
      </c>
      <c r="H281" s="11">
        <v>13.42</v>
      </c>
      <c r="I281" s="11">
        <v>120</v>
      </c>
      <c r="J281" s="11">
        <v>714</v>
      </c>
      <c r="K281" s="11" t="s">
        <v>1039</v>
      </c>
      <c r="L281" s="11" t="s">
        <v>1044</v>
      </c>
      <c r="M281" s="13">
        <v>44883</v>
      </c>
      <c r="N281" s="11" t="s">
        <v>1045</v>
      </c>
      <c r="O281" s="14">
        <f t="shared" si="21"/>
        <v>20602.095826275461</v>
      </c>
      <c r="P281" s="14">
        <f t="shared" si="22"/>
        <v>2472251.4991530553</v>
      </c>
      <c r="Q281" s="14">
        <f t="shared" si="23"/>
        <v>1115048.4991530553</v>
      </c>
      <c r="R281" s="11">
        <f t="shared" ca="1" si="24"/>
        <v>3</v>
      </c>
      <c r="S281" s="11" t="str">
        <f t="shared" si="25"/>
        <v>700-749</v>
      </c>
    </row>
    <row r="282" spans="1:19" x14ac:dyDescent="0.3">
      <c r="A282" s="11" t="s">
        <v>294</v>
      </c>
      <c r="B282" s="11" t="s">
        <v>1026</v>
      </c>
      <c r="C282" s="11">
        <v>39</v>
      </c>
      <c r="D282" s="11" t="s">
        <v>1034</v>
      </c>
      <c r="E282" s="11" t="s">
        <v>1038</v>
      </c>
      <c r="F282" s="12">
        <v>887148</v>
      </c>
      <c r="G282" s="12">
        <v>650177</v>
      </c>
      <c r="H282" s="11">
        <v>10.38</v>
      </c>
      <c r="I282" s="11">
        <v>84</v>
      </c>
      <c r="J282" s="11">
        <v>736</v>
      </c>
      <c r="K282" s="11" t="s">
        <v>1040</v>
      </c>
      <c r="L282" s="11" t="s">
        <v>1043</v>
      </c>
      <c r="M282" s="13">
        <v>45341</v>
      </c>
      <c r="N282" s="11" t="s">
        <v>1046</v>
      </c>
      <c r="O282" s="14">
        <f t="shared" si="21"/>
        <v>10921.795396491985</v>
      </c>
      <c r="P282" s="14">
        <f t="shared" si="22"/>
        <v>917430.81330532674</v>
      </c>
      <c r="Q282" s="14">
        <f t="shared" si="23"/>
        <v>267253.81330532674</v>
      </c>
      <c r="R282" s="11">
        <f t="shared" ca="1" si="24"/>
        <v>1</v>
      </c>
      <c r="S282" s="11" t="str">
        <f t="shared" si="25"/>
        <v>700-749</v>
      </c>
    </row>
    <row r="283" spans="1:19" x14ac:dyDescent="0.3">
      <c r="A283" s="11" t="s">
        <v>295</v>
      </c>
      <c r="B283" s="11" t="s">
        <v>1024</v>
      </c>
      <c r="C283" s="11">
        <v>31</v>
      </c>
      <c r="D283" s="11" t="s">
        <v>1034</v>
      </c>
      <c r="E283" s="11" t="s">
        <v>1037</v>
      </c>
      <c r="F283" s="12">
        <v>1202153</v>
      </c>
      <c r="G283" s="12">
        <v>1737339</v>
      </c>
      <c r="H283" s="11">
        <v>14.06</v>
      </c>
      <c r="I283" s="11">
        <v>84</v>
      </c>
      <c r="J283" s="11">
        <v>750</v>
      </c>
      <c r="K283" s="11" t="s">
        <v>1039</v>
      </c>
      <c r="L283" s="11" t="s">
        <v>1044</v>
      </c>
      <c r="M283" s="13">
        <v>45358</v>
      </c>
      <c r="N283" s="11" t="s">
        <v>1046</v>
      </c>
      <c r="O283" s="14">
        <f t="shared" si="21"/>
        <v>32615.364309152385</v>
      </c>
      <c r="P283" s="14">
        <f t="shared" si="22"/>
        <v>2739690.6019688002</v>
      </c>
      <c r="Q283" s="14">
        <f t="shared" si="23"/>
        <v>1002351.6019688002</v>
      </c>
      <c r="R283" s="11">
        <f t="shared" ca="1" si="24"/>
        <v>1</v>
      </c>
      <c r="S283" s="11" t="str">
        <f t="shared" si="25"/>
        <v>750-799</v>
      </c>
    </row>
    <row r="284" spans="1:19" x14ac:dyDescent="0.3">
      <c r="A284" s="11" t="s">
        <v>296</v>
      </c>
      <c r="B284" s="11" t="s">
        <v>1026</v>
      </c>
      <c r="C284" s="11">
        <v>44</v>
      </c>
      <c r="D284" s="11" t="s">
        <v>1035</v>
      </c>
      <c r="E284" s="11" t="s">
        <v>1038</v>
      </c>
      <c r="F284" s="12">
        <v>1132417</v>
      </c>
      <c r="G284" s="12">
        <v>908747</v>
      </c>
      <c r="H284" s="11">
        <v>14.14</v>
      </c>
      <c r="I284" s="11">
        <v>72</v>
      </c>
      <c r="J284" s="11">
        <v>737</v>
      </c>
      <c r="K284" s="11" t="s">
        <v>1040</v>
      </c>
      <c r="L284" s="11" t="s">
        <v>1044</v>
      </c>
      <c r="M284" s="13">
        <v>45184</v>
      </c>
      <c r="N284" s="11" t="s">
        <v>1048</v>
      </c>
      <c r="O284" s="14">
        <f t="shared" si="21"/>
        <v>18793.596643542336</v>
      </c>
      <c r="P284" s="14">
        <f t="shared" si="22"/>
        <v>1353138.9583350483</v>
      </c>
      <c r="Q284" s="14">
        <f t="shared" si="23"/>
        <v>444391.95833504829</v>
      </c>
      <c r="R284" s="11">
        <f t="shared" ca="1" si="24"/>
        <v>2</v>
      </c>
      <c r="S284" s="11" t="str">
        <f t="shared" si="25"/>
        <v>700-749</v>
      </c>
    </row>
    <row r="285" spans="1:19" x14ac:dyDescent="0.3">
      <c r="A285" s="11" t="s">
        <v>297</v>
      </c>
      <c r="B285" s="11" t="s">
        <v>1029</v>
      </c>
      <c r="C285" s="11">
        <v>38</v>
      </c>
      <c r="D285" s="11" t="s">
        <v>1034</v>
      </c>
      <c r="E285" s="11" t="s">
        <v>1036</v>
      </c>
      <c r="F285" s="12">
        <v>1235213</v>
      </c>
      <c r="G285" s="12">
        <v>420323</v>
      </c>
      <c r="H285" s="11">
        <v>11.16</v>
      </c>
      <c r="I285" s="11">
        <v>48</v>
      </c>
      <c r="J285" s="11">
        <v>679</v>
      </c>
      <c r="K285" s="11" t="s">
        <v>1039</v>
      </c>
      <c r="L285" s="11" t="s">
        <v>1044</v>
      </c>
      <c r="M285" s="13">
        <v>45541</v>
      </c>
      <c r="N285" s="11" t="s">
        <v>1046</v>
      </c>
      <c r="O285" s="14">
        <f t="shared" si="21"/>
        <v>10896.155952163295</v>
      </c>
      <c r="P285" s="14">
        <f t="shared" si="22"/>
        <v>523015.48570383817</v>
      </c>
      <c r="Q285" s="14">
        <f t="shared" si="23"/>
        <v>102692.48570383817</v>
      </c>
      <c r="R285" s="11">
        <f t="shared" ca="1" si="24"/>
        <v>1</v>
      </c>
      <c r="S285" s="11" t="str">
        <f t="shared" si="25"/>
        <v>650-699</v>
      </c>
    </row>
    <row r="286" spans="1:19" x14ac:dyDescent="0.3">
      <c r="A286" s="11" t="s">
        <v>298</v>
      </c>
      <c r="B286" s="11" t="s">
        <v>1017</v>
      </c>
      <c r="C286" s="11">
        <v>27</v>
      </c>
      <c r="D286" s="11" t="s">
        <v>1035</v>
      </c>
      <c r="E286" s="11" t="s">
        <v>1036</v>
      </c>
      <c r="F286" s="12">
        <v>1385278</v>
      </c>
      <c r="G286" s="12">
        <v>1807067</v>
      </c>
      <c r="H286" s="11">
        <v>8.7100000000000009</v>
      </c>
      <c r="I286" s="11">
        <v>48</v>
      </c>
      <c r="J286" s="11">
        <v>780</v>
      </c>
      <c r="K286" s="11" t="s">
        <v>1041</v>
      </c>
      <c r="L286" s="11" t="s">
        <v>1043</v>
      </c>
      <c r="M286" s="13">
        <v>43918</v>
      </c>
      <c r="N286" s="11" t="s">
        <v>1046</v>
      </c>
      <c r="O286" s="14">
        <f t="shared" si="21"/>
        <v>44720.514358194756</v>
      </c>
      <c r="P286" s="14">
        <f t="shared" si="22"/>
        <v>2146584.6891933484</v>
      </c>
      <c r="Q286" s="14">
        <f t="shared" si="23"/>
        <v>339517.6891933484</v>
      </c>
      <c r="R286" s="11">
        <f t="shared" ca="1" si="24"/>
        <v>5</v>
      </c>
      <c r="S286" s="11" t="str">
        <f t="shared" si="25"/>
        <v>750-799</v>
      </c>
    </row>
    <row r="287" spans="1:19" x14ac:dyDescent="0.3">
      <c r="A287" s="11" t="s">
        <v>299</v>
      </c>
      <c r="B287" s="11" t="s">
        <v>1027</v>
      </c>
      <c r="C287" s="11">
        <v>52</v>
      </c>
      <c r="D287" s="11" t="s">
        <v>1034</v>
      </c>
      <c r="E287" s="11" t="s">
        <v>1036</v>
      </c>
      <c r="F287" s="12">
        <v>1871184</v>
      </c>
      <c r="G287" s="12">
        <v>1618811</v>
      </c>
      <c r="H287" s="11">
        <v>11.35</v>
      </c>
      <c r="I287" s="11">
        <v>60</v>
      </c>
      <c r="J287" s="11">
        <v>621</v>
      </c>
      <c r="K287" s="11" t="s">
        <v>1041</v>
      </c>
      <c r="L287" s="11" t="s">
        <v>1044</v>
      </c>
      <c r="M287" s="13">
        <v>44675</v>
      </c>
      <c r="N287" s="11" t="s">
        <v>1046</v>
      </c>
      <c r="O287" s="14">
        <f t="shared" si="21"/>
        <v>35480.09250874049</v>
      </c>
      <c r="P287" s="14">
        <f t="shared" si="22"/>
        <v>2128805.5505244294</v>
      </c>
      <c r="Q287" s="14">
        <f t="shared" si="23"/>
        <v>509994.55052442942</v>
      </c>
      <c r="R287" s="11">
        <f t="shared" ca="1" si="24"/>
        <v>3</v>
      </c>
      <c r="S287" s="11" t="str">
        <f t="shared" si="25"/>
        <v>600-649</v>
      </c>
    </row>
    <row r="288" spans="1:19" x14ac:dyDescent="0.3">
      <c r="A288" s="11" t="s">
        <v>300</v>
      </c>
      <c r="B288" s="11" t="s">
        <v>1018</v>
      </c>
      <c r="C288" s="11">
        <v>46</v>
      </c>
      <c r="D288" s="11" t="s">
        <v>1034</v>
      </c>
      <c r="E288" s="11" t="s">
        <v>1038</v>
      </c>
      <c r="F288" s="12">
        <v>1096211</v>
      </c>
      <c r="G288" s="12">
        <v>1438101</v>
      </c>
      <c r="H288" s="11">
        <v>7.82</v>
      </c>
      <c r="I288" s="11">
        <v>72</v>
      </c>
      <c r="J288" s="11">
        <v>706</v>
      </c>
      <c r="K288" s="11" t="s">
        <v>1041</v>
      </c>
      <c r="L288" s="11" t="s">
        <v>1044</v>
      </c>
      <c r="M288" s="13">
        <v>43428</v>
      </c>
      <c r="N288" s="11" t="s">
        <v>1046</v>
      </c>
      <c r="O288" s="14">
        <f t="shared" si="21"/>
        <v>25088.364891018573</v>
      </c>
      <c r="P288" s="14">
        <f t="shared" si="22"/>
        <v>1806362.2721533373</v>
      </c>
      <c r="Q288" s="14">
        <f t="shared" si="23"/>
        <v>368261.27215333725</v>
      </c>
      <c r="R288" s="11">
        <f t="shared" ca="1" si="24"/>
        <v>7</v>
      </c>
      <c r="S288" s="11" t="str">
        <f t="shared" si="25"/>
        <v>700-749</v>
      </c>
    </row>
    <row r="289" spans="1:19" x14ac:dyDescent="0.3">
      <c r="A289" s="11" t="s">
        <v>301</v>
      </c>
      <c r="B289" s="11" t="s">
        <v>1024</v>
      </c>
      <c r="C289" s="11">
        <v>32</v>
      </c>
      <c r="D289" s="11" t="s">
        <v>1035</v>
      </c>
      <c r="E289" s="11" t="s">
        <v>1038</v>
      </c>
      <c r="F289" s="12">
        <v>1829321</v>
      </c>
      <c r="G289" s="12">
        <v>1877118</v>
      </c>
      <c r="H289" s="11">
        <v>13.39</v>
      </c>
      <c r="I289" s="11">
        <v>84</v>
      </c>
      <c r="J289" s="11">
        <v>610</v>
      </c>
      <c r="K289" s="11" t="s">
        <v>1041</v>
      </c>
      <c r="L289" s="11" t="s">
        <v>1044</v>
      </c>
      <c r="M289" s="13">
        <v>45566</v>
      </c>
      <c r="N289" s="11" t="s">
        <v>1046</v>
      </c>
      <c r="O289" s="14">
        <f t="shared" si="21"/>
        <v>34547.718449392713</v>
      </c>
      <c r="P289" s="14">
        <f t="shared" si="22"/>
        <v>2902008.3497489877</v>
      </c>
      <c r="Q289" s="14">
        <f t="shared" si="23"/>
        <v>1024890.3497489877</v>
      </c>
      <c r="R289" s="11">
        <f t="shared" ca="1" si="24"/>
        <v>1</v>
      </c>
      <c r="S289" s="11" t="str">
        <f t="shared" si="25"/>
        <v>600-649</v>
      </c>
    </row>
    <row r="290" spans="1:19" x14ac:dyDescent="0.3">
      <c r="A290" s="11" t="s">
        <v>302</v>
      </c>
      <c r="B290" s="11" t="s">
        <v>1033</v>
      </c>
      <c r="C290" s="11">
        <v>46</v>
      </c>
      <c r="D290" s="11" t="s">
        <v>1035</v>
      </c>
      <c r="E290" s="11" t="s">
        <v>1038</v>
      </c>
      <c r="F290" s="12">
        <v>378112</v>
      </c>
      <c r="G290" s="12">
        <v>215686</v>
      </c>
      <c r="H290" s="11">
        <v>11.53</v>
      </c>
      <c r="I290" s="11">
        <v>84</v>
      </c>
      <c r="J290" s="11">
        <v>631</v>
      </c>
      <c r="K290" s="11" t="s">
        <v>1039</v>
      </c>
      <c r="L290" s="11" t="s">
        <v>1044</v>
      </c>
      <c r="M290" s="13">
        <v>44879</v>
      </c>
      <c r="N290" s="11" t="s">
        <v>1048</v>
      </c>
      <c r="O290" s="14">
        <f t="shared" si="21"/>
        <v>3753.4484156142689</v>
      </c>
      <c r="P290" s="14">
        <f t="shared" si="22"/>
        <v>315289.66691159859</v>
      </c>
      <c r="Q290" s="14">
        <f t="shared" si="23"/>
        <v>99603.666911598586</v>
      </c>
      <c r="R290" s="11">
        <f t="shared" ca="1" si="24"/>
        <v>3</v>
      </c>
      <c r="S290" s="11" t="str">
        <f t="shared" si="25"/>
        <v>600-649</v>
      </c>
    </row>
    <row r="291" spans="1:19" x14ac:dyDescent="0.3">
      <c r="A291" s="11" t="s">
        <v>303</v>
      </c>
      <c r="B291" s="11" t="s">
        <v>1024</v>
      </c>
      <c r="C291" s="11">
        <v>29</v>
      </c>
      <c r="D291" s="11" t="s">
        <v>1035</v>
      </c>
      <c r="E291" s="11" t="s">
        <v>1036</v>
      </c>
      <c r="F291" s="12">
        <v>912273</v>
      </c>
      <c r="G291" s="12">
        <v>1828652</v>
      </c>
      <c r="H291" s="11">
        <v>10.14</v>
      </c>
      <c r="I291" s="11">
        <v>120</v>
      </c>
      <c r="J291" s="11">
        <v>841</v>
      </c>
      <c r="K291" s="11" t="s">
        <v>1040</v>
      </c>
      <c r="L291" s="11" t="s">
        <v>1044</v>
      </c>
      <c r="M291" s="13">
        <v>45305</v>
      </c>
      <c r="N291" s="11" t="s">
        <v>1048</v>
      </c>
      <c r="O291" s="14">
        <f t="shared" si="21"/>
        <v>24307.760942551195</v>
      </c>
      <c r="P291" s="14">
        <f t="shared" si="22"/>
        <v>2916931.3131061434</v>
      </c>
      <c r="Q291" s="14">
        <f t="shared" si="23"/>
        <v>1088279.3131061434</v>
      </c>
      <c r="R291" s="11">
        <f t="shared" ca="1" si="24"/>
        <v>1</v>
      </c>
      <c r="S291" s="11" t="str">
        <f t="shared" si="25"/>
        <v>800-850</v>
      </c>
    </row>
    <row r="292" spans="1:19" x14ac:dyDescent="0.3">
      <c r="A292" s="11" t="s">
        <v>304</v>
      </c>
      <c r="B292" s="11" t="s">
        <v>1027</v>
      </c>
      <c r="C292" s="11">
        <v>42</v>
      </c>
      <c r="D292" s="11" t="s">
        <v>1034</v>
      </c>
      <c r="E292" s="11" t="s">
        <v>1036</v>
      </c>
      <c r="F292" s="12">
        <v>476542</v>
      </c>
      <c r="G292" s="12">
        <v>572604</v>
      </c>
      <c r="H292" s="11">
        <v>13.08</v>
      </c>
      <c r="I292" s="11">
        <v>72</v>
      </c>
      <c r="J292" s="11">
        <v>744</v>
      </c>
      <c r="K292" s="11" t="s">
        <v>1041</v>
      </c>
      <c r="L292" s="11" t="s">
        <v>1044</v>
      </c>
      <c r="M292" s="13">
        <v>45441</v>
      </c>
      <c r="N292" s="11" t="s">
        <v>1045</v>
      </c>
      <c r="O292" s="14">
        <f t="shared" si="21"/>
        <v>11518.704109429958</v>
      </c>
      <c r="P292" s="14">
        <f t="shared" si="22"/>
        <v>829346.69587895705</v>
      </c>
      <c r="Q292" s="14">
        <f t="shared" si="23"/>
        <v>256742.69587895705</v>
      </c>
      <c r="R292" s="11">
        <f t="shared" ca="1" si="24"/>
        <v>1</v>
      </c>
      <c r="S292" s="11" t="str">
        <f t="shared" si="25"/>
        <v>700-749</v>
      </c>
    </row>
    <row r="293" spans="1:19" x14ac:dyDescent="0.3">
      <c r="A293" s="11" t="s">
        <v>305</v>
      </c>
      <c r="B293" s="11" t="s">
        <v>1032</v>
      </c>
      <c r="C293" s="11">
        <v>33</v>
      </c>
      <c r="D293" s="11" t="s">
        <v>1035</v>
      </c>
      <c r="E293" s="11" t="s">
        <v>1037</v>
      </c>
      <c r="F293" s="12">
        <v>1734345</v>
      </c>
      <c r="G293" s="12">
        <v>1056585</v>
      </c>
      <c r="H293" s="11">
        <v>8.7899999999999991</v>
      </c>
      <c r="I293" s="11">
        <v>36</v>
      </c>
      <c r="J293" s="11">
        <v>688</v>
      </c>
      <c r="K293" s="11" t="s">
        <v>1040</v>
      </c>
      <c r="L293" s="11" t="s">
        <v>1044</v>
      </c>
      <c r="M293" s="13">
        <v>43673</v>
      </c>
      <c r="N293" s="11" t="s">
        <v>1046</v>
      </c>
      <c r="O293" s="14">
        <f t="shared" si="21"/>
        <v>33495.948659512593</v>
      </c>
      <c r="P293" s="14">
        <f t="shared" si="22"/>
        <v>1205854.1517424532</v>
      </c>
      <c r="Q293" s="14">
        <f t="shared" si="23"/>
        <v>149269.15174245322</v>
      </c>
      <c r="R293" s="11">
        <f t="shared" ca="1" si="24"/>
        <v>6</v>
      </c>
      <c r="S293" s="11" t="str">
        <f t="shared" si="25"/>
        <v>650-699</v>
      </c>
    </row>
    <row r="294" spans="1:19" x14ac:dyDescent="0.3">
      <c r="A294" s="11" t="s">
        <v>306</v>
      </c>
      <c r="B294" s="11" t="s">
        <v>1028</v>
      </c>
      <c r="C294" s="11">
        <v>47</v>
      </c>
      <c r="D294" s="11" t="s">
        <v>1035</v>
      </c>
      <c r="E294" s="11" t="s">
        <v>1037</v>
      </c>
      <c r="F294" s="12">
        <v>908599</v>
      </c>
      <c r="G294" s="12">
        <v>1813094</v>
      </c>
      <c r="H294" s="11">
        <v>8.7899999999999991</v>
      </c>
      <c r="I294" s="11">
        <v>60</v>
      </c>
      <c r="J294" s="11">
        <v>705</v>
      </c>
      <c r="K294" s="11" t="s">
        <v>1040</v>
      </c>
      <c r="L294" s="11" t="s">
        <v>1044</v>
      </c>
      <c r="M294" s="13">
        <v>43225</v>
      </c>
      <c r="N294" s="11" t="s">
        <v>1048</v>
      </c>
      <c r="O294" s="14">
        <f t="shared" si="21"/>
        <v>37452.328555640706</v>
      </c>
      <c r="P294" s="14">
        <f t="shared" si="22"/>
        <v>2247139.7133384421</v>
      </c>
      <c r="Q294" s="14">
        <f t="shared" si="23"/>
        <v>434045.71333844215</v>
      </c>
      <c r="R294" s="11">
        <f t="shared" ca="1" si="24"/>
        <v>7</v>
      </c>
      <c r="S294" s="11" t="str">
        <f t="shared" si="25"/>
        <v>700-749</v>
      </c>
    </row>
    <row r="295" spans="1:19" x14ac:dyDescent="0.3">
      <c r="A295" s="11" t="s">
        <v>307</v>
      </c>
      <c r="B295" s="11" t="s">
        <v>1014</v>
      </c>
      <c r="C295" s="11">
        <v>59</v>
      </c>
      <c r="D295" s="11" t="s">
        <v>1034</v>
      </c>
      <c r="E295" s="11" t="s">
        <v>1036</v>
      </c>
      <c r="F295" s="12">
        <v>1584436</v>
      </c>
      <c r="G295" s="12">
        <v>1001691</v>
      </c>
      <c r="H295" s="11">
        <v>13.47</v>
      </c>
      <c r="I295" s="11">
        <v>72</v>
      </c>
      <c r="J295" s="11">
        <v>781</v>
      </c>
      <c r="K295" s="11" t="s">
        <v>1041</v>
      </c>
      <c r="L295" s="11" t="s">
        <v>1044</v>
      </c>
      <c r="M295" s="13">
        <v>43226</v>
      </c>
      <c r="N295" s="11" t="s">
        <v>1045</v>
      </c>
      <c r="O295" s="14">
        <f t="shared" si="21"/>
        <v>20357.382719652323</v>
      </c>
      <c r="P295" s="14">
        <f t="shared" si="22"/>
        <v>1465731.5558149673</v>
      </c>
      <c r="Q295" s="14">
        <f t="shared" si="23"/>
        <v>464040.55581496726</v>
      </c>
      <c r="R295" s="11">
        <f t="shared" ca="1" si="24"/>
        <v>7</v>
      </c>
      <c r="S295" s="11" t="str">
        <f t="shared" si="25"/>
        <v>750-799</v>
      </c>
    </row>
    <row r="296" spans="1:19" x14ac:dyDescent="0.3">
      <c r="A296" s="11" t="s">
        <v>308</v>
      </c>
      <c r="B296" s="11" t="s">
        <v>1026</v>
      </c>
      <c r="C296" s="11">
        <v>27</v>
      </c>
      <c r="D296" s="11" t="s">
        <v>1034</v>
      </c>
      <c r="E296" s="11" t="s">
        <v>1037</v>
      </c>
      <c r="F296" s="12">
        <v>1714167</v>
      </c>
      <c r="G296" s="12">
        <v>1541676</v>
      </c>
      <c r="H296" s="11">
        <v>9.42</v>
      </c>
      <c r="I296" s="11">
        <v>36</v>
      </c>
      <c r="J296" s="11">
        <v>664</v>
      </c>
      <c r="K296" s="11" t="s">
        <v>1040</v>
      </c>
      <c r="L296" s="11" t="s">
        <v>1044</v>
      </c>
      <c r="M296" s="13">
        <v>44380</v>
      </c>
      <c r="N296" s="11" t="s">
        <v>1048</v>
      </c>
      <c r="O296" s="14">
        <f t="shared" si="21"/>
        <v>49326.796825400495</v>
      </c>
      <c r="P296" s="14">
        <f t="shared" si="22"/>
        <v>1775764.6857144178</v>
      </c>
      <c r="Q296" s="14">
        <f t="shared" si="23"/>
        <v>234088.68571441784</v>
      </c>
      <c r="R296" s="11">
        <f t="shared" ca="1" si="24"/>
        <v>4</v>
      </c>
      <c r="S296" s="11" t="str">
        <f t="shared" si="25"/>
        <v>650-699</v>
      </c>
    </row>
    <row r="297" spans="1:19" x14ac:dyDescent="0.3">
      <c r="A297" s="11" t="s">
        <v>309</v>
      </c>
      <c r="B297" s="11" t="s">
        <v>1031</v>
      </c>
      <c r="C297" s="11">
        <v>36</v>
      </c>
      <c r="D297" s="11" t="s">
        <v>1034</v>
      </c>
      <c r="E297" s="11" t="s">
        <v>1037</v>
      </c>
      <c r="F297" s="12">
        <v>1216383</v>
      </c>
      <c r="G297" s="12">
        <v>1534738</v>
      </c>
      <c r="H297" s="11">
        <v>10.15</v>
      </c>
      <c r="I297" s="11">
        <v>96</v>
      </c>
      <c r="J297" s="11">
        <v>771</v>
      </c>
      <c r="K297" s="11" t="s">
        <v>1039</v>
      </c>
      <c r="L297" s="11" t="s">
        <v>1044</v>
      </c>
      <c r="M297" s="13">
        <v>45504</v>
      </c>
      <c r="N297" s="11" t="s">
        <v>1048</v>
      </c>
      <c r="O297" s="14">
        <f t="shared" si="21"/>
        <v>23410.356485584354</v>
      </c>
      <c r="P297" s="14">
        <f t="shared" si="22"/>
        <v>2247394.2226160979</v>
      </c>
      <c r="Q297" s="14">
        <f t="shared" si="23"/>
        <v>712656.22261609789</v>
      </c>
      <c r="R297" s="11">
        <f t="shared" ca="1" si="24"/>
        <v>1</v>
      </c>
      <c r="S297" s="11" t="str">
        <f t="shared" si="25"/>
        <v>750-799</v>
      </c>
    </row>
    <row r="298" spans="1:19" x14ac:dyDescent="0.3">
      <c r="A298" s="11" t="s">
        <v>310</v>
      </c>
      <c r="B298" s="11" t="s">
        <v>1020</v>
      </c>
      <c r="C298" s="11">
        <v>39</v>
      </c>
      <c r="D298" s="11" t="s">
        <v>1035</v>
      </c>
      <c r="E298" s="11" t="s">
        <v>1038</v>
      </c>
      <c r="F298" s="12">
        <v>1139437</v>
      </c>
      <c r="G298" s="12">
        <v>1261840</v>
      </c>
      <c r="H298" s="11">
        <v>14.46</v>
      </c>
      <c r="I298" s="11">
        <v>96</v>
      </c>
      <c r="J298" s="11">
        <v>794</v>
      </c>
      <c r="K298" s="11" t="s">
        <v>1042</v>
      </c>
      <c r="L298" s="11" t="s">
        <v>1044</v>
      </c>
      <c r="M298" s="13">
        <v>44774</v>
      </c>
      <c r="N298" s="11" t="s">
        <v>1048</v>
      </c>
      <c r="O298" s="14">
        <f t="shared" si="21"/>
        <v>22251.675540165546</v>
      </c>
      <c r="P298" s="14">
        <f t="shared" si="22"/>
        <v>2136160.8518558927</v>
      </c>
      <c r="Q298" s="14">
        <f t="shared" si="23"/>
        <v>874320.85185589269</v>
      </c>
      <c r="R298" s="11">
        <f t="shared" ca="1" si="24"/>
        <v>3</v>
      </c>
      <c r="S298" s="11" t="str">
        <f t="shared" si="25"/>
        <v>750-799</v>
      </c>
    </row>
    <row r="299" spans="1:19" x14ac:dyDescent="0.3">
      <c r="A299" s="11" t="s">
        <v>311</v>
      </c>
      <c r="B299" s="11" t="s">
        <v>1019</v>
      </c>
      <c r="C299" s="11">
        <v>35</v>
      </c>
      <c r="D299" s="11" t="s">
        <v>1034</v>
      </c>
      <c r="E299" s="11" t="s">
        <v>1037</v>
      </c>
      <c r="F299" s="12">
        <v>1077741</v>
      </c>
      <c r="G299" s="12">
        <v>1115970</v>
      </c>
      <c r="H299" s="11">
        <v>10.43</v>
      </c>
      <c r="I299" s="11">
        <v>36</v>
      </c>
      <c r="J299" s="11">
        <v>641</v>
      </c>
      <c r="K299" s="11" t="s">
        <v>1040</v>
      </c>
      <c r="L299" s="11" t="s">
        <v>1044</v>
      </c>
      <c r="M299" s="13">
        <v>44933</v>
      </c>
      <c r="N299" s="11" t="s">
        <v>1048</v>
      </c>
      <c r="O299" s="14">
        <f t="shared" si="21"/>
        <v>36234.92803603728</v>
      </c>
      <c r="P299" s="14">
        <f t="shared" si="22"/>
        <v>1304457.4092973419</v>
      </c>
      <c r="Q299" s="14">
        <f t="shared" si="23"/>
        <v>188487.40929734195</v>
      </c>
      <c r="R299" s="11">
        <f t="shared" ca="1" si="24"/>
        <v>2</v>
      </c>
      <c r="S299" s="11" t="str">
        <f t="shared" si="25"/>
        <v>600-649</v>
      </c>
    </row>
    <row r="300" spans="1:19" x14ac:dyDescent="0.3">
      <c r="A300" s="11" t="s">
        <v>312</v>
      </c>
      <c r="B300" s="11" t="s">
        <v>1026</v>
      </c>
      <c r="C300" s="11">
        <v>31</v>
      </c>
      <c r="D300" s="11" t="s">
        <v>1034</v>
      </c>
      <c r="E300" s="11" t="s">
        <v>1036</v>
      </c>
      <c r="F300" s="12">
        <v>1776380</v>
      </c>
      <c r="G300" s="12">
        <v>1435030</v>
      </c>
      <c r="H300" s="11">
        <v>11.55</v>
      </c>
      <c r="I300" s="11">
        <v>60</v>
      </c>
      <c r="J300" s="11">
        <v>621</v>
      </c>
      <c r="K300" s="11" t="s">
        <v>1040</v>
      </c>
      <c r="L300" s="11" t="s">
        <v>1044</v>
      </c>
      <c r="M300" s="13">
        <v>44490</v>
      </c>
      <c r="N300" s="11" t="s">
        <v>1046</v>
      </c>
      <c r="O300" s="14">
        <f t="shared" si="21"/>
        <v>31596.084397042971</v>
      </c>
      <c r="P300" s="14">
        <f t="shared" si="22"/>
        <v>1895765.0638225782</v>
      </c>
      <c r="Q300" s="14">
        <f t="shared" si="23"/>
        <v>460735.06382257817</v>
      </c>
      <c r="R300" s="11">
        <f t="shared" ca="1" si="24"/>
        <v>4</v>
      </c>
      <c r="S300" s="11" t="str">
        <f t="shared" si="25"/>
        <v>600-649</v>
      </c>
    </row>
    <row r="301" spans="1:19" x14ac:dyDescent="0.3">
      <c r="A301" s="11" t="s">
        <v>313</v>
      </c>
      <c r="B301" s="11" t="s">
        <v>1030</v>
      </c>
      <c r="C301" s="11">
        <v>27</v>
      </c>
      <c r="D301" s="11" t="s">
        <v>1035</v>
      </c>
      <c r="E301" s="11" t="s">
        <v>1037</v>
      </c>
      <c r="F301" s="12">
        <v>1404049</v>
      </c>
      <c r="G301" s="12">
        <v>1387415</v>
      </c>
      <c r="H301" s="11">
        <v>13.97</v>
      </c>
      <c r="I301" s="11">
        <v>96</v>
      </c>
      <c r="J301" s="11">
        <v>631</v>
      </c>
      <c r="K301" s="11" t="s">
        <v>1042</v>
      </c>
      <c r="L301" s="11" t="s">
        <v>1044</v>
      </c>
      <c r="M301" s="13">
        <v>44769</v>
      </c>
      <c r="N301" s="11" t="s">
        <v>1046</v>
      </c>
      <c r="O301" s="14">
        <f t="shared" si="21"/>
        <v>24077.799612595831</v>
      </c>
      <c r="P301" s="14">
        <f t="shared" si="22"/>
        <v>2311468.7628091997</v>
      </c>
      <c r="Q301" s="14">
        <f t="shared" si="23"/>
        <v>924053.76280919975</v>
      </c>
      <c r="R301" s="11">
        <f t="shared" ca="1" si="24"/>
        <v>3</v>
      </c>
      <c r="S301" s="11" t="str">
        <f t="shared" si="25"/>
        <v>600-649</v>
      </c>
    </row>
    <row r="302" spans="1:19" x14ac:dyDescent="0.3">
      <c r="A302" s="11" t="s">
        <v>314</v>
      </c>
      <c r="B302" s="11" t="s">
        <v>1026</v>
      </c>
      <c r="C302" s="11">
        <v>49</v>
      </c>
      <c r="D302" s="11" t="s">
        <v>1034</v>
      </c>
      <c r="E302" s="11" t="s">
        <v>1037</v>
      </c>
      <c r="F302" s="12">
        <v>1377011</v>
      </c>
      <c r="G302" s="12">
        <v>709832</v>
      </c>
      <c r="H302" s="11">
        <v>14.87</v>
      </c>
      <c r="I302" s="11">
        <v>120</v>
      </c>
      <c r="J302" s="11">
        <v>600</v>
      </c>
      <c r="K302" s="11" t="s">
        <v>1042</v>
      </c>
      <c r="L302" s="11" t="s">
        <v>1043</v>
      </c>
      <c r="M302" s="13">
        <v>44969</v>
      </c>
      <c r="N302" s="11" t="s">
        <v>1048</v>
      </c>
      <c r="O302" s="14">
        <f t="shared" si="21"/>
        <v>11395.627320729855</v>
      </c>
      <c r="P302" s="14">
        <f t="shared" si="22"/>
        <v>1367475.2784875825</v>
      </c>
      <c r="Q302" s="14">
        <f t="shared" si="23"/>
        <v>657643.27848758246</v>
      </c>
      <c r="R302" s="11">
        <f t="shared" ca="1" si="24"/>
        <v>2</v>
      </c>
      <c r="S302" s="11" t="str">
        <f t="shared" si="25"/>
        <v>600-649</v>
      </c>
    </row>
    <row r="303" spans="1:19" x14ac:dyDescent="0.3">
      <c r="A303" s="11" t="s">
        <v>315</v>
      </c>
      <c r="B303" s="11" t="s">
        <v>1017</v>
      </c>
      <c r="C303" s="11">
        <v>30</v>
      </c>
      <c r="D303" s="11" t="s">
        <v>1034</v>
      </c>
      <c r="E303" s="11" t="s">
        <v>1036</v>
      </c>
      <c r="F303" s="12">
        <v>1932582</v>
      </c>
      <c r="G303" s="12">
        <v>1133056</v>
      </c>
      <c r="H303" s="11">
        <v>10.87</v>
      </c>
      <c r="I303" s="11">
        <v>48</v>
      </c>
      <c r="J303" s="11">
        <v>609</v>
      </c>
      <c r="K303" s="11" t="s">
        <v>1042</v>
      </c>
      <c r="L303" s="11" t="s">
        <v>1043</v>
      </c>
      <c r="M303" s="13">
        <v>44966</v>
      </c>
      <c r="N303" s="11" t="s">
        <v>1047</v>
      </c>
      <c r="O303" s="14">
        <f t="shared" si="21"/>
        <v>29212.94392031795</v>
      </c>
      <c r="P303" s="14">
        <f t="shared" si="22"/>
        <v>1402221.3081752616</v>
      </c>
      <c r="Q303" s="14">
        <f t="shared" si="23"/>
        <v>269165.3081752616</v>
      </c>
      <c r="R303" s="11">
        <f t="shared" ca="1" si="24"/>
        <v>2</v>
      </c>
      <c r="S303" s="11" t="str">
        <f t="shared" si="25"/>
        <v>600-649</v>
      </c>
    </row>
    <row r="304" spans="1:19" x14ac:dyDescent="0.3">
      <c r="A304" s="11" t="s">
        <v>316</v>
      </c>
      <c r="B304" s="11" t="s">
        <v>1020</v>
      </c>
      <c r="C304" s="11">
        <v>59</v>
      </c>
      <c r="D304" s="11" t="s">
        <v>1034</v>
      </c>
      <c r="E304" s="11" t="s">
        <v>1036</v>
      </c>
      <c r="F304" s="12">
        <v>380934</v>
      </c>
      <c r="G304" s="12">
        <v>448632</v>
      </c>
      <c r="H304" s="11">
        <v>9.0299999999999994</v>
      </c>
      <c r="I304" s="11">
        <v>96</v>
      </c>
      <c r="J304" s="11">
        <v>711</v>
      </c>
      <c r="K304" s="11" t="s">
        <v>1041</v>
      </c>
      <c r="L304" s="11" t="s">
        <v>1044</v>
      </c>
      <c r="M304" s="13">
        <v>44350</v>
      </c>
      <c r="N304" s="11" t="s">
        <v>1047</v>
      </c>
      <c r="O304" s="14">
        <f t="shared" si="21"/>
        <v>6579.5341286498178</v>
      </c>
      <c r="P304" s="14">
        <f t="shared" si="22"/>
        <v>631635.27635038248</v>
      </c>
      <c r="Q304" s="14">
        <f t="shared" si="23"/>
        <v>183003.27635038248</v>
      </c>
      <c r="R304" s="11">
        <f t="shared" ca="1" si="24"/>
        <v>4</v>
      </c>
      <c r="S304" s="11" t="str">
        <f t="shared" si="25"/>
        <v>700-749</v>
      </c>
    </row>
    <row r="305" spans="1:19" x14ac:dyDescent="0.3">
      <c r="A305" s="11" t="s">
        <v>317</v>
      </c>
      <c r="B305" s="11" t="s">
        <v>1023</v>
      </c>
      <c r="C305" s="11">
        <v>56</v>
      </c>
      <c r="D305" s="11" t="s">
        <v>1035</v>
      </c>
      <c r="E305" s="11" t="s">
        <v>1036</v>
      </c>
      <c r="F305" s="12">
        <v>1253137</v>
      </c>
      <c r="G305" s="12">
        <v>936948</v>
      </c>
      <c r="H305" s="11">
        <v>11.12</v>
      </c>
      <c r="I305" s="11">
        <v>96</v>
      </c>
      <c r="J305" s="11">
        <v>722</v>
      </c>
      <c r="K305" s="11" t="s">
        <v>1041</v>
      </c>
      <c r="L305" s="11" t="s">
        <v>1044</v>
      </c>
      <c r="M305" s="13">
        <v>44719</v>
      </c>
      <c r="N305" s="11" t="s">
        <v>1047</v>
      </c>
      <c r="O305" s="14">
        <f t="shared" si="21"/>
        <v>14778.689179326928</v>
      </c>
      <c r="P305" s="14">
        <f t="shared" si="22"/>
        <v>1418754.161215385</v>
      </c>
      <c r="Q305" s="14">
        <f t="shared" si="23"/>
        <v>481806.16121538496</v>
      </c>
      <c r="R305" s="11">
        <f t="shared" ca="1" si="24"/>
        <v>3</v>
      </c>
      <c r="S305" s="11" t="str">
        <f t="shared" si="25"/>
        <v>700-749</v>
      </c>
    </row>
    <row r="306" spans="1:19" x14ac:dyDescent="0.3">
      <c r="A306" s="11" t="s">
        <v>318</v>
      </c>
      <c r="B306" s="11" t="s">
        <v>1017</v>
      </c>
      <c r="C306" s="11">
        <v>56</v>
      </c>
      <c r="D306" s="11" t="s">
        <v>1034</v>
      </c>
      <c r="E306" s="11" t="s">
        <v>1037</v>
      </c>
      <c r="F306" s="12">
        <v>786706</v>
      </c>
      <c r="G306" s="12">
        <v>667305</v>
      </c>
      <c r="H306" s="11">
        <v>10.46</v>
      </c>
      <c r="I306" s="11">
        <v>72</v>
      </c>
      <c r="J306" s="11">
        <v>697</v>
      </c>
      <c r="K306" s="11" t="s">
        <v>1041</v>
      </c>
      <c r="L306" s="11" t="s">
        <v>1044</v>
      </c>
      <c r="M306" s="13">
        <v>44589</v>
      </c>
      <c r="N306" s="11" t="s">
        <v>1045</v>
      </c>
      <c r="O306" s="14">
        <f t="shared" si="21"/>
        <v>12517.73862474325</v>
      </c>
      <c r="P306" s="14">
        <f t="shared" si="22"/>
        <v>901277.18098151393</v>
      </c>
      <c r="Q306" s="14">
        <f t="shared" si="23"/>
        <v>233972.18098151393</v>
      </c>
      <c r="R306" s="11">
        <f t="shared" ca="1" si="24"/>
        <v>3</v>
      </c>
      <c r="S306" s="11" t="str">
        <f t="shared" si="25"/>
        <v>650-699</v>
      </c>
    </row>
    <row r="307" spans="1:19" x14ac:dyDescent="0.3">
      <c r="A307" s="11" t="s">
        <v>319</v>
      </c>
      <c r="B307" s="11" t="s">
        <v>1026</v>
      </c>
      <c r="C307" s="11">
        <v>26</v>
      </c>
      <c r="D307" s="11" t="s">
        <v>1035</v>
      </c>
      <c r="E307" s="11" t="s">
        <v>1036</v>
      </c>
      <c r="F307" s="12">
        <v>646896</v>
      </c>
      <c r="G307" s="12">
        <v>762986</v>
      </c>
      <c r="H307" s="11">
        <v>14.1</v>
      </c>
      <c r="I307" s="11">
        <v>72</v>
      </c>
      <c r="J307" s="11">
        <v>786</v>
      </c>
      <c r="K307" s="11" t="s">
        <v>1039</v>
      </c>
      <c r="L307" s="11" t="s">
        <v>1044</v>
      </c>
      <c r="M307" s="13">
        <v>44293</v>
      </c>
      <c r="N307" s="11" t="s">
        <v>1047</v>
      </c>
      <c r="O307" s="14">
        <f t="shared" si="21"/>
        <v>15762.775344950451</v>
      </c>
      <c r="P307" s="14">
        <f t="shared" si="22"/>
        <v>1134919.8248364325</v>
      </c>
      <c r="Q307" s="14">
        <f t="shared" si="23"/>
        <v>371933.82483643247</v>
      </c>
      <c r="R307" s="11">
        <f t="shared" ca="1" si="24"/>
        <v>4</v>
      </c>
      <c r="S307" s="11" t="str">
        <f t="shared" si="25"/>
        <v>750-799</v>
      </c>
    </row>
    <row r="308" spans="1:19" x14ac:dyDescent="0.3">
      <c r="A308" s="11" t="s">
        <v>320</v>
      </c>
      <c r="B308" s="11" t="s">
        <v>1022</v>
      </c>
      <c r="C308" s="11">
        <v>33</v>
      </c>
      <c r="D308" s="11" t="s">
        <v>1035</v>
      </c>
      <c r="E308" s="11" t="s">
        <v>1037</v>
      </c>
      <c r="F308" s="12">
        <v>1259575</v>
      </c>
      <c r="G308" s="12">
        <v>302450</v>
      </c>
      <c r="H308" s="11">
        <v>12.01</v>
      </c>
      <c r="I308" s="11">
        <v>84</v>
      </c>
      <c r="J308" s="11">
        <v>744</v>
      </c>
      <c r="K308" s="11" t="s">
        <v>1040</v>
      </c>
      <c r="L308" s="11" t="s">
        <v>1043</v>
      </c>
      <c r="M308" s="13">
        <v>43584</v>
      </c>
      <c r="N308" s="11" t="s">
        <v>1048</v>
      </c>
      <c r="O308" s="14">
        <f t="shared" si="21"/>
        <v>5340.6866187215892</v>
      </c>
      <c r="P308" s="14">
        <f t="shared" si="22"/>
        <v>448617.67597261351</v>
      </c>
      <c r="Q308" s="14">
        <f t="shared" si="23"/>
        <v>146167.67597261351</v>
      </c>
      <c r="R308" s="11">
        <f t="shared" ca="1" si="24"/>
        <v>6</v>
      </c>
      <c r="S308" s="11" t="str">
        <f t="shared" si="25"/>
        <v>700-749</v>
      </c>
    </row>
    <row r="309" spans="1:19" x14ac:dyDescent="0.3">
      <c r="A309" s="11" t="s">
        <v>321</v>
      </c>
      <c r="B309" s="11" t="s">
        <v>1029</v>
      </c>
      <c r="C309" s="11">
        <v>36</v>
      </c>
      <c r="D309" s="11" t="s">
        <v>1035</v>
      </c>
      <c r="E309" s="11" t="s">
        <v>1036</v>
      </c>
      <c r="F309" s="12">
        <v>1938825</v>
      </c>
      <c r="G309" s="12">
        <v>856338</v>
      </c>
      <c r="H309" s="11">
        <v>7.77</v>
      </c>
      <c r="I309" s="11">
        <v>48</v>
      </c>
      <c r="J309" s="11">
        <v>682</v>
      </c>
      <c r="K309" s="11" t="s">
        <v>1041</v>
      </c>
      <c r="L309" s="11" t="s">
        <v>1044</v>
      </c>
      <c r="M309" s="13">
        <v>44049</v>
      </c>
      <c r="N309" s="11" t="s">
        <v>1048</v>
      </c>
      <c r="O309" s="14">
        <f t="shared" si="21"/>
        <v>20813.383989183651</v>
      </c>
      <c r="P309" s="14">
        <f t="shared" si="22"/>
        <v>999042.43148081517</v>
      </c>
      <c r="Q309" s="14">
        <f t="shared" si="23"/>
        <v>142704.43148081517</v>
      </c>
      <c r="R309" s="11">
        <f t="shared" ca="1" si="24"/>
        <v>5</v>
      </c>
      <c r="S309" s="11" t="str">
        <f t="shared" si="25"/>
        <v>650-699</v>
      </c>
    </row>
    <row r="310" spans="1:19" x14ac:dyDescent="0.3">
      <c r="A310" s="11" t="s">
        <v>322</v>
      </c>
      <c r="B310" s="11" t="s">
        <v>1015</v>
      </c>
      <c r="C310" s="11">
        <v>58</v>
      </c>
      <c r="D310" s="11" t="s">
        <v>1034</v>
      </c>
      <c r="E310" s="11" t="s">
        <v>1036</v>
      </c>
      <c r="F310" s="12">
        <v>578660</v>
      </c>
      <c r="G310" s="12">
        <v>1946878</v>
      </c>
      <c r="H310" s="11">
        <v>7.93</v>
      </c>
      <c r="I310" s="11">
        <v>72</v>
      </c>
      <c r="J310" s="11">
        <v>735</v>
      </c>
      <c r="K310" s="11" t="s">
        <v>1040</v>
      </c>
      <c r="L310" s="11" t="s">
        <v>1044</v>
      </c>
      <c r="M310" s="13">
        <v>45554</v>
      </c>
      <c r="N310" s="11" t="s">
        <v>1046</v>
      </c>
      <c r="O310" s="14">
        <f t="shared" si="21"/>
        <v>34068.57609934223</v>
      </c>
      <c r="P310" s="14">
        <f t="shared" si="22"/>
        <v>2452937.4791526403</v>
      </c>
      <c r="Q310" s="14">
        <f t="shared" si="23"/>
        <v>506059.47915264033</v>
      </c>
      <c r="R310" s="11">
        <f t="shared" ca="1" si="24"/>
        <v>1</v>
      </c>
      <c r="S310" s="11" t="str">
        <f t="shared" si="25"/>
        <v>700-749</v>
      </c>
    </row>
    <row r="311" spans="1:19" x14ac:dyDescent="0.3">
      <c r="A311" s="11" t="s">
        <v>323</v>
      </c>
      <c r="B311" s="11" t="s">
        <v>1016</v>
      </c>
      <c r="C311" s="11">
        <v>54</v>
      </c>
      <c r="D311" s="11" t="s">
        <v>1035</v>
      </c>
      <c r="E311" s="11" t="s">
        <v>1037</v>
      </c>
      <c r="F311" s="12">
        <v>921211</v>
      </c>
      <c r="G311" s="12">
        <v>547497</v>
      </c>
      <c r="H311" s="11">
        <v>14.28</v>
      </c>
      <c r="I311" s="11">
        <v>36</v>
      </c>
      <c r="J311" s="11">
        <v>845</v>
      </c>
      <c r="K311" s="11" t="s">
        <v>1041</v>
      </c>
      <c r="L311" s="11" t="s">
        <v>1044</v>
      </c>
      <c r="M311" s="13">
        <v>45146</v>
      </c>
      <c r="N311" s="11" t="s">
        <v>1045</v>
      </c>
      <c r="O311" s="14">
        <f t="shared" si="21"/>
        <v>18786.692010171788</v>
      </c>
      <c r="P311" s="14">
        <f t="shared" si="22"/>
        <v>676320.91236618441</v>
      </c>
      <c r="Q311" s="14">
        <f t="shared" si="23"/>
        <v>128823.91236618441</v>
      </c>
      <c r="R311" s="11">
        <f t="shared" ca="1" si="24"/>
        <v>2</v>
      </c>
      <c r="S311" s="11" t="str">
        <f t="shared" si="25"/>
        <v>800-850</v>
      </c>
    </row>
    <row r="312" spans="1:19" x14ac:dyDescent="0.3">
      <c r="A312" s="11" t="s">
        <v>324</v>
      </c>
      <c r="B312" s="11" t="s">
        <v>1016</v>
      </c>
      <c r="C312" s="11">
        <v>47</v>
      </c>
      <c r="D312" s="11" t="s">
        <v>1035</v>
      </c>
      <c r="E312" s="11" t="s">
        <v>1037</v>
      </c>
      <c r="F312" s="12">
        <v>1593534</v>
      </c>
      <c r="G312" s="12">
        <v>1456245</v>
      </c>
      <c r="H312" s="11">
        <v>13.8</v>
      </c>
      <c r="I312" s="11">
        <v>84</v>
      </c>
      <c r="J312" s="11">
        <v>806</v>
      </c>
      <c r="K312" s="11" t="s">
        <v>1039</v>
      </c>
      <c r="L312" s="11" t="s">
        <v>1044</v>
      </c>
      <c r="M312" s="13">
        <v>43485</v>
      </c>
      <c r="N312" s="11" t="s">
        <v>1047</v>
      </c>
      <c r="O312" s="14">
        <f t="shared" si="21"/>
        <v>27129.410891938911</v>
      </c>
      <c r="P312" s="14">
        <f t="shared" si="22"/>
        <v>2278870.5149228685</v>
      </c>
      <c r="Q312" s="14">
        <f t="shared" si="23"/>
        <v>822625.51492286846</v>
      </c>
      <c r="R312" s="11">
        <f t="shared" ca="1" si="24"/>
        <v>6</v>
      </c>
      <c r="S312" s="11" t="str">
        <f t="shared" si="25"/>
        <v>800-850</v>
      </c>
    </row>
    <row r="313" spans="1:19" x14ac:dyDescent="0.3">
      <c r="A313" s="11" t="s">
        <v>325</v>
      </c>
      <c r="B313" s="11" t="s">
        <v>1024</v>
      </c>
      <c r="C313" s="11">
        <v>60</v>
      </c>
      <c r="D313" s="11" t="s">
        <v>1035</v>
      </c>
      <c r="E313" s="11" t="s">
        <v>1036</v>
      </c>
      <c r="F313" s="12">
        <v>759438</v>
      </c>
      <c r="G313" s="12">
        <v>1565899</v>
      </c>
      <c r="H313" s="11">
        <v>12.12</v>
      </c>
      <c r="I313" s="11">
        <v>48</v>
      </c>
      <c r="J313" s="11">
        <v>810</v>
      </c>
      <c r="K313" s="11" t="s">
        <v>1040</v>
      </c>
      <c r="L313" s="11" t="s">
        <v>1044</v>
      </c>
      <c r="M313" s="13">
        <v>44823</v>
      </c>
      <c r="N313" s="11" t="s">
        <v>1045</v>
      </c>
      <c r="O313" s="14">
        <f t="shared" si="21"/>
        <v>41328.447947046589</v>
      </c>
      <c r="P313" s="14">
        <f t="shared" si="22"/>
        <v>1983765.5014582362</v>
      </c>
      <c r="Q313" s="14">
        <f t="shared" si="23"/>
        <v>417866.50145823625</v>
      </c>
      <c r="R313" s="11">
        <f t="shared" ca="1" si="24"/>
        <v>3</v>
      </c>
      <c r="S313" s="11" t="str">
        <f t="shared" si="25"/>
        <v>800-850</v>
      </c>
    </row>
    <row r="314" spans="1:19" x14ac:dyDescent="0.3">
      <c r="A314" s="11" t="s">
        <v>326</v>
      </c>
      <c r="B314" s="11" t="s">
        <v>1018</v>
      </c>
      <c r="C314" s="11">
        <v>39</v>
      </c>
      <c r="D314" s="11" t="s">
        <v>1034</v>
      </c>
      <c r="E314" s="11" t="s">
        <v>1038</v>
      </c>
      <c r="F314" s="12">
        <v>475452</v>
      </c>
      <c r="G314" s="12">
        <v>932257</v>
      </c>
      <c r="H314" s="11">
        <v>14.74</v>
      </c>
      <c r="I314" s="11">
        <v>84</v>
      </c>
      <c r="J314" s="11">
        <v>850</v>
      </c>
      <c r="K314" s="11" t="s">
        <v>1040</v>
      </c>
      <c r="L314" s="11" t="s">
        <v>1043</v>
      </c>
      <c r="M314" s="13">
        <v>45168</v>
      </c>
      <c r="N314" s="11" t="s">
        <v>1045</v>
      </c>
      <c r="O314" s="14">
        <f t="shared" si="21"/>
        <v>17853.814304391071</v>
      </c>
      <c r="P314" s="14">
        <f t="shared" si="22"/>
        <v>1499720.40156885</v>
      </c>
      <c r="Q314" s="14">
        <f t="shared" si="23"/>
        <v>567463.40156885004</v>
      </c>
      <c r="R314" s="11">
        <f t="shared" ca="1" si="24"/>
        <v>2</v>
      </c>
      <c r="S314" s="11" t="str">
        <f t="shared" si="25"/>
        <v>800-850</v>
      </c>
    </row>
    <row r="315" spans="1:19" x14ac:dyDescent="0.3">
      <c r="A315" s="11" t="s">
        <v>327</v>
      </c>
      <c r="B315" s="11" t="s">
        <v>1023</v>
      </c>
      <c r="C315" s="11">
        <v>35</v>
      </c>
      <c r="D315" s="11" t="s">
        <v>1035</v>
      </c>
      <c r="E315" s="11" t="s">
        <v>1038</v>
      </c>
      <c r="F315" s="12">
        <v>729012</v>
      </c>
      <c r="G315" s="12">
        <v>1973709</v>
      </c>
      <c r="H315" s="11">
        <v>10.07</v>
      </c>
      <c r="I315" s="11">
        <v>36</v>
      </c>
      <c r="J315" s="11">
        <v>619</v>
      </c>
      <c r="K315" s="11" t="s">
        <v>1042</v>
      </c>
      <c r="L315" s="11" t="s">
        <v>1044</v>
      </c>
      <c r="M315" s="13">
        <v>44000</v>
      </c>
      <c r="N315" s="11" t="s">
        <v>1046</v>
      </c>
      <c r="O315" s="14">
        <f t="shared" si="21"/>
        <v>63750.922630364177</v>
      </c>
      <c r="P315" s="14">
        <f t="shared" si="22"/>
        <v>2295033.2146931104</v>
      </c>
      <c r="Q315" s="14">
        <f t="shared" si="23"/>
        <v>321324.21469311044</v>
      </c>
      <c r="R315" s="11">
        <f t="shared" ca="1" si="24"/>
        <v>5</v>
      </c>
      <c r="S315" s="11" t="str">
        <f t="shared" si="25"/>
        <v>600-649</v>
      </c>
    </row>
    <row r="316" spans="1:19" x14ac:dyDescent="0.3">
      <c r="A316" s="11" t="s">
        <v>328</v>
      </c>
      <c r="B316" s="11" t="s">
        <v>1018</v>
      </c>
      <c r="C316" s="11">
        <v>52</v>
      </c>
      <c r="D316" s="11" t="s">
        <v>1035</v>
      </c>
      <c r="E316" s="11" t="s">
        <v>1038</v>
      </c>
      <c r="F316" s="12">
        <v>1589250</v>
      </c>
      <c r="G316" s="12">
        <v>935018</v>
      </c>
      <c r="H316" s="11">
        <v>8.85</v>
      </c>
      <c r="I316" s="11">
        <v>48</v>
      </c>
      <c r="J316" s="11">
        <v>704</v>
      </c>
      <c r="K316" s="11" t="s">
        <v>1041</v>
      </c>
      <c r="L316" s="11" t="s">
        <v>1044</v>
      </c>
      <c r="M316" s="13">
        <v>45129</v>
      </c>
      <c r="N316" s="11" t="s">
        <v>1045</v>
      </c>
      <c r="O316" s="14">
        <f t="shared" si="21"/>
        <v>23201.422803560083</v>
      </c>
      <c r="P316" s="14">
        <f t="shared" si="22"/>
        <v>1113668.294570884</v>
      </c>
      <c r="Q316" s="14">
        <f t="shared" si="23"/>
        <v>178650.29457088397</v>
      </c>
      <c r="R316" s="11">
        <f t="shared" ca="1" si="24"/>
        <v>2</v>
      </c>
      <c r="S316" s="11" t="str">
        <f t="shared" si="25"/>
        <v>700-749</v>
      </c>
    </row>
    <row r="317" spans="1:19" x14ac:dyDescent="0.3">
      <c r="A317" s="11" t="s">
        <v>329</v>
      </c>
      <c r="B317" s="11" t="s">
        <v>1025</v>
      </c>
      <c r="C317" s="11">
        <v>42</v>
      </c>
      <c r="D317" s="11" t="s">
        <v>1034</v>
      </c>
      <c r="E317" s="11" t="s">
        <v>1036</v>
      </c>
      <c r="F317" s="12">
        <v>1649428</v>
      </c>
      <c r="G317" s="12">
        <v>1232390</v>
      </c>
      <c r="H317" s="11">
        <v>11.33</v>
      </c>
      <c r="I317" s="11">
        <v>60</v>
      </c>
      <c r="J317" s="11">
        <v>630</v>
      </c>
      <c r="K317" s="11" t="s">
        <v>1040</v>
      </c>
      <c r="L317" s="11" t="s">
        <v>1044</v>
      </c>
      <c r="M317" s="13">
        <v>44068</v>
      </c>
      <c r="N317" s="11" t="s">
        <v>1045</v>
      </c>
      <c r="O317" s="14">
        <f t="shared" si="21"/>
        <v>26998.40969423507</v>
      </c>
      <c r="P317" s="14">
        <f t="shared" si="22"/>
        <v>1619904.5816541042</v>
      </c>
      <c r="Q317" s="14">
        <f t="shared" si="23"/>
        <v>387514.58165410417</v>
      </c>
      <c r="R317" s="11">
        <f t="shared" ca="1" si="24"/>
        <v>5</v>
      </c>
      <c r="S317" s="11" t="str">
        <f t="shared" si="25"/>
        <v>600-649</v>
      </c>
    </row>
    <row r="318" spans="1:19" x14ac:dyDescent="0.3">
      <c r="A318" s="11" t="s">
        <v>330</v>
      </c>
      <c r="B318" s="11" t="s">
        <v>1020</v>
      </c>
      <c r="C318" s="11">
        <v>30</v>
      </c>
      <c r="D318" s="11" t="s">
        <v>1035</v>
      </c>
      <c r="E318" s="11" t="s">
        <v>1038</v>
      </c>
      <c r="F318" s="12">
        <v>499411</v>
      </c>
      <c r="G318" s="12">
        <v>1742151</v>
      </c>
      <c r="H318" s="11">
        <v>7.96</v>
      </c>
      <c r="I318" s="11">
        <v>72</v>
      </c>
      <c r="J318" s="11">
        <v>794</v>
      </c>
      <c r="K318" s="11" t="s">
        <v>1042</v>
      </c>
      <c r="L318" s="11" t="s">
        <v>1044</v>
      </c>
      <c r="M318" s="13">
        <v>44844</v>
      </c>
      <c r="N318" s="11" t="s">
        <v>1045</v>
      </c>
      <c r="O318" s="14">
        <f t="shared" si="21"/>
        <v>30511.53797727358</v>
      </c>
      <c r="P318" s="14">
        <f t="shared" si="22"/>
        <v>2196830.7343636979</v>
      </c>
      <c r="Q318" s="14">
        <f t="shared" si="23"/>
        <v>454679.73436369793</v>
      </c>
      <c r="R318" s="11">
        <f t="shared" ca="1" si="24"/>
        <v>3</v>
      </c>
      <c r="S318" s="11" t="str">
        <f t="shared" si="25"/>
        <v>750-799</v>
      </c>
    </row>
    <row r="319" spans="1:19" x14ac:dyDescent="0.3">
      <c r="A319" s="11" t="s">
        <v>331</v>
      </c>
      <c r="B319" s="11" t="s">
        <v>1026</v>
      </c>
      <c r="C319" s="11">
        <v>54</v>
      </c>
      <c r="D319" s="11" t="s">
        <v>1035</v>
      </c>
      <c r="E319" s="11" t="s">
        <v>1036</v>
      </c>
      <c r="F319" s="12">
        <v>779650</v>
      </c>
      <c r="G319" s="12">
        <v>1742884</v>
      </c>
      <c r="H319" s="11">
        <v>12.57</v>
      </c>
      <c r="I319" s="11">
        <v>72</v>
      </c>
      <c r="J319" s="11">
        <v>660</v>
      </c>
      <c r="K319" s="11" t="s">
        <v>1041</v>
      </c>
      <c r="L319" s="11" t="s">
        <v>1043</v>
      </c>
      <c r="M319" s="13">
        <v>43459</v>
      </c>
      <c r="N319" s="11" t="s">
        <v>1048</v>
      </c>
      <c r="O319" s="14">
        <f t="shared" si="21"/>
        <v>34592.538243351672</v>
      </c>
      <c r="P319" s="14">
        <f t="shared" si="22"/>
        <v>2490662.7535213204</v>
      </c>
      <c r="Q319" s="14">
        <f t="shared" si="23"/>
        <v>747778.75352132041</v>
      </c>
      <c r="R319" s="11">
        <f t="shared" ca="1" si="24"/>
        <v>7</v>
      </c>
      <c r="S319" s="11" t="str">
        <f t="shared" si="25"/>
        <v>650-699</v>
      </c>
    </row>
    <row r="320" spans="1:19" x14ac:dyDescent="0.3">
      <c r="A320" s="11" t="s">
        <v>332</v>
      </c>
      <c r="B320" s="11" t="s">
        <v>1022</v>
      </c>
      <c r="C320" s="11">
        <v>53</v>
      </c>
      <c r="D320" s="11" t="s">
        <v>1034</v>
      </c>
      <c r="E320" s="11" t="s">
        <v>1038</v>
      </c>
      <c r="F320" s="12">
        <v>1524553</v>
      </c>
      <c r="G320" s="12">
        <v>373288</v>
      </c>
      <c r="H320" s="11">
        <v>9.3699999999999992</v>
      </c>
      <c r="I320" s="11">
        <v>96</v>
      </c>
      <c r="J320" s="11">
        <v>620</v>
      </c>
      <c r="K320" s="11" t="s">
        <v>1041</v>
      </c>
      <c r="L320" s="11" t="s">
        <v>1044</v>
      </c>
      <c r="M320" s="13">
        <v>45177</v>
      </c>
      <c r="N320" s="11" t="s">
        <v>1047</v>
      </c>
      <c r="O320" s="14">
        <f t="shared" si="21"/>
        <v>5540.661291483133</v>
      </c>
      <c r="P320" s="14">
        <f t="shared" si="22"/>
        <v>531903.48398238071</v>
      </c>
      <c r="Q320" s="14">
        <f t="shared" si="23"/>
        <v>158615.48398238071</v>
      </c>
      <c r="R320" s="11">
        <f t="shared" ca="1" si="24"/>
        <v>2</v>
      </c>
      <c r="S320" s="11" t="str">
        <f t="shared" si="25"/>
        <v>600-649</v>
      </c>
    </row>
    <row r="321" spans="1:19" x14ac:dyDescent="0.3">
      <c r="A321" s="11" t="s">
        <v>333</v>
      </c>
      <c r="B321" s="11" t="s">
        <v>1026</v>
      </c>
      <c r="C321" s="11">
        <v>42</v>
      </c>
      <c r="D321" s="11" t="s">
        <v>1034</v>
      </c>
      <c r="E321" s="11" t="s">
        <v>1037</v>
      </c>
      <c r="F321" s="12">
        <v>484498</v>
      </c>
      <c r="G321" s="12">
        <v>1669641</v>
      </c>
      <c r="H321" s="11">
        <v>9.84</v>
      </c>
      <c r="I321" s="11">
        <v>84</v>
      </c>
      <c r="J321" s="11">
        <v>813</v>
      </c>
      <c r="K321" s="11" t="s">
        <v>1040</v>
      </c>
      <c r="L321" s="11" t="s">
        <v>1044</v>
      </c>
      <c r="M321" s="13">
        <v>43202</v>
      </c>
      <c r="N321" s="11" t="s">
        <v>1046</v>
      </c>
      <c r="O321" s="14">
        <f t="shared" si="21"/>
        <v>27580.181718263717</v>
      </c>
      <c r="P321" s="14">
        <f t="shared" si="22"/>
        <v>2316735.2643341525</v>
      </c>
      <c r="Q321" s="14">
        <f t="shared" si="23"/>
        <v>647094.26433415245</v>
      </c>
      <c r="R321" s="11">
        <f t="shared" ca="1" si="24"/>
        <v>7</v>
      </c>
      <c r="S321" s="11" t="str">
        <f t="shared" si="25"/>
        <v>800-850</v>
      </c>
    </row>
    <row r="322" spans="1:19" x14ac:dyDescent="0.3">
      <c r="A322" s="11" t="s">
        <v>334</v>
      </c>
      <c r="B322" s="11" t="s">
        <v>1018</v>
      </c>
      <c r="C322" s="11">
        <v>49</v>
      </c>
      <c r="D322" s="11" t="s">
        <v>1035</v>
      </c>
      <c r="E322" s="11" t="s">
        <v>1036</v>
      </c>
      <c r="F322" s="12">
        <v>1943586</v>
      </c>
      <c r="G322" s="12">
        <v>302147</v>
      </c>
      <c r="H322" s="11">
        <v>10.28</v>
      </c>
      <c r="I322" s="11">
        <v>36</v>
      </c>
      <c r="J322" s="11">
        <v>801</v>
      </c>
      <c r="K322" s="11" t="s">
        <v>1042</v>
      </c>
      <c r="L322" s="11" t="s">
        <v>1043</v>
      </c>
      <c r="M322" s="13">
        <v>44816</v>
      </c>
      <c r="N322" s="11" t="s">
        <v>1046</v>
      </c>
      <c r="O322" s="14">
        <f t="shared" si="21"/>
        <v>9789.2018259986471</v>
      </c>
      <c r="P322" s="14">
        <f t="shared" si="22"/>
        <v>352411.26573595131</v>
      </c>
      <c r="Q322" s="14">
        <f t="shared" si="23"/>
        <v>50264.26573595131</v>
      </c>
      <c r="R322" s="11">
        <f t="shared" ca="1" si="24"/>
        <v>3</v>
      </c>
      <c r="S322" s="11" t="str">
        <f t="shared" si="25"/>
        <v>800-850</v>
      </c>
    </row>
    <row r="323" spans="1:19" x14ac:dyDescent="0.3">
      <c r="A323" s="11" t="s">
        <v>335</v>
      </c>
      <c r="B323" s="11" t="s">
        <v>1029</v>
      </c>
      <c r="C323" s="11">
        <v>43</v>
      </c>
      <c r="D323" s="11" t="s">
        <v>1035</v>
      </c>
      <c r="E323" s="11" t="s">
        <v>1038</v>
      </c>
      <c r="F323" s="12">
        <v>1698666</v>
      </c>
      <c r="G323" s="12">
        <v>1527380</v>
      </c>
      <c r="H323" s="11">
        <v>12.91</v>
      </c>
      <c r="I323" s="11">
        <v>36</v>
      </c>
      <c r="J323" s="11">
        <v>626</v>
      </c>
      <c r="K323" s="11" t="s">
        <v>1040</v>
      </c>
      <c r="L323" s="11" t="s">
        <v>1044</v>
      </c>
      <c r="M323" s="13">
        <v>43129</v>
      </c>
      <c r="N323" s="11" t="s">
        <v>1048</v>
      </c>
      <c r="O323" s="14">
        <f t="shared" ref="O323:O386" si="26">PMT(H323/1200,I323,-G323)</f>
        <v>51397.282047952031</v>
      </c>
      <c r="P323" s="14">
        <f t="shared" ref="P323:P386" si="27">O323*I323</f>
        <v>1850302.1537262732</v>
      </c>
      <c r="Q323" s="14">
        <f t="shared" ref="Q323:Q386" si="28">P323-G323</f>
        <v>322922.15372627322</v>
      </c>
      <c r="R323" s="11">
        <f t="shared" ref="R323:R386" ca="1" si="29">(YEAR(TODAY())-YEAR(M323))</f>
        <v>7</v>
      </c>
      <c r="S323" s="11" t="str">
        <f t="shared" ref="S323:S386" si="30">IF(J323&lt;650,"600-649",
IF(J323&lt;700,"650-699",
IF(J323&lt;750,"700-749",
IF(J323&lt;800,"750-799","800-850"))))</f>
        <v>600-649</v>
      </c>
    </row>
    <row r="324" spans="1:19" x14ac:dyDescent="0.3">
      <c r="A324" s="11" t="s">
        <v>336</v>
      </c>
      <c r="B324" s="11" t="s">
        <v>1021</v>
      </c>
      <c r="C324" s="11">
        <v>36</v>
      </c>
      <c r="D324" s="11" t="s">
        <v>1035</v>
      </c>
      <c r="E324" s="11" t="s">
        <v>1038</v>
      </c>
      <c r="F324" s="12">
        <v>449321</v>
      </c>
      <c r="G324" s="12">
        <v>1858082</v>
      </c>
      <c r="H324" s="11">
        <v>13.82</v>
      </c>
      <c r="I324" s="11">
        <v>36</v>
      </c>
      <c r="J324" s="11">
        <v>668</v>
      </c>
      <c r="K324" s="11" t="s">
        <v>1040</v>
      </c>
      <c r="L324" s="11" t="s">
        <v>1044</v>
      </c>
      <c r="M324" s="13">
        <v>45065</v>
      </c>
      <c r="N324" s="11" t="s">
        <v>1045</v>
      </c>
      <c r="O324" s="14">
        <f t="shared" si="26"/>
        <v>63342.518142747256</v>
      </c>
      <c r="P324" s="14">
        <f t="shared" si="27"/>
        <v>2280330.6531389011</v>
      </c>
      <c r="Q324" s="14">
        <f t="shared" si="28"/>
        <v>422248.65313890111</v>
      </c>
      <c r="R324" s="11">
        <f t="shared" ca="1" si="29"/>
        <v>2</v>
      </c>
      <c r="S324" s="11" t="str">
        <f t="shared" si="30"/>
        <v>650-699</v>
      </c>
    </row>
    <row r="325" spans="1:19" x14ac:dyDescent="0.3">
      <c r="A325" s="11" t="s">
        <v>337</v>
      </c>
      <c r="B325" s="11" t="s">
        <v>1018</v>
      </c>
      <c r="C325" s="11">
        <v>46</v>
      </c>
      <c r="D325" s="11" t="s">
        <v>1035</v>
      </c>
      <c r="E325" s="11" t="s">
        <v>1037</v>
      </c>
      <c r="F325" s="12">
        <v>1747909</v>
      </c>
      <c r="G325" s="12">
        <v>1584139</v>
      </c>
      <c r="H325" s="11">
        <v>12.89</v>
      </c>
      <c r="I325" s="11">
        <v>84</v>
      </c>
      <c r="J325" s="11">
        <v>719</v>
      </c>
      <c r="K325" s="11" t="s">
        <v>1040</v>
      </c>
      <c r="L325" s="11" t="s">
        <v>1044</v>
      </c>
      <c r="M325" s="13">
        <v>43383</v>
      </c>
      <c r="N325" s="11" t="s">
        <v>1047</v>
      </c>
      <c r="O325" s="14">
        <f t="shared" si="26"/>
        <v>28723.9476642847</v>
      </c>
      <c r="P325" s="14">
        <f t="shared" si="27"/>
        <v>2412811.6037999149</v>
      </c>
      <c r="Q325" s="14">
        <f t="shared" si="28"/>
        <v>828672.60379991494</v>
      </c>
      <c r="R325" s="11">
        <f t="shared" ca="1" si="29"/>
        <v>7</v>
      </c>
      <c r="S325" s="11" t="str">
        <f t="shared" si="30"/>
        <v>700-749</v>
      </c>
    </row>
    <row r="326" spans="1:19" x14ac:dyDescent="0.3">
      <c r="A326" s="11" t="s">
        <v>338</v>
      </c>
      <c r="B326" s="11" t="s">
        <v>1023</v>
      </c>
      <c r="C326" s="11">
        <v>54</v>
      </c>
      <c r="D326" s="11" t="s">
        <v>1035</v>
      </c>
      <c r="E326" s="11" t="s">
        <v>1038</v>
      </c>
      <c r="F326" s="12">
        <v>612005</v>
      </c>
      <c r="G326" s="12">
        <v>1804005</v>
      </c>
      <c r="H326" s="11">
        <v>11.87</v>
      </c>
      <c r="I326" s="11">
        <v>84</v>
      </c>
      <c r="J326" s="11">
        <v>839</v>
      </c>
      <c r="K326" s="11" t="s">
        <v>1040</v>
      </c>
      <c r="L326" s="11" t="s">
        <v>1044</v>
      </c>
      <c r="M326" s="13">
        <v>43253</v>
      </c>
      <c r="N326" s="11" t="s">
        <v>1045</v>
      </c>
      <c r="O326" s="14">
        <f t="shared" si="26"/>
        <v>31720.337006092806</v>
      </c>
      <c r="P326" s="14">
        <f t="shared" si="27"/>
        <v>2664508.3085117959</v>
      </c>
      <c r="Q326" s="14">
        <f t="shared" si="28"/>
        <v>860503.30851179594</v>
      </c>
      <c r="R326" s="11">
        <f t="shared" ca="1" si="29"/>
        <v>7</v>
      </c>
      <c r="S326" s="11" t="str">
        <f t="shared" si="30"/>
        <v>800-850</v>
      </c>
    </row>
    <row r="327" spans="1:19" x14ac:dyDescent="0.3">
      <c r="A327" s="11" t="s">
        <v>339</v>
      </c>
      <c r="B327" s="11" t="s">
        <v>1014</v>
      </c>
      <c r="C327" s="11">
        <v>46</v>
      </c>
      <c r="D327" s="11" t="s">
        <v>1035</v>
      </c>
      <c r="E327" s="11" t="s">
        <v>1038</v>
      </c>
      <c r="F327" s="12">
        <v>1535501</v>
      </c>
      <c r="G327" s="12">
        <v>1182896</v>
      </c>
      <c r="H327" s="11">
        <v>13.19</v>
      </c>
      <c r="I327" s="11">
        <v>84</v>
      </c>
      <c r="J327" s="11">
        <v>773</v>
      </c>
      <c r="K327" s="11" t="s">
        <v>1041</v>
      </c>
      <c r="L327" s="11" t="s">
        <v>1044</v>
      </c>
      <c r="M327" s="13">
        <v>44711</v>
      </c>
      <c r="N327" s="11" t="s">
        <v>1047</v>
      </c>
      <c r="O327" s="14">
        <f t="shared" si="26"/>
        <v>21641.576367208825</v>
      </c>
      <c r="P327" s="14">
        <f t="shared" si="27"/>
        <v>1817892.4148455414</v>
      </c>
      <c r="Q327" s="14">
        <f t="shared" si="28"/>
        <v>634996.41484554135</v>
      </c>
      <c r="R327" s="11">
        <f t="shared" ca="1" si="29"/>
        <v>3</v>
      </c>
      <c r="S327" s="11" t="str">
        <f t="shared" si="30"/>
        <v>750-799</v>
      </c>
    </row>
    <row r="328" spans="1:19" x14ac:dyDescent="0.3">
      <c r="A328" s="11" t="s">
        <v>340</v>
      </c>
      <c r="B328" s="11" t="s">
        <v>1033</v>
      </c>
      <c r="C328" s="11">
        <v>50</v>
      </c>
      <c r="D328" s="11" t="s">
        <v>1035</v>
      </c>
      <c r="E328" s="11" t="s">
        <v>1037</v>
      </c>
      <c r="F328" s="12">
        <v>464651</v>
      </c>
      <c r="G328" s="12">
        <v>1977272</v>
      </c>
      <c r="H328" s="11">
        <v>14.33</v>
      </c>
      <c r="I328" s="11">
        <v>48</v>
      </c>
      <c r="J328" s="11">
        <v>695</v>
      </c>
      <c r="K328" s="11" t="s">
        <v>1039</v>
      </c>
      <c r="L328" s="11" t="s">
        <v>1044</v>
      </c>
      <c r="M328" s="13">
        <v>45267</v>
      </c>
      <c r="N328" s="11" t="s">
        <v>1047</v>
      </c>
      <c r="O328" s="14">
        <f t="shared" si="26"/>
        <v>54359.760347835901</v>
      </c>
      <c r="P328" s="14">
        <f t="shared" si="27"/>
        <v>2609268.4966961234</v>
      </c>
      <c r="Q328" s="14">
        <f t="shared" si="28"/>
        <v>631996.49669612339</v>
      </c>
      <c r="R328" s="11">
        <f t="shared" ca="1" si="29"/>
        <v>2</v>
      </c>
      <c r="S328" s="11" t="str">
        <f t="shared" si="30"/>
        <v>650-699</v>
      </c>
    </row>
    <row r="329" spans="1:19" x14ac:dyDescent="0.3">
      <c r="A329" s="11" t="s">
        <v>341</v>
      </c>
      <c r="B329" s="11" t="s">
        <v>1031</v>
      </c>
      <c r="C329" s="11">
        <v>42</v>
      </c>
      <c r="D329" s="11" t="s">
        <v>1035</v>
      </c>
      <c r="E329" s="11" t="s">
        <v>1037</v>
      </c>
      <c r="F329" s="12">
        <v>1709026</v>
      </c>
      <c r="G329" s="12">
        <v>833021</v>
      </c>
      <c r="H329" s="11">
        <v>14.22</v>
      </c>
      <c r="I329" s="11">
        <v>60</v>
      </c>
      <c r="J329" s="11">
        <v>693</v>
      </c>
      <c r="K329" s="11" t="s">
        <v>1039</v>
      </c>
      <c r="L329" s="11" t="s">
        <v>1044</v>
      </c>
      <c r="M329" s="13">
        <v>43485</v>
      </c>
      <c r="N329" s="11" t="s">
        <v>1048</v>
      </c>
      <c r="O329" s="14">
        <f t="shared" si="26"/>
        <v>19478.08378540475</v>
      </c>
      <c r="P329" s="14">
        <f t="shared" si="27"/>
        <v>1168685.027124285</v>
      </c>
      <c r="Q329" s="14">
        <f t="shared" si="28"/>
        <v>335664.027124285</v>
      </c>
      <c r="R329" s="11">
        <f t="shared" ca="1" si="29"/>
        <v>6</v>
      </c>
      <c r="S329" s="11" t="str">
        <f t="shared" si="30"/>
        <v>650-699</v>
      </c>
    </row>
    <row r="330" spans="1:19" x14ac:dyDescent="0.3">
      <c r="A330" s="11" t="s">
        <v>342</v>
      </c>
      <c r="B330" s="11" t="s">
        <v>1030</v>
      </c>
      <c r="C330" s="11">
        <v>42</v>
      </c>
      <c r="D330" s="11" t="s">
        <v>1035</v>
      </c>
      <c r="E330" s="11" t="s">
        <v>1038</v>
      </c>
      <c r="F330" s="12">
        <v>434443</v>
      </c>
      <c r="G330" s="12">
        <v>1131625</v>
      </c>
      <c r="H330" s="11">
        <v>12.94</v>
      </c>
      <c r="I330" s="11">
        <v>120</v>
      </c>
      <c r="J330" s="11">
        <v>775</v>
      </c>
      <c r="K330" s="11" t="s">
        <v>1040</v>
      </c>
      <c r="L330" s="11" t="s">
        <v>1044</v>
      </c>
      <c r="M330" s="13">
        <v>43540</v>
      </c>
      <c r="N330" s="11" t="s">
        <v>1046</v>
      </c>
      <c r="O330" s="14">
        <f t="shared" si="26"/>
        <v>16856.352618719266</v>
      </c>
      <c r="P330" s="14">
        <f t="shared" si="27"/>
        <v>2022762.3142463118</v>
      </c>
      <c r="Q330" s="14">
        <f t="shared" si="28"/>
        <v>891137.31424631178</v>
      </c>
      <c r="R330" s="11">
        <f t="shared" ca="1" si="29"/>
        <v>6</v>
      </c>
      <c r="S330" s="11" t="str">
        <f t="shared" si="30"/>
        <v>750-799</v>
      </c>
    </row>
    <row r="331" spans="1:19" x14ac:dyDescent="0.3">
      <c r="A331" s="11" t="s">
        <v>343</v>
      </c>
      <c r="B331" s="11" t="s">
        <v>1031</v>
      </c>
      <c r="C331" s="11">
        <v>37</v>
      </c>
      <c r="D331" s="11" t="s">
        <v>1034</v>
      </c>
      <c r="E331" s="11" t="s">
        <v>1037</v>
      </c>
      <c r="F331" s="12">
        <v>1375023</v>
      </c>
      <c r="G331" s="12">
        <v>1285499</v>
      </c>
      <c r="H331" s="11">
        <v>8.92</v>
      </c>
      <c r="I331" s="11">
        <v>84</v>
      </c>
      <c r="J331" s="11">
        <v>753</v>
      </c>
      <c r="K331" s="11" t="s">
        <v>1042</v>
      </c>
      <c r="L331" s="11" t="s">
        <v>1044</v>
      </c>
      <c r="M331" s="13">
        <v>44843</v>
      </c>
      <c r="N331" s="11" t="s">
        <v>1045</v>
      </c>
      <c r="O331" s="14">
        <f t="shared" si="26"/>
        <v>20630.340779255865</v>
      </c>
      <c r="P331" s="14">
        <f t="shared" si="27"/>
        <v>1732948.6254574927</v>
      </c>
      <c r="Q331" s="14">
        <f t="shared" si="28"/>
        <v>447449.62545749266</v>
      </c>
      <c r="R331" s="11">
        <f t="shared" ca="1" si="29"/>
        <v>3</v>
      </c>
      <c r="S331" s="11" t="str">
        <f t="shared" si="30"/>
        <v>750-799</v>
      </c>
    </row>
    <row r="332" spans="1:19" x14ac:dyDescent="0.3">
      <c r="A332" s="11" t="s">
        <v>344</v>
      </c>
      <c r="B332" s="11" t="s">
        <v>1030</v>
      </c>
      <c r="C332" s="11">
        <v>47</v>
      </c>
      <c r="D332" s="11" t="s">
        <v>1034</v>
      </c>
      <c r="E332" s="11" t="s">
        <v>1036</v>
      </c>
      <c r="F332" s="12">
        <v>1624187</v>
      </c>
      <c r="G332" s="12">
        <v>590513</v>
      </c>
      <c r="H332" s="11">
        <v>8.91</v>
      </c>
      <c r="I332" s="11">
        <v>72</v>
      </c>
      <c r="J332" s="11">
        <v>600</v>
      </c>
      <c r="K332" s="11" t="s">
        <v>1039</v>
      </c>
      <c r="L332" s="11" t="s">
        <v>1044</v>
      </c>
      <c r="M332" s="13">
        <v>44139</v>
      </c>
      <c r="N332" s="11" t="s">
        <v>1046</v>
      </c>
      <c r="O332" s="14">
        <f t="shared" si="26"/>
        <v>10617.956269020557</v>
      </c>
      <c r="P332" s="14">
        <f t="shared" si="27"/>
        <v>764492.85136948014</v>
      </c>
      <c r="Q332" s="14">
        <f t="shared" si="28"/>
        <v>173979.85136948014</v>
      </c>
      <c r="R332" s="11">
        <f t="shared" ca="1" si="29"/>
        <v>5</v>
      </c>
      <c r="S332" s="11" t="str">
        <f t="shared" si="30"/>
        <v>600-649</v>
      </c>
    </row>
    <row r="333" spans="1:19" x14ac:dyDescent="0.3">
      <c r="A333" s="11" t="s">
        <v>345</v>
      </c>
      <c r="B333" s="11" t="s">
        <v>1024</v>
      </c>
      <c r="C333" s="11">
        <v>43</v>
      </c>
      <c r="D333" s="11" t="s">
        <v>1035</v>
      </c>
      <c r="E333" s="11" t="s">
        <v>1036</v>
      </c>
      <c r="F333" s="12">
        <v>558566</v>
      </c>
      <c r="G333" s="12">
        <v>858928</v>
      </c>
      <c r="H333" s="11">
        <v>11.4</v>
      </c>
      <c r="I333" s="11">
        <v>96</v>
      </c>
      <c r="J333" s="11">
        <v>830</v>
      </c>
      <c r="K333" s="11" t="s">
        <v>1042</v>
      </c>
      <c r="L333" s="11" t="s">
        <v>1044</v>
      </c>
      <c r="M333" s="13">
        <v>44462</v>
      </c>
      <c r="N333" s="11" t="s">
        <v>1046</v>
      </c>
      <c r="O333" s="14">
        <f t="shared" si="26"/>
        <v>13678.412938795373</v>
      </c>
      <c r="P333" s="14">
        <f t="shared" si="27"/>
        <v>1313127.6421243558</v>
      </c>
      <c r="Q333" s="14">
        <f t="shared" si="28"/>
        <v>454199.64212435577</v>
      </c>
      <c r="R333" s="11">
        <f t="shared" ca="1" si="29"/>
        <v>4</v>
      </c>
      <c r="S333" s="11" t="str">
        <f t="shared" si="30"/>
        <v>800-850</v>
      </c>
    </row>
    <row r="334" spans="1:19" x14ac:dyDescent="0.3">
      <c r="A334" s="11" t="s">
        <v>346</v>
      </c>
      <c r="B334" s="11" t="s">
        <v>1016</v>
      </c>
      <c r="C334" s="11">
        <v>57</v>
      </c>
      <c r="D334" s="11" t="s">
        <v>1034</v>
      </c>
      <c r="E334" s="11" t="s">
        <v>1038</v>
      </c>
      <c r="F334" s="12">
        <v>1836265</v>
      </c>
      <c r="G334" s="12">
        <v>1937610</v>
      </c>
      <c r="H334" s="11">
        <v>14.53</v>
      </c>
      <c r="I334" s="11">
        <v>60</v>
      </c>
      <c r="J334" s="11">
        <v>723</v>
      </c>
      <c r="K334" s="11" t="s">
        <v>1042</v>
      </c>
      <c r="L334" s="11" t="s">
        <v>1043</v>
      </c>
      <c r="M334" s="13">
        <v>43663</v>
      </c>
      <c r="N334" s="11" t="s">
        <v>1047</v>
      </c>
      <c r="O334" s="14">
        <f t="shared" si="26"/>
        <v>45618.96280758435</v>
      </c>
      <c r="P334" s="14">
        <f t="shared" si="27"/>
        <v>2737137.7684550611</v>
      </c>
      <c r="Q334" s="14">
        <f t="shared" si="28"/>
        <v>799527.76845506113</v>
      </c>
      <c r="R334" s="11">
        <f t="shared" ca="1" si="29"/>
        <v>6</v>
      </c>
      <c r="S334" s="11" t="str">
        <f t="shared" si="30"/>
        <v>700-749</v>
      </c>
    </row>
    <row r="335" spans="1:19" x14ac:dyDescent="0.3">
      <c r="A335" s="11" t="s">
        <v>347</v>
      </c>
      <c r="B335" s="11" t="s">
        <v>1025</v>
      </c>
      <c r="C335" s="11">
        <v>48</v>
      </c>
      <c r="D335" s="11" t="s">
        <v>1035</v>
      </c>
      <c r="E335" s="11" t="s">
        <v>1037</v>
      </c>
      <c r="F335" s="12">
        <v>1703925</v>
      </c>
      <c r="G335" s="12">
        <v>755003</v>
      </c>
      <c r="H335" s="11">
        <v>13.89</v>
      </c>
      <c r="I335" s="11">
        <v>84</v>
      </c>
      <c r="J335" s="11">
        <v>778</v>
      </c>
      <c r="K335" s="11" t="s">
        <v>1039</v>
      </c>
      <c r="L335" s="11" t="s">
        <v>1044</v>
      </c>
      <c r="M335" s="13">
        <v>45409</v>
      </c>
      <c r="N335" s="11" t="s">
        <v>1045</v>
      </c>
      <c r="O335" s="14">
        <f t="shared" si="26"/>
        <v>14102.926334531739</v>
      </c>
      <c r="P335" s="14">
        <f t="shared" si="27"/>
        <v>1184645.8121006661</v>
      </c>
      <c r="Q335" s="14">
        <f t="shared" si="28"/>
        <v>429642.81210066611</v>
      </c>
      <c r="R335" s="11">
        <f t="shared" ca="1" si="29"/>
        <v>1</v>
      </c>
      <c r="S335" s="11" t="str">
        <f t="shared" si="30"/>
        <v>750-799</v>
      </c>
    </row>
    <row r="336" spans="1:19" x14ac:dyDescent="0.3">
      <c r="A336" s="11" t="s">
        <v>348</v>
      </c>
      <c r="B336" s="11" t="s">
        <v>1027</v>
      </c>
      <c r="C336" s="11">
        <v>36</v>
      </c>
      <c r="D336" s="11" t="s">
        <v>1034</v>
      </c>
      <c r="E336" s="11" t="s">
        <v>1038</v>
      </c>
      <c r="F336" s="12">
        <v>588697</v>
      </c>
      <c r="G336" s="12">
        <v>203725</v>
      </c>
      <c r="H336" s="11">
        <v>13.38</v>
      </c>
      <c r="I336" s="11">
        <v>72</v>
      </c>
      <c r="J336" s="11">
        <v>740</v>
      </c>
      <c r="K336" s="11" t="s">
        <v>1040</v>
      </c>
      <c r="L336" s="11" t="s">
        <v>1043</v>
      </c>
      <c r="M336" s="13">
        <v>44669</v>
      </c>
      <c r="N336" s="11" t="s">
        <v>1048</v>
      </c>
      <c r="O336" s="14">
        <f t="shared" si="26"/>
        <v>4130.5693940390893</v>
      </c>
      <c r="P336" s="14">
        <f t="shared" si="27"/>
        <v>297400.99637081445</v>
      </c>
      <c r="Q336" s="14">
        <f t="shared" si="28"/>
        <v>93675.99637081445</v>
      </c>
      <c r="R336" s="11">
        <f t="shared" ca="1" si="29"/>
        <v>3</v>
      </c>
      <c r="S336" s="11" t="str">
        <f t="shared" si="30"/>
        <v>700-749</v>
      </c>
    </row>
    <row r="337" spans="1:19" x14ac:dyDescent="0.3">
      <c r="A337" s="11" t="s">
        <v>349</v>
      </c>
      <c r="B337" s="11" t="s">
        <v>1020</v>
      </c>
      <c r="C337" s="11">
        <v>44</v>
      </c>
      <c r="D337" s="11" t="s">
        <v>1035</v>
      </c>
      <c r="E337" s="11" t="s">
        <v>1038</v>
      </c>
      <c r="F337" s="12">
        <v>571979</v>
      </c>
      <c r="G337" s="12">
        <v>1514497</v>
      </c>
      <c r="H337" s="11">
        <v>13.69</v>
      </c>
      <c r="I337" s="11">
        <v>72</v>
      </c>
      <c r="J337" s="11">
        <v>746</v>
      </c>
      <c r="K337" s="11" t="s">
        <v>1042</v>
      </c>
      <c r="L337" s="11" t="s">
        <v>1043</v>
      </c>
      <c r="M337" s="13">
        <v>45195</v>
      </c>
      <c r="N337" s="11" t="s">
        <v>1046</v>
      </c>
      <c r="O337" s="14">
        <f t="shared" si="26"/>
        <v>30956.488138106568</v>
      </c>
      <c r="P337" s="14">
        <f t="shared" si="27"/>
        <v>2228867.1459436729</v>
      </c>
      <c r="Q337" s="14">
        <f t="shared" si="28"/>
        <v>714370.14594367286</v>
      </c>
      <c r="R337" s="11">
        <f t="shared" ca="1" si="29"/>
        <v>2</v>
      </c>
      <c r="S337" s="11" t="str">
        <f t="shared" si="30"/>
        <v>700-749</v>
      </c>
    </row>
    <row r="338" spans="1:19" x14ac:dyDescent="0.3">
      <c r="A338" s="11" t="s">
        <v>350</v>
      </c>
      <c r="B338" s="11" t="s">
        <v>1026</v>
      </c>
      <c r="C338" s="11">
        <v>26</v>
      </c>
      <c r="D338" s="11" t="s">
        <v>1034</v>
      </c>
      <c r="E338" s="11" t="s">
        <v>1037</v>
      </c>
      <c r="F338" s="12">
        <v>1502348</v>
      </c>
      <c r="G338" s="12">
        <v>568710</v>
      </c>
      <c r="H338" s="11">
        <v>8.66</v>
      </c>
      <c r="I338" s="11">
        <v>84</v>
      </c>
      <c r="J338" s="11">
        <v>601</v>
      </c>
      <c r="K338" s="11" t="s">
        <v>1039</v>
      </c>
      <c r="L338" s="11" t="s">
        <v>1044</v>
      </c>
      <c r="M338" s="13">
        <v>44799</v>
      </c>
      <c r="N338" s="11" t="s">
        <v>1046</v>
      </c>
      <c r="O338" s="14">
        <f t="shared" si="26"/>
        <v>9052.1929304312307</v>
      </c>
      <c r="P338" s="14">
        <f t="shared" si="27"/>
        <v>760384.20615622343</v>
      </c>
      <c r="Q338" s="14">
        <f t="shared" si="28"/>
        <v>191674.20615622343</v>
      </c>
      <c r="R338" s="11">
        <f t="shared" ca="1" si="29"/>
        <v>3</v>
      </c>
      <c r="S338" s="11" t="str">
        <f t="shared" si="30"/>
        <v>600-649</v>
      </c>
    </row>
    <row r="339" spans="1:19" x14ac:dyDescent="0.3">
      <c r="A339" s="11" t="s">
        <v>351</v>
      </c>
      <c r="B339" s="11" t="s">
        <v>1025</v>
      </c>
      <c r="C339" s="11">
        <v>53</v>
      </c>
      <c r="D339" s="11" t="s">
        <v>1034</v>
      </c>
      <c r="E339" s="11" t="s">
        <v>1038</v>
      </c>
      <c r="F339" s="12">
        <v>686524</v>
      </c>
      <c r="G339" s="12">
        <v>552936</v>
      </c>
      <c r="H339" s="11">
        <v>11.1</v>
      </c>
      <c r="I339" s="11">
        <v>72</v>
      </c>
      <c r="J339" s="11">
        <v>732</v>
      </c>
      <c r="K339" s="11" t="s">
        <v>1041</v>
      </c>
      <c r="L339" s="11" t="s">
        <v>1044</v>
      </c>
      <c r="M339" s="13">
        <v>43562</v>
      </c>
      <c r="N339" s="11" t="s">
        <v>1047</v>
      </c>
      <c r="O339" s="14">
        <f t="shared" si="26"/>
        <v>10552.970047425928</v>
      </c>
      <c r="P339" s="14">
        <f t="shared" si="27"/>
        <v>759813.84341466683</v>
      </c>
      <c r="Q339" s="14">
        <f t="shared" si="28"/>
        <v>206877.84341466683</v>
      </c>
      <c r="R339" s="11">
        <f t="shared" ca="1" si="29"/>
        <v>6</v>
      </c>
      <c r="S339" s="11" t="str">
        <f t="shared" si="30"/>
        <v>700-749</v>
      </c>
    </row>
    <row r="340" spans="1:19" x14ac:dyDescent="0.3">
      <c r="A340" s="11" t="s">
        <v>352</v>
      </c>
      <c r="B340" s="11" t="s">
        <v>1014</v>
      </c>
      <c r="C340" s="11">
        <v>26</v>
      </c>
      <c r="D340" s="11" t="s">
        <v>1035</v>
      </c>
      <c r="E340" s="11" t="s">
        <v>1037</v>
      </c>
      <c r="F340" s="12">
        <v>1096586</v>
      </c>
      <c r="G340" s="12">
        <v>1303094</v>
      </c>
      <c r="H340" s="11">
        <v>12.64</v>
      </c>
      <c r="I340" s="11">
        <v>96</v>
      </c>
      <c r="J340" s="11">
        <v>716</v>
      </c>
      <c r="K340" s="11" t="s">
        <v>1042</v>
      </c>
      <c r="L340" s="11" t="s">
        <v>1043</v>
      </c>
      <c r="M340" s="13">
        <v>43512</v>
      </c>
      <c r="N340" s="11" t="s">
        <v>1045</v>
      </c>
      <c r="O340" s="14">
        <f t="shared" si="26"/>
        <v>21639.862613361543</v>
      </c>
      <c r="P340" s="14">
        <f t="shared" si="27"/>
        <v>2077426.8108827081</v>
      </c>
      <c r="Q340" s="14">
        <f t="shared" si="28"/>
        <v>774332.81088270806</v>
      </c>
      <c r="R340" s="11">
        <f t="shared" ca="1" si="29"/>
        <v>6</v>
      </c>
      <c r="S340" s="11" t="str">
        <f t="shared" si="30"/>
        <v>700-749</v>
      </c>
    </row>
    <row r="341" spans="1:19" x14ac:dyDescent="0.3">
      <c r="A341" s="11" t="s">
        <v>353</v>
      </c>
      <c r="B341" s="11" t="s">
        <v>1014</v>
      </c>
      <c r="C341" s="11">
        <v>43</v>
      </c>
      <c r="D341" s="11" t="s">
        <v>1034</v>
      </c>
      <c r="E341" s="11" t="s">
        <v>1036</v>
      </c>
      <c r="F341" s="12">
        <v>1753716</v>
      </c>
      <c r="G341" s="12">
        <v>591220</v>
      </c>
      <c r="H341" s="11">
        <v>13.88</v>
      </c>
      <c r="I341" s="11">
        <v>36</v>
      </c>
      <c r="J341" s="11">
        <v>832</v>
      </c>
      <c r="K341" s="11" t="s">
        <v>1042</v>
      </c>
      <c r="L341" s="11" t="s">
        <v>1044</v>
      </c>
      <c r="M341" s="13">
        <v>44954</v>
      </c>
      <c r="N341" s="11" t="s">
        <v>1045</v>
      </c>
      <c r="O341" s="14">
        <f t="shared" si="26"/>
        <v>20172.057375817647</v>
      </c>
      <c r="P341" s="14">
        <f t="shared" si="27"/>
        <v>726194.06552943529</v>
      </c>
      <c r="Q341" s="14">
        <f t="shared" si="28"/>
        <v>134974.06552943529</v>
      </c>
      <c r="R341" s="11">
        <f t="shared" ca="1" si="29"/>
        <v>2</v>
      </c>
      <c r="S341" s="11" t="str">
        <f t="shared" si="30"/>
        <v>800-850</v>
      </c>
    </row>
    <row r="342" spans="1:19" x14ac:dyDescent="0.3">
      <c r="A342" s="11" t="s">
        <v>354</v>
      </c>
      <c r="B342" s="11" t="s">
        <v>1020</v>
      </c>
      <c r="C342" s="11">
        <v>44</v>
      </c>
      <c r="D342" s="11" t="s">
        <v>1034</v>
      </c>
      <c r="E342" s="11" t="s">
        <v>1036</v>
      </c>
      <c r="F342" s="12">
        <v>515599</v>
      </c>
      <c r="G342" s="12">
        <v>880447</v>
      </c>
      <c r="H342" s="11">
        <v>14.99</v>
      </c>
      <c r="I342" s="11">
        <v>48</v>
      </c>
      <c r="J342" s="11">
        <v>639</v>
      </c>
      <c r="K342" s="11" t="s">
        <v>1040</v>
      </c>
      <c r="L342" s="11" t="s">
        <v>1043</v>
      </c>
      <c r="M342" s="13">
        <v>44033</v>
      </c>
      <c r="N342" s="11" t="s">
        <v>1046</v>
      </c>
      <c r="O342" s="14">
        <f t="shared" si="26"/>
        <v>24499.036000108586</v>
      </c>
      <c r="P342" s="14">
        <f t="shared" si="27"/>
        <v>1175953.7280052123</v>
      </c>
      <c r="Q342" s="14">
        <f t="shared" si="28"/>
        <v>295506.72800521227</v>
      </c>
      <c r="R342" s="11">
        <f t="shared" ca="1" si="29"/>
        <v>5</v>
      </c>
      <c r="S342" s="11" t="str">
        <f t="shared" si="30"/>
        <v>600-649</v>
      </c>
    </row>
    <row r="343" spans="1:19" x14ac:dyDescent="0.3">
      <c r="A343" s="11" t="s">
        <v>355</v>
      </c>
      <c r="B343" s="11" t="s">
        <v>1024</v>
      </c>
      <c r="C343" s="11">
        <v>47</v>
      </c>
      <c r="D343" s="11" t="s">
        <v>1034</v>
      </c>
      <c r="E343" s="11" t="s">
        <v>1036</v>
      </c>
      <c r="F343" s="12">
        <v>1597950</v>
      </c>
      <c r="G343" s="12">
        <v>465650</v>
      </c>
      <c r="H343" s="11">
        <v>9.35</v>
      </c>
      <c r="I343" s="11">
        <v>48</v>
      </c>
      <c r="J343" s="11">
        <v>754</v>
      </c>
      <c r="K343" s="11" t="s">
        <v>1042</v>
      </c>
      <c r="L343" s="11" t="s">
        <v>1043</v>
      </c>
      <c r="M343" s="13">
        <v>43877</v>
      </c>
      <c r="N343" s="11" t="s">
        <v>1047</v>
      </c>
      <c r="O343" s="14">
        <f t="shared" si="26"/>
        <v>11665.261820970753</v>
      </c>
      <c r="P343" s="14">
        <f t="shared" si="27"/>
        <v>559932.56740659615</v>
      </c>
      <c r="Q343" s="14">
        <f t="shared" si="28"/>
        <v>94282.56740659615</v>
      </c>
      <c r="R343" s="11">
        <f t="shared" ca="1" si="29"/>
        <v>5</v>
      </c>
      <c r="S343" s="11" t="str">
        <f t="shared" si="30"/>
        <v>750-799</v>
      </c>
    </row>
    <row r="344" spans="1:19" x14ac:dyDescent="0.3">
      <c r="A344" s="11" t="s">
        <v>356</v>
      </c>
      <c r="B344" s="11" t="s">
        <v>1030</v>
      </c>
      <c r="C344" s="11">
        <v>42</v>
      </c>
      <c r="D344" s="11" t="s">
        <v>1035</v>
      </c>
      <c r="E344" s="11" t="s">
        <v>1037</v>
      </c>
      <c r="F344" s="12">
        <v>1160390</v>
      </c>
      <c r="G344" s="12">
        <v>479958</v>
      </c>
      <c r="H344" s="11">
        <v>9.48</v>
      </c>
      <c r="I344" s="11">
        <v>36</v>
      </c>
      <c r="J344" s="11">
        <v>639</v>
      </c>
      <c r="K344" s="11" t="s">
        <v>1040</v>
      </c>
      <c r="L344" s="11" t="s">
        <v>1044</v>
      </c>
      <c r="M344" s="13">
        <v>43491</v>
      </c>
      <c r="N344" s="11" t="s">
        <v>1047</v>
      </c>
      <c r="O344" s="14">
        <f t="shared" si="26"/>
        <v>15369.98370784172</v>
      </c>
      <c r="P344" s="14">
        <f t="shared" si="27"/>
        <v>553319.41348230198</v>
      </c>
      <c r="Q344" s="14">
        <f t="shared" si="28"/>
        <v>73361.413482301985</v>
      </c>
      <c r="R344" s="11">
        <f t="shared" ca="1" si="29"/>
        <v>6</v>
      </c>
      <c r="S344" s="11" t="str">
        <f t="shared" si="30"/>
        <v>600-649</v>
      </c>
    </row>
    <row r="345" spans="1:19" x14ac:dyDescent="0.3">
      <c r="A345" s="11" t="s">
        <v>357</v>
      </c>
      <c r="B345" s="11" t="s">
        <v>1027</v>
      </c>
      <c r="C345" s="11">
        <v>27</v>
      </c>
      <c r="D345" s="11" t="s">
        <v>1035</v>
      </c>
      <c r="E345" s="11" t="s">
        <v>1037</v>
      </c>
      <c r="F345" s="12">
        <v>1510960</v>
      </c>
      <c r="G345" s="12">
        <v>665120</v>
      </c>
      <c r="H345" s="11">
        <v>8.11</v>
      </c>
      <c r="I345" s="11">
        <v>72</v>
      </c>
      <c r="J345" s="11">
        <v>843</v>
      </c>
      <c r="K345" s="11" t="s">
        <v>1040</v>
      </c>
      <c r="L345" s="11" t="s">
        <v>1044</v>
      </c>
      <c r="M345" s="13">
        <v>44053</v>
      </c>
      <c r="N345" s="11" t="s">
        <v>1046</v>
      </c>
      <c r="O345" s="14">
        <f t="shared" si="26"/>
        <v>11697.465167836483</v>
      </c>
      <c r="P345" s="14">
        <f t="shared" si="27"/>
        <v>842217.4920842268</v>
      </c>
      <c r="Q345" s="14">
        <f t="shared" si="28"/>
        <v>177097.4920842268</v>
      </c>
      <c r="R345" s="11">
        <f t="shared" ca="1" si="29"/>
        <v>5</v>
      </c>
      <c r="S345" s="11" t="str">
        <f t="shared" si="30"/>
        <v>800-850</v>
      </c>
    </row>
    <row r="346" spans="1:19" x14ac:dyDescent="0.3">
      <c r="A346" s="11" t="s">
        <v>358</v>
      </c>
      <c r="B346" s="11" t="s">
        <v>1030</v>
      </c>
      <c r="C346" s="11">
        <v>31</v>
      </c>
      <c r="D346" s="11" t="s">
        <v>1034</v>
      </c>
      <c r="E346" s="11" t="s">
        <v>1036</v>
      </c>
      <c r="F346" s="12">
        <v>1099737</v>
      </c>
      <c r="G346" s="12">
        <v>893867</v>
      </c>
      <c r="H346" s="11">
        <v>9.76</v>
      </c>
      <c r="I346" s="11">
        <v>84</v>
      </c>
      <c r="J346" s="11">
        <v>624</v>
      </c>
      <c r="K346" s="11" t="s">
        <v>1039</v>
      </c>
      <c r="L346" s="11" t="s">
        <v>1044</v>
      </c>
      <c r="M346" s="13">
        <v>44977</v>
      </c>
      <c r="N346" s="11" t="s">
        <v>1047</v>
      </c>
      <c r="O346" s="14">
        <f t="shared" si="26"/>
        <v>14728.640533046808</v>
      </c>
      <c r="P346" s="14">
        <f t="shared" si="27"/>
        <v>1237205.8047759319</v>
      </c>
      <c r="Q346" s="14">
        <f t="shared" si="28"/>
        <v>343338.80477593187</v>
      </c>
      <c r="R346" s="11">
        <f t="shared" ca="1" si="29"/>
        <v>2</v>
      </c>
      <c r="S346" s="11" t="str">
        <f t="shared" si="30"/>
        <v>600-649</v>
      </c>
    </row>
    <row r="347" spans="1:19" x14ac:dyDescent="0.3">
      <c r="A347" s="11" t="s">
        <v>359</v>
      </c>
      <c r="B347" s="11" t="s">
        <v>1021</v>
      </c>
      <c r="C347" s="11">
        <v>49</v>
      </c>
      <c r="D347" s="11" t="s">
        <v>1034</v>
      </c>
      <c r="E347" s="11" t="s">
        <v>1038</v>
      </c>
      <c r="F347" s="12">
        <v>645810</v>
      </c>
      <c r="G347" s="12">
        <v>811793</v>
      </c>
      <c r="H347" s="11">
        <v>10.17</v>
      </c>
      <c r="I347" s="11">
        <v>72</v>
      </c>
      <c r="J347" s="11">
        <v>771</v>
      </c>
      <c r="K347" s="11" t="s">
        <v>1041</v>
      </c>
      <c r="L347" s="11" t="s">
        <v>1043</v>
      </c>
      <c r="M347" s="13">
        <v>45087</v>
      </c>
      <c r="N347" s="11" t="s">
        <v>1045</v>
      </c>
      <c r="O347" s="14">
        <f t="shared" si="26"/>
        <v>15108.831861234354</v>
      </c>
      <c r="P347" s="14">
        <f t="shared" si="27"/>
        <v>1087835.8940088735</v>
      </c>
      <c r="Q347" s="14">
        <f t="shared" si="28"/>
        <v>276042.8940088735</v>
      </c>
      <c r="R347" s="11">
        <f t="shared" ca="1" si="29"/>
        <v>2</v>
      </c>
      <c r="S347" s="11" t="str">
        <f t="shared" si="30"/>
        <v>750-799</v>
      </c>
    </row>
    <row r="348" spans="1:19" x14ac:dyDescent="0.3">
      <c r="A348" s="11" t="s">
        <v>360</v>
      </c>
      <c r="B348" s="11" t="s">
        <v>1026</v>
      </c>
      <c r="C348" s="11">
        <v>43</v>
      </c>
      <c r="D348" s="11" t="s">
        <v>1035</v>
      </c>
      <c r="E348" s="11" t="s">
        <v>1036</v>
      </c>
      <c r="F348" s="12">
        <v>1172017</v>
      </c>
      <c r="G348" s="12">
        <v>247775</v>
      </c>
      <c r="H348" s="11">
        <v>12.27</v>
      </c>
      <c r="I348" s="11">
        <v>96</v>
      </c>
      <c r="J348" s="11">
        <v>633</v>
      </c>
      <c r="K348" s="11" t="s">
        <v>1041</v>
      </c>
      <c r="L348" s="11" t="s">
        <v>1044</v>
      </c>
      <c r="M348" s="13">
        <v>43600</v>
      </c>
      <c r="N348" s="11" t="s">
        <v>1047</v>
      </c>
      <c r="O348" s="14">
        <f t="shared" si="26"/>
        <v>4063.8951820662137</v>
      </c>
      <c r="P348" s="14">
        <f t="shared" si="27"/>
        <v>390133.93747835653</v>
      </c>
      <c r="Q348" s="14">
        <f t="shared" si="28"/>
        <v>142358.93747835653</v>
      </c>
      <c r="R348" s="11">
        <f t="shared" ca="1" si="29"/>
        <v>6</v>
      </c>
      <c r="S348" s="11" t="str">
        <f t="shared" si="30"/>
        <v>600-649</v>
      </c>
    </row>
    <row r="349" spans="1:19" x14ac:dyDescent="0.3">
      <c r="A349" s="11" t="s">
        <v>361</v>
      </c>
      <c r="B349" s="11" t="s">
        <v>1025</v>
      </c>
      <c r="C349" s="11">
        <v>33</v>
      </c>
      <c r="D349" s="11" t="s">
        <v>1035</v>
      </c>
      <c r="E349" s="11" t="s">
        <v>1038</v>
      </c>
      <c r="F349" s="12">
        <v>756807</v>
      </c>
      <c r="G349" s="12">
        <v>675019</v>
      </c>
      <c r="H349" s="11">
        <v>10.18</v>
      </c>
      <c r="I349" s="11">
        <v>96</v>
      </c>
      <c r="J349" s="11">
        <v>773</v>
      </c>
      <c r="K349" s="11" t="s">
        <v>1039</v>
      </c>
      <c r="L349" s="11" t="s">
        <v>1044</v>
      </c>
      <c r="M349" s="13">
        <v>44794</v>
      </c>
      <c r="N349" s="11" t="s">
        <v>1048</v>
      </c>
      <c r="O349" s="14">
        <f t="shared" si="26"/>
        <v>10307.253316181992</v>
      </c>
      <c r="P349" s="14">
        <f t="shared" si="27"/>
        <v>989496.31835347123</v>
      </c>
      <c r="Q349" s="14">
        <f t="shared" si="28"/>
        <v>314477.31835347123</v>
      </c>
      <c r="R349" s="11">
        <f t="shared" ca="1" si="29"/>
        <v>3</v>
      </c>
      <c r="S349" s="11" t="str">
        <f t="shared" si="30"/>
        <v>750-799</v>
      </c>
    </row>
    <row r="350" spans="1:19" x14ac:dyDescent="0.3">
      <c r="A350" s="11" t="s">
        <v>362</v>
      </c>
      <c r="B350" s="11" t="s">
        <v>1033</v>
      </c>
      <c r="C350" s="11">
        <v>32</v>
      </c>
      <c r="D350" s="11" t="s">
        <v>1035</v>
      </c>
      <c r="E350" s="11" t="s">
        <v>1036</v>
      </c>
      <c r="F350" s="12">
        <v>679436</v>
      </c>
      <c r="G350" s="12">
        <v>376416</v>
      </c>
      <c r="H350" s="11">
        <v>14.8</v>
      </c>
      <c r="I350" s="11">
        <v>60</v>
      </c>
      <c r="J350" s="11">
        <v>664</v>
      </c>
      <c r="K350" s="11" t="s">
        <v>1042</v>
      </c>
      <c r="L350" s="11" t="s">
        <v>1043</v>
      </c>
      <c r="M350" s="13">
        <v>43950</v>
      </c>
      <c r="N350" s="11" t="s">
        <v>1046</v>
      </c>
      <c r="O350" s="14">
        <f t="shared" si="26"/>
        <v>8915.4418168078828</v>
      </c>
      <c r="P350" s="14">
        <f t="shared" si="27"/>
        <v>534926.50900847302</v>
      </c>
      <c r="Q350" s="14">
        <f t="shared" si="28"/>
        <v>158510.50900847302</v>
      </c>
      <c r="R350" s="11">
        <f t="shared" ca="1" si="29"/>
        <v>5</v>
      </c>
      <c r="S350" s="11" t="str">
        <f t="shared" si="30"/>
        <v>650-699</v>
      </c>
    </row>
    <row r="351" spans="1:19" x14ac:dyDescent="0.3">
      <c r="A351" s="11" t="s">
        <v>363</v>
      </c>
      <c r="B351" s="11" t="s">
        <v>1017</v>
      </c>
      <c r="C351" s="11">
        <v>58</v>
      </c>
      <c r="D351" s="11" t="s">
        <v>1034</v>
      </c>
      <c r="E351" s="11" t="s">
        <v>1036</v>
      </c>
      <c r="F351" s="12">
        <v>711399</v>
      </c>
      <c r="G351" s="12">
        <v>1156661</v>
      </c>
      <c r="H351" s="11">
        <v>12.69</v>
      </c>
      <c r="I351" s="11">
        <v>36</v>
      </c>
      <c r="J351" s="11">
        <v>631</v>
      </c>
      <c r="K351" s="11" t="s">
        <v>1039</v>
      </c>
      <c r="L351" s="11" t="s">
        <v>1044</v>
      </c>
      <c r="M351" s="13">
        <v>43145</v>
      </c>
      <c r="N351" s="11" t="s">
        <v>1045</v>
      </c>
      <c r="O351" s="14">
        <f t="shared" si="26"/>
        <v>38799.997372926773</v>
      </c>
      <c r="P351" s="14">
        <f t="shared" si="27"/>
        <v>1396799.9054253639</v>
      </c>
      <c r="Q351" s="14">
        <f t="shared" si="28"/>
        <v>240138.90542536392</v>
      </c>
      <c r="R351" s="11">
        <f t="shared" ca="1" si="29"/>
        <v>7</v>
      </c>
      <c r="S351" s="11" t="str">
        <f t="shared" si="30"/>
        <v>600-649</v>
      </c>
    </row>
    <row r="352" spans="1:19" x14ac:dyDescent="0.3">
      <c r="A352" s="11" t="s">
        <v>364</v>
      </c>
      <c r="B352" s="11" t="s">
        <v>1026</v>
      </c>
      <c r="C352" s="11">
        <v>33</v>
      </c>
      <c r="D352" s="11" t="s">
        <v>1034</v>
      </c>
      <c r="E352" s="11" t="s">
        <v>1037</v>
      </c>
      <c r="F352" s="12">
        <v>1949931</v>
      </c>
      <c r="G352" s="12">
        <v>213275</v>
      </c>
      <c r="H352" s="11">
        <v>14.89</v>
      </c>
      <c r="I352" s="11">
        <v>120</v>
      </c>
      <c r="J352" s="11">
        <v>637</v>
      </c>
      <c r="K352" s="11" t="s">
        <v>1041</v>
      </c>
      <c r="L352" s="11" t="s">
        <v>1044</v>
      </c>
      <c r="M352" s="13">
        <v>43992</v>
      </c>
      <c r="N352" s="11" t="s">
        <v>1046</v>
      </c>
      <c r="O352" s="14">
        <f t="shared" si="26"/>
        <v>3426.5186800882652</v>
      </c>
      <c r="P352" s="14">
        <f t="shared" si="27"/>
        <v>411182.24161059182</v>
      </c>
      <c r="Q352" s="14">
        <f t="shared" si="28"/>
        <v>197907.24161059182</v>
      </c>
      <c r="R352" s="11">
        <f t="shared" ca="1" si="29"/>
        <v>5</v>
      </c>
      <c r="S352" s="11" t="str">
        <f t="shared" si="30"/>
        <v>600-649</v>
      </c>
    </row>
    <row r="353" spans="1:19" x14ac:dyDescent="0.3">
      <c r="A353" s="11" t="s">
        <v>365</v>
      </c>
      <c r="B353" s="11" t="s">
        <v>1017</v>
      </c>
      <c r="C353" s="11">
        <v>31</v>
      </c>
      <c r="D353" s="11" t="s">
        <v>1035</v>
      </c>
      <c r="E353" s="11" t="s">
        <v>1038</v>
      </c>
      <c r="F353" s="12">
        <v>1199964</v>
      </c>
      <c r="G353" s="12">
        <v>754177</v>
      </c>
      <c r="H353" s="11">
        <v>10.119999999999999</v>
      </c>
      <c r="I353" s="11">
        <v>60</v>
      </c>
      <c r="J353" s="11">
        <v>662</v>
      </c>
      <c r="K353" s="11" t="s">
        <v>1042</v>
      </c>
      <c r="L353" s="11" t="s">
        <v>1044</v>
      </c>
      <c r="M353" s="13">
        <v>43248</v>
      </c>
      <c r="N353" s="11" t="s">
        <v>1045</v>
      </c>
      <c r="O353" s="14">
        <f t="shared" si="26"/>
        <v>16068.599053733975</v>
      </c>
      <c r="P353" s="14">
        <f t="shared" si="27"/>
        <v>964115.94322403846</v>
      </c>
      <c r="Q353" s="14">
        <f t="shared" si="28"/>
        <v>209938.94322403846</v>
      </c>
      <c r="R353" s="11">
        <f t="shared" ca="1" si="29"/>
        <v>7</v>
      </c>
      <c r="S353" s="11" t="str">
        <f t="shared" si="30"/>
        <v>650-699</v>
      </c>
    </row>
    <row r="354" spans="1:19" x14ac:dyDescent="0.3">
      <c r="A354" s="11" t="s">
        <v>366</v>
      </c>
      <c r="B354" s="11" t="s">
        <v>1024</v>
      </c>
      <c r="C354" s="11">
        <v>56</v>
      </c>
      <c r="D354" s="11" t="s">
        <v>1034</v>
      </c>
      <c r="E354" s="11" t="s">
        <v>1037</v>
      </c>
      <c r="F354" s="12">
        <v>1123836</v>
      </c>
      <c r="G354" s="12">
        <v>660140</v>
      </c>
      <c r="H354" s="11">
        <v>10.4</v>
      </c>
      <c r="I354" s="11">
        <v>96</v>
      </c>
      <c r="J354" s="11">
        <v>756</v>
      </c>
      <c r="K354" s="11" t="s">
        <v>1042</v>
      </c>
      <c r="L354" s="11" t="s">
        <v>1044</v>
      </c>
      <c r="M354" s="13">
        <v>44306</v>
      </c>
      <c r="N354" s="11" t="s">
        <v>1047</v>
      </c>
      <c r="O354" s="14">
        <f t="shared" si="26"/>
        <v>10157.336932381082</v>
      </c>
      <c r="P354" s="14">
        <f t="shared" si="27"/>
        <v>975104.34550858382</v>
      </c>
      <c r="Q354" s="14">
        <f t="shared" si="28"/>
        <v>314964.34550858382</v>
      </c>
      <c r="R354" s="11">
        <f t="shared" ca="1" si="29"/>
        <v>4</v>
      </c>
      <c r="S354" s="11" t="str">
        <f t="shared" si="30"/>
        <v>750-799</v>
      </c>
    </row>
    <row r="355" spans="1:19" x14ac:dyDescent="0.3">
      <c r="A355" s="11" t="s">
        <v>367</v>
      </c>
      <c r="B355" s="11" t="s">
        <v>1018</v>
      </c>
      <c r="C355" s="11">
        <v>45</v>
      </c>
      <c r="D355" s="11" t="s">
        <v>1035</v>
      </c>
      <c r="E355" s="11" t="s">
        <v>1036</v>
      </c>
      <c r="F355" s="12">
        <v>1771788</v>
      </c>
      <c r="G355" s="12">
        <v>1433760</v>
      </c>
      <c r="H355" s="11">
        <v>10.29</v>
      </c>
      <c r="I355" s="11">
        <v>72</v>
      </c>
      <c r="J355" s="11">
        <v>765</v>
      </c>
      <c r="K355" s="11" t="s">
        <v>1042</v>
      </c>
      <c r="L355" s="11" t="s">
        <v>1044</v>
      </c>
      <c r="M355" s="13">
        <v>43771</v>
      </c>
      <c r="N355" s="11" t="s">
        <v>1047</v>
      </c>
      <c r="O355" s="14">
        <f t="shared" si="26"/>
        <v>26771.759118601418</v>
      </c>
      <c r="P355" s="14">
        <f t="shared" si="27"/>
        <v>1927566.6565393021</v>
      </c>
      <c r="Q355" s="14">
        <f t="shared" si="28"/>
        <v>493806.65653930209</v>
      </c>
      <c r="R355" s="11">
        <f t="shared" ca="1" si="29"/>
        <v>6</v>
      </c>
      <c r="S355" s="11" t="str">
        <f t="shared" si="30"/>
        <v>750-799</v>
      </c>
    </row>
    <row r="356" spans="1:19" x14ac:dyDescent="0.3">
      <c r="A356" s="11" t="s">
        <v>368</v>
      </c>
      <c r="B356" s="11" t="s">
        <v>1030</v>
      </c>
      <c r="C356" s="11">
        <v>47</v>
      </c>
      <c r="D356" s="11" t="s">
        <v>1035</v>
      </c>
      <c r="E356" s="11" t="s">
        <v>1038</v>
      </c>
      <c r="F356" s="12">
        <v>373308</v>
      </c>
      <c r="G356" s="12">
        <v>1407143</v>
      </c>
      <c r="H356" s="11">
        <v>13.35</v>
      </c>
      <c r="I356" s="11">
        <v>84</v>
      </c>
      <c r="J356" s="11">
        <v>734</v>
      </c>
      <c r="K356" s="11" t="s">
        <v>1039</v>
      </c>
      <c r="L356" s="11" t="s">
        <v>1043</v>
      </c>
      <c r="M356" s="13">
        <v>43135</v>
      </c>
      <c r="N356" s="11" t="s">
        <v>1048</v>
      </c>
      <c r="O356" s="14">
        <f t="shared" si="26"/>
        <v>25867.204956346843</v>
      </c>
      <c r="P356" s="14">
        <f t="shared" si="27"/>
        <v>2172845.2163331346</v>
      </c>
      <c r="Q356" s="14">
        <f t="shared" si="28"/>
        <v>765702.21633313457</v>
      </c>
      <c r="R356" s="11">
        <f t="shared" ca="1" si="29"/>
        <v>7</v>
      </c>
      <c r="S356" s="11" t="str">
        <f t="shared" si="30"/>
        <v>700-749</v>
      </c>
    </row>
    <row r="357" spans="1:19" x14ac:dyDescent="0.3">
      <c r="A357" s="11" t="s">
        <v>369</v>
      </c>
      <c r="B357" s="11" t="s">
        <v>1014</v>
      </c>
      <c r="C357" s="11">
        <v>56</v>
      </c>
      <c r="D357" s="11" t="s">
        <v>1034</v>
      </c>
      <c r="E357" s="11" t="s">
        <v>1036</v>
      </c>
      <c r="F357" s="12">
        <v>568441</v>
      </c>
      <c r="G357" s="12">
        <v>467538</v>
      </c>
      <c r="H357" s="11">
        <v>8.5399999999999991</v>
      </c>
      <c r="I357" s="11">
        <v>48</v>
      </c>
      <c r="J357" s="11">
        <v>747</v>
      </c>
      <c r="K357" s="11" t="s">
        <v>1041</v>
      </c>
      <c r="L357" s="11" t="s">
        <v>1044</v>
      </c>
      <c r="M357" s="13">
        <v>43384</v>
      </c>
      <c r="N357" s="11" t="s">
        <v>1048</v>
      </c>
      <c r="O357" s="14">
        <f t="shared" si="26"/>
        <v>11532.84986626745</v>
      </c>
      <c r="P357" s="14">
        <f t="shared" si="27"/>
        <v>553576.79358083755</v>
      </c>
      <c r="Q357" s="14">
        <f t="shared" si="28"/>
        <v>86038.793580837548</v>
      </c>
      <c r="R357" s="11">
        <f t="shared" ca="1" si="29"/>
        <v>7</v>
      </c>
      <c r="S357" s="11" t="str">
        <f t="shared" si="30"/>
        <v>700-749</v>
      </c>
    </row>
    <row r="358" spans="1:19" x14ac:dyDescent="0.3">
      <c r="A358" s="11" t="s">
        <v>370</v>
      </c>
      <c r="B358" s="11" t="s">
        <v>1028</v>
      </c>
      <c r="C358" s="11">
        <v>30</v>
      </c>
      <c r="D358" s="11" t="s">
        <v>1035</v>
      </c>
      <c r="E358" s="11" t="s">
        <v>1036</v>
      </c>
      <c r="F358" s="12">
        <v>755650</v>
      </c>
      <c r="G358" s="12">
        <v>391108</v>
      </c>
      <c r="H358" s="11">
        <v>11.66</v>
      </c>
      <c r="I358" s="11">
        <v>96</v>
      </c>
      <c r="J358" s="11">
        <v>737</v>
      </c>
      <c r="K358" s="11" t="s">
        <v>1042</v>
      </c>
      <c r="L358" s="11" t="s">
        <v>1044</v>
      </c>
      <c r="M358" s="13">
        <v>43721</v>
      </c>
      <c r="N358" s="11" t="s">
        <v>1048</v>
      </c>
      <c r="O358" s="14">
        <f t="shared" si="26"/>
        <v>6283.7798094593963</v>
      </c>
      <c r="P358" s="14">
        <f t="shared" si="27"/>
        <v>603242.86170810205</v>
      </c>
      <c r="Q358" s="14">
        <f t="shared" si="28"/>
        <v>212134.86170810205</v>
      </c>
      <c r="R358" s="11">
        <f t="shared" ca="1" si="29"/>
        <v>6</v>
      </c>
      <c r="S358" s="11" t="str">
        <f t="shared" si="30"/>
        <v>700-749</v>
      </c>
    </row>
    <row r="359" spans="1:19" x14ac:dyDescent="0.3">
      <c r="A359" s="11" t="s">
        <v>371</v>
      </c>
      <c r="B359" s="11" t="s">
        <v>1025</v>
      </c>
      <c r="C359" s="11">
        <v>45</v>
      </c>
      <c r="D359" s="11" t="s">
        <v>1035</v>
      </c>
      <c r="E359" s="11" t="s">
        <v>1037</v>
      </c>
      <c r="F359" s="12">
        <v>1729050</v>
      </c>
      <c r="G359" s="12">
        <v>1087215</v>
      </c>
      <c r="H359" s="11">
        <v>13.49</v>
      </c>
      <c r="I359" s="11">
        <v>48</v>
      </c>
      <c r="J359" s="11">
        <v>712</v>
      </c>
      <c r="K359" s="11" t="s">
        <v>1040</v>
      </c>
      <c r="L359" s="11" t="s">
        <v>1043</v>
      </c>
      <c r="M359" s="13">
        <v>43730</v>
      </c>
      <c r="N359" s="11" t="s">
        <v>1045</v>
      </c>
      <c r="O359" s="14">
        <f t="shared" si="26"/>
        <v>29432.359743315879</v>
      </c>
      <c r="P359" s="14">
        <f t="shared" si="27"/>
        <v>1412753.2676791623</v>
      </c>
      <c r="Q359" s="14">
        <f t="shared" si="28"/>
        <v>325538.26767916232</v>
      </c>
      <c r="R359" s="11">
        <f t="shared" ca="1" si="29"/>
        <v>6</v>
      </c>
      <c r="S359" s="11" t="str">
        <f t="shared" si="30"/>
        <v>700-749</v>
      </c>
    </row>
    <row r="360" spans="1:19" x14ac:dyDescent="0.3">
      <c r="A360" s="11" t="s">
        <v>372</v>
      </c>
      <c r="B360" s="11" t="s">
        <v>1027</v>
      </c>
      <c r="C360" s="11">
        <v>31</v>
      </c>
      <c r="D360" s="11" t="s">
        <v>1034</v>
      </c>
      <c r="E360" s="11" t="s">
        <v>1036</v>
      </c>
      <c r="F360" s="12">
        <v>1400389</v>
      </c>
      <c r="G360" s="12">
        <v>852564</v>
      </c>
      <c r="H360" s="11">
        <v>12.97</v>
      </c>
      <c r="I360" s="11">
        <v>84</v>
      </c>
      <c r="J360" s="11">
        <v>733</v>
      </c>
      <c r="K360" s="11" t="s">
        <v>1042</v>
      </c>
      <c r="L360" s="11" t="s">
        <v>1044</v>
      </c>
      <c r="M360" s="13">
        <v>44629</v>
      </c>
      <c r="N360" s="11" t="s">
        <v>1048</v>
      </c>
      <c r="O360" s="14">
        <f t="shared" si="26"/>
        <v>15495.911292138526</v>
      </c>
      <c r="P360" s="14">
        <f t="shared" si="27"/>
        <v>1301656.5485396362</v>
      </c>
      <c r="Q360" s="14">
        <f t="shared" si="28"/>
        <v>449092.54853963619</v>
      </c>
      <c r="R360" s="11">
        <f t="shared" ca="1" si="29"/>
        <v>3</v>
      </c>
      <c r="S360" s="11" t="str">
        <f t="shared" si="30"/>
        <v>700-749</v>
      </c>
    </row>
    <row r="361" spans="1:19" x14ac:dyDescent="0.3">
      <c r="A361" s="11" t="s">
        <v>373</v>
      </c>
      <c r="B361" s="11" t="s">
        <v>1029</v>
      </c>
      <c r="C361" s="11">
        <v>54</v>
      </c>
      <c r="D361" s="11" t="s">
        <v>1035</v>
      </c>
      <c r="E361" s="11" t="s">
        <v>1038</v>
      </c>
      <c r="F361" s="12">
        <v>960425</v>
      </c>
      <c r="G361" s="12">
        <v>1676616</v>
      </c>
      <c r="H361" s="11">
        <v>13.57</v>
      </c>
      <c r="I361" s="11">
        <v>36</v>
      </c>
      <c r="J361" s="11">
        <v>666</v>
      </c>
      <c r="K361" s="11" t="s">
        <v>1042</v>
      </c>
      <c r="L361" s="11" t="s">
        <v>1044</v>
      </c>
      <c r="M361" s="13">
        <v>43523</v>
      </c>
      <c r="N361" s="11" t="s">
        <v>1045</v>
      </c>
      <c r="O361" s="14">
        <f t="shared" si="26"/>
        <v>56953.228251500601</v>
      </c>
      <c r="P361" s="14">
        <f t="shared" si="27"/>
        <v>2050316.2170540215</v>
      </c>
      <c r="Q361" s="14">
        <f t="shared" si="28"/>
        <v>373700.21705402154</v>
      </c>
      <c r="R361" s="11">
        <f t="shared" ca="1" si="29"/>
        <v>6</v>
      </c>
      <c r="S361" s="11" t="str">
        <f t="shared" si="30"/>
        <v>650-699</v>
      </c>
    </row>
    <row r="362" spans="1:19" x14ac:dyDescent="0.3">
      <c r="A362" s="11" t="s">
        <v>374</v>
      </c>
      <c r="B362" s="11" t="s">
        <v>1017</v>
      </c>
      <c r="C362" s="11">
        <v>41</v>
      </c>
      <c r="D362" s="11" t="s">
        <v>1034</v>
      </c>
      <c r="E362" s="11" t="s">
        <v>1036</v>
      </c>
      <c r="F362" s="12">
        <v>1170980</v>
      </c>
      <c r="G362" s="12">
        <v>816588</v>
      </c>
      <c r="H362" s="11">
        <v>12.31</v>
      </c>
      <c r="I362" s="11">
        <v>84</v>
      </c>
      <c r="J362" s="11">
        <v>767</v>
      </c>
      <c r="K362" s="11" t="s">
        <v>1042</v>
      </c>
      <c r="L362" s="11" t="s">
        <v>1044</v>
      </c>
      <c r="M362" s="13">
        <v>44307</v>
      </c>
      <c r="N362" s="11" t="s">
        <v>1046</v>
      </c>
      <c r="O362" s="14">
        <f t="shared" si="26"/>
        <v>14550.735898010887</v>
      </c>
      <c r="P362" s="14">
        <f t="shared" si="27"/>
        <v>1222261.8154329145</v>
      </c>
      <c r="Q362" s="14">
        <f t="shared" si="28"/>
        <v>405673.81543291453</v>
      </c>
      <c r="R362" s="11">
        <f t="shared" ca="1" si="29"/>
        <v>4</v>
      </c>
      <c r="S362" s="11" t="str">
        <f t="shared" si="30"/>
        <v>750-799</v>
      </c>
    </row>
    <row r="363" spans="1:19" x14ac:dyDescent="0.3">
      <c r="A363" s="11" t="s">
        <v>375</v>
      </c>
      <c r="B363" s="11" t="s">
        <v>1022</v>
      </c>
      <c r="C363" s="11">
        <v>50</v>
      </c>
      <c r="D363" s="11" t="s">
        <v>1035</v>
      </c>
      <c r="E363" s="11" t="s">
        <v>1038</v>
      </c>
      <c r="F363" s="12">
        <v>1270415</v>
      </c>
      <c r="G363" s="12">
        <v>694125</v>
      </c>
      <c r="H363" s="11">
        <v>11.75</v>
      </c>
      <c r="I363" s="11">
        <v>84</v>
      </c>
      <c r="J363" s="11">
        <v>625</v>
      </c>
      <c r="K363" s="11" t="s">
        <v>1040</v>
      </c>
      <c r="L363" s="11" t="s">
        <v>1044</v>
      </c>
      <c r="M363" s="13">
        <v>44670</v>
      </c>
      <c r="N363" s="11" t="s">
        <v>1046</v>
      </c>
      <c r="O363" s="14">
        <f t="shared" si="26"/>
        <v>12160.59571891785</v>
      </c>
      <c r="P363" s="14">
        <f t="shared" si="27"/>
        <v>1021490.0403890994</v>
      </c>
      <c r="Q363" s="14">
        <f t="shared" si="28"/>
        <v>327365.04038909939</v>
      </c>
      <c r="R363" s="11">
        <f t="shared" ca="1" si="29"/>
        <v>3</v>
      </c>
      <c r="S363" s="11" t="str">
        <f t="shared" si="30"/>
        <v>600-649</v>
      </c>
    </row>
    <row r="364" spans="1:19" x14ac:dyDescent="0.3">
      <c r="A364" s="11" t="s">
        <v>376</v>
      </c>
      <c r="B364" s="11" t="s">
        <v>1016</v>
      </c>
      <c r="C364" s="11">
        <v>26</v>
      </c>
      <c r="D364" s="11" t="s">
        <v>1035</v>
      </c>
      <c r="E364" s="11" t="s">
        <v>1037</v>
      </c>
      <c r="F364" s="12">
        <v>1528293</v>
      </c>
      <c r="G364" s="12">
        <v>1988740</v>
      </c>
      <c r="H364" s="11">
        <v>9.39</v>
      </c>
      <c r="I364" s="11">
        <v>84</v>
      </c>
      <c r="J364" s="11">
        <v>798</v>
      </c>
      <c r="K364" s="11" t="s">
        <v>1039</v>
      </c>
      <c r="L364" s="11" t="s">
        <v>1044</v>
      </c>
      <c r="M364" s="13">
        <v>44559</v>
      </c>
      <c r="N364" s="11" t="s">
        <v>1047</v>
      </c>
      <c r="O364" s="14">
        <f t="shared" si="26"/>
        <v>32392.010971010317</v>
      </c>
      <c r="P364" s="14">
        <f t="shared" si="27"/>
        <v>2720928.9215648668</v>
      </c>
      <c r="Q364" s="14">
        <f t="shared" si="28"/>
        <v>732188.92156486679</v>
      </c>
      <c r="R364" s="11">
        <f t="shared" ca="1" si="29"/>
        <v>4</v>
      </c>
      <c r="S364" s="11" t="str">
        <f t="shared" si="30"/>
        <v>750-799</v>
      </c>
    </row>
    <row r="365" spans="1:19" x14ac:dyDescent="0.3">
      <c r="A365" s="11" t="s">
        <v>377</v>
      </c>
      <c r="B365" s="11" t="s">
        <v>1025</v>
      </c>
      <c r="C365" s="11">
        <v>53</v>
      </c>
      <c r="D365" s="11" t="s">
        <v>1035</v>
      </c>
      <c r="E365" s="11" t="s">
        <v>1038</v>
      </c>
      <c r="F365" s="12">
        <v>960579</v>
      </c>
      <c r="G365" s="12">
        <v>1261370</v>
      </c>
      <c r="H365" s="11">
        <v>11.99</v>
      </c>
      <c r="I365" s="11">
        <v>120</v>
      </c>
      <c r="J365" s="11">
        <v>788</v>
      </c>
      <c r="K365" s="11" t="s">
        <v>1039</v>
      </c>
      <c r="L365" s="11" t="s">
        <v>1044</v>
      </c>
      <c r="M365" s="13">
        <v>44241</v>
      </c>
      <c r="N365" s="11" t="s">
        <v>1047</v>
      </c>
      <c r="O365" s="14">
        <f t="shared" si="26"/>
        <v>18089.703984125681</v>
      </c>
      <c r="P365" s="14">
        <f t="shared" si="27"/>
        <v>2170764.4780950816</v>
      </c>
      <c r="Q365" s="14">
        <f t="shared" si="28"/>
        <v>909394.47809508163</v>
      </c>
      <c r="R365" s="11">
        <f t="shared" ca="1" si="29"/>
        <v>4</v>
      </c>
      <c r="S365" s="11" t="str">
        <f t="shared" si="30"/>
        <v>750-799</v>
      </c>
    </row>
    <row r="366" spans="1:19" x14ac:dyDescent="0.3">
      <c r="A366" s="11" t="s">
        <v>378</v>
      </c>
      <c r="B366" s="11" t="s">
        <v>1015</v>
      </c>
      <c r="C366" s="11">
        <v>38</v>
      </c>
      <c r="D366" s="11" t="s">
        <v>1034</v>
      </c>
      <c r="E366" s="11" t="s">
        <v>1036</v>
      </c>
      <c r="F366" s="12">
        <v>1746075</v>
      </c>
      <c r="G366" s="12">
        <v>312872</v>
      </c>
      <c r="H366" s="11">
        <v>11.34</v>
      </c>
      <c r="I366" s="11">
        <v>48</v>
      </c>
      <c r="J366" s="11">
        <v>795</v>
      </c>
      <c r="K366" s="11" t="s">
        <v>1040</v>
      </c>
      <c r="L366" s="11" t="s">
        <v>1044</v>
      </c>
      <c r="M366" s="13">
        <v>44461</v>
      </c>
      <c r="N366" s="11" t="s">
        <v>1047</v>
      </c>
      <c r="O366" s="14">
        <f t="shared" si="26"/>
        <v>8138.0971096485173</v>
      </c>
      <c r="P366" s="14">
        <f t="shared" si="27"/>
        <v>390628.66126312886</v>
      </c>
      <c r="Q366" s="14">
        <f t="shared" si="28"/>
        <v>77756.661263128859</v>
      </c>
      <c r="R366" s="11">
        <f t="shared" ca="1" si="29"/>
        <v>4</v>
      </c>
      <c r="S366" s="11" t="str">
        <f t="shared" si="30"/>
        <v>750-799</v>
      </c>
    </row>
    <row r="367" spans="1:19" x14ac:dyDescent="0.3">
      <c r="A367" s="11" t="s">
        <v>379</v>
      </c>
      <c r="B367" s="11" t="s">
        <v>1016</v>
      </c>
      <c r="C367" s="11">
        <v>44</v>
      </c>
      <c r="D367" s="11" t="s">
        <v>1034</v>
      </c>
      <c r="E367" s="11" t="s">
        <v>1037</v>
      </c>
      <c r="F367" s="12">
        <v>706324</v>
      </c>
      <c r="G367" s="12">
        <v>293449</v>
      </c>
      <c r="H367" s="11">
        <v>10.93</v>
      </c>
      <c r="I367" s="11">
        <v>48</v>
      </c>
      <c r="J367" s="11">
        <v>719</v>
      </c>
      <c r="K367" s="11" t="s">
        <v>1041</v>
      </c>
      <c r="L367" s="11" t="s">
        <v>1044</v>
      </c>
      <c r="M367" s="13">
        <v>45344</v>
      </c>
      <c r="N367" s="11" t="s">
        <v>1046</v>
      </c>
      <c r="O367" s="14">
        <f t="shared" si="26"/>
        <v>7574.3710898260069</v>
      </c>
      <c r="P367" s="14">
        <f t="shared" si="27"/>
        <v>363569.81231164833</v>
      </c>
      <c r="Q367" s="14">
        <f t="shared" si="28"/>
        <v>70120.812311648333</v>
      </c>
      <c r="R367" s="11">
        <f t="shared" ca="1" si="29"/>
        <v>1</v>
      </c>
      <c r="S367" s="11" t="str">
        <f t="shared" si="30"/>
        <v>700-749</v>
      </c>
    </row>
    <row r="368" spans="1:19" x14ac:dyDescent="0.3">
      <c r="A368" s="11" t="s">
        <v>380</v>
      </c>
      <c r="B368" s="11" t="s">
        <v>1023</v>
      </c>
      <c r="C368" s="11">
        <v>56</v>
      </c>
      <c r="D368" s="11" t="s">
        <v>1034</v>
      </c>
      <c r="E368" s="11" t="s">
        <v>1037</v>
      </c>
      <c r="F368" s="12">
        <v>447776</v>
      </c>
      <c r="G368" s="12">
        <v>747434</v>
      </c>
      <c r="H368" s="11">
        <v>8.92</v>
      </c>
      <c r="I368" s="11">
        <v>120</v>
      </c>
      <c r="J368" s="11">
        <v>703</v>
      </c>
      <c r="K368" s="11" t="s">
        <v>1039</v>
      </c>
      <c r="L368" s="11" t="s">
        <v>1044</v>
      </c>
      <c r="M368" s="13">
        <v>44602</v>
      </c>
      <c r="N368" s="11" t="s">
        <v>1046</v>
      </c>
      <c r="O368" s="14">
        <f t="shared" si="26"/>
        <v>9435.8476604212174</v>
      </c>
      <c r="P368" s="14">
        <f t="shared" si="27"/>
        <v>1132301.7192505461</v>
      </c>
      <c r="Q368" s="14">
        <f t="shared" si="28"/>
        <v>384867.71925054607</v>
      </c>
      <c r="R368" s="11">
        <f t="shared" ca="1" si="29"/>
        <v>3</v>
      </c>
      <c r="S368" s="11" t="str">
        <f t="shared" si="30"/>
        <v>700-749</v>
      </c>
    </row>
    <row r="369" spans="1:19" x14ac:dyDescent="0.3">
      <c r="A369" s="11" t="s">
        <v>381</v>
      </c>
      <c r="B369" s="11" t="s">
        <v>1033</v>
      </c>
      <c r="C369" s="11">
        <v>32</v>
      </c>
      <c r="D369" s="11" t="s">
        <v>1035</v>
      </c>
      <c r="E369" s="11" t="s">
        <v>1037</v>
      </c>
      <c r="F369" s="12">
        <v>1520815</v>
      </c>
      <c r="G369" s="12">
        <v>431482</v>
      </c>
      <c r="H369" s="11">
        <v>11.73</v>
      </c>
      <c r="I369" s="11">
        <v>48</v>
      </c>
      <c r="J369" s="11">
        <v>741</v>
      </c>
      <c r="K369" s="11" t="s">
        <v>1041</v>
      </c>
      <c r="L369" s="11" t="s">
        <v>1044</v>
      </c>
      <c r="M369" s="13">
        <v>44177</v>
      </c>
      <c r="N369" s="11" t="s">
        <v>1045</v>
      </c>
      <c r="O369" s="14">
        <f t="shared" si="26"/>
        <v>11305.459592676487</v>
      </c>
      <c r="P369" s="14">
        <f t="shared" si="27"/>
        <v>542662.06044847134</v>
      </c>
      <c r="Q369" s="14">
        <f t="shared" si="28"/>
        <v>111180.06044847134</v>
      </c>
      <c r="R369" s="11">
        <f t="shared" ca="1" si="29"/>
        <v>5</v>
      </c>
      <c r="S369" s="11" t="str">
        <f t="shared" si="30"/>
        <v>700-749</v>
      </c>
    </row>
    <row r="370" spans="1:19" x14ac:dyDescent="0.3">
      <c r="A370" s="11" t="s">
        <v>382</v>
      </c>
      <c r="B370" s="11" t="s">
        <v>1027</v>
      </c>
      <c r="C370" s="11">
        <v>51</v>
      </c>
      <c r="D370" s="11" t="s">
        <v>1034</v>
      </c>
      <c r="E370" s="11" t="s">
        <v>1038</v>
      </c>
      <c r="F370" s="12">
        <v>816154</v>
      </c>
      <c r="G370" s="12">
        <v>1372657</v>
      </c>
      <c r="H370" s="11">
        <v>7.55</v>
      </c>
      <c r="I370" s="11">
        <v>72</v>
      </c>
      <c r="J370" s="11">
        <v>716</v>
      </c>
      <c r="K370" s="11" t="s">
        <v>1040</v>
      </c>
      <c r="L370" s="11" t="s">
        <v>1043</v>
      </c>
      <c r="M370" s="13">
        <v>43490</v>
      </c>
      <c r="N370" s="11" t="s">
        <v>1048</v>
      </c>
      <c r="O370" s="14">
        <f t="shared" si="26"/>
        <v>23766.642072310377</v>
      </c>
      <c r="P370" s="14">
        <f t="shared" si="27"/>
        <v>1711198.2292063471</v>
      </c>
      <c r="Q370" s="14">
        <f t="shared" si="28"/>
        <v>338541.22920634714</v>
      </c>
      <c r="R370" s="11">
        <f t="shared" ca="1" si="29"/>
        <v>6</v>
      </c>
      <c r="S370" s="11" t="str">
        <f t="shared" si="30"/>
        <v>700-749</v>
      </c>
    </row>
    <row r="371" spans="1:19" x14ac:dyDescent="0.3">
      <c r="A371" s="11" t="s">
        <v>383</v>
      </c>
      <c r="B371" s="11" t="s">
        <v>1025</v>
      </c>
      <c r="C371" s="11">
        <v>54</v>
      </c>
      <c r="D371" s="11" t="s">
        <v>1035</v>
      </c>
      <c r="E371" s="11" t="s">
        <v>1036</v>
      </c>
      <c r="F371" s="12">
        <v>418730</v>
      </c>
      <c r="G371" s="12">
        <v>1740530</v>
      </c>
      <c r="H371" s="11">
        <v>9.66</v>
      </c>
      <c r="I371" s="11">
        <v>84</v>
      </c>
      <c r="J371" s="11">
        <v>660</v>
      </c>
      <c r="K371" s="11" t="s">
        <v>1042</v>
      </c>
      <c r="L371" s="11" t="s">
        <v>1044</v>
      </c>
      <c r="M371" s="13">
        <v>44320</v>
      </c>
      <c r="N371" s="11" t="s">
        <v>1045</v>
      </c>
      <c r="O371" s="14">
        <f t="shared" si="26"/>
        <v>28590.009972548629</v>
      </c>
      <c r="P371" s="14">
        <f t="shared" si="27"/>
        <v>2401560.8376940847</v>
      </c>
      <c r="Q371" s="14">
        <f t="shared" si="28"/>
        <v>661030.83769408474</v>
      </c>
      <c r="R371" s="11">
        <f t="shared" ca="1" si="29"/>
        <v>4</v>
      </c>
      <c r="S371" s="11" t="str">
        <f t="shared" si="30"/>
        <v>650-699</v>
      </c>
    </row>
    <row r="372" spans="1:19" x14ac:dyDescent="0.3">
      <c r="A372" s="11" t="s">
        <v>384</v>
      </c>
      <c r="B372" s="11" t="s">
        <v>1027</v>
      </c>
      <c r="C372" s="11">
        <v>42</v>
      </c>
      <c r="D372" s="11" t="s">
        <v>1034</v>
      </c>
      <c r="E372" s="11" t="s">
        <v>1036</v>
      </c>
      <c r="F372" s="12">
        <v>1135729</v>
      </c>
      <c r="G372" s="12">
        <v>1464574</v>
      </c>
      <c r="H372" s="11">
        <v>10.48</v>
      </c>
      <c r="I372" s="11">
        <v>72</v>
      </c>
      <c r="J372" s="11">
        <v>793</v>
      </c>
      <c r="K372" s="11" t="s">
        <v>1042</v>
      </c>
      <c r="L372" s="11" t="s">
        <v>1044</v>
      </c>
      <c r="M372" s="13">
        <v>43300</v>
      </c>
      <c r="N372" s="11" t="s">
        <v>1046</v>
      </c>
      <c r="O372" s="14">
        <f t="shared" si="26"/>
        <v>27488.306259053035</v>
      </c>
      <c r="P372" s="14">
        <f t="shared" si="27"/>
        <v>1979158.0506518185</v>
      </c>
      <c r="Q372" s="14">
        <f t="shared" si="28"/>
        <v>514584.05065181851</v>
      </c>
      <c r="R372" s="11">
        <f t="shared" ca="1" si="29"/>
        <v>7</v>
      </c>
      <c r="S372" s="11" t="str">
        <f t="shared" si="30"/>
        <v>750-799</v>
      </c>
    </row>
    <row r="373" spans="1:19" x14ac:dyDescent="0.3">
      <c r="A373" s="11" t="s">
        <v>385</v>
      </c>
      <c r="B373" s="11" t="s">
        <v>1017</v>
      </c>
      <c r="C373" s="11">
        <v>57</v>
      </c>
      <c r="D373" s="11" t="s">
        <v>1034</v>
      </c>
      <c r="E373" s="11" t="s">
        <v>1037</v>
      </c>
      <c r="F373" s="12">
        <v>1055774</v>
      </c>
      <c r="G373" s="12">
        <v>1271824</v>
      </c>
      <c r="H373" s="11">
        <v>7.55</v>
      </c>
      <c r="I373" s="11">
        <v>36</v>
      </c>
      <c r="J373" s="11">
        <v>660</v>
      </c>
      <c r="K373" s="11" t="s">
        <v>1042</v>
      </c>
      <c r="L373" s="11" t="s">
        <v>1044</v>
      </c>
      <c r="M373" s="13">
        <v>44673</v>
      </c>
      <c r="N373" s="11" t="s">
        <v>1045</v>
      </c>
      <c r="O373" s="14">
        <f t="shared" si="26"/>
        <v>39590.846799373663</v>
      </c>
      <c r="P373" s="14">
        <f t="shared" si="27"/>
        <v>1425270.484777452</v>
      </c>
      <c r="Q373" s="14">
        <f t="shared" si="28"/>
        <v>153446.48477745196</v>
      </c>
      <c r="R373" s="11">
        <f t="shared" ca="1" si="29"/>
        <v>3</v>
      </c>
      <c r="S373" s="11" t="str">
        <f t="shared" si="30"/>
        <v>650-699</v>
      </c>
    </row>
    <row r="374" spans="1:19" x14ac:dyDescent="0.3">
      <c r="A374" s="11" t="s">
        <v>386</v>
      </c>
      <c r="B374" s="11" t="s">
        <v>1027</v>
      </c>
      <c r="C374" s="11">
        <v>40</v>
      </c>
      <c r="D374" s="11" t="s">
        <v>1035</v>
      </c>
      <c r="E374" s="11" t="s">
        <v>1037</v>
      </c>
      <c r="F374" s="12">
        <v>608939</v>
      </c>
      <c r="G374" s="12">
        <v>413486</v>
      </c>
      <c r="H374" s="11">
        <v>12.96</v>
      </c>
      <c r="I374" s="11">
        <v>120</v>
      </c>
      <c r="J374" s="11">
        <v>692</v>
      </c>
      <c r="K374" s="11" t="s">
        <v>1041</v>
      </c>
      <c r="L374" s="11" t="s">
        <v>1044</v>
      </c>
      <c r="M374" s="13">
        <v>43675</v>
      </c>
      <c r="N374" s="11" t="s">
        <v>1045</v>
      </c>
      <c r="O374" s="14">
        <f t="shared" si="26"/>
        <v>6164.0385297661651</v>
      </c>
      <c r="P374" s="14">
        <f t="shared" si="27"/>
        <v>739684.62357193977</v>
      </c>
      <c r="Q374" s="14">
        <f t="shared" si="28"/>
        <v>326198.62357193977</v>
      </c>
      <c r="R374" s="11">
        <f t="shared" ca="1" si="29"/>
        <v>6</v>
      </c>
      <c r="S374" s="11" t="str">
        <f t="shared" si="30"/>
        <v>650-699</v>
      </c>
    </row>
    <row r="375" spans="1:19" x14ac:dyDescent="0.3">
      <c r="A375" s="11" t="s">
        <v>387</v>
      </c>
      <c r="B375" s="11" t="s">
        <v>1022</v>
      </c>
      <c r="C375" s="11">
        <v>58</v>
      </c>
      <c r="D375" s="11" t="s">
        <v>1034</v>
      </c>
      <c r="E375" s="11" t="s">
        <v>1036</v>
      </c>
      <c r="F375" s="12">
        <v>1164531</v>
      </c>
      <c r="G375" s="12">
        <v>1018590</v>
      </c>
      <c r="H375" s="11">
        <v>10.68</v>
      </c>
      <c r="I375" s="11">
        <v>72</v>
      </c>
      <c r="J375" s="11">
        <v>712</v>
      </c>
      <c r="K375" s="11" t="s">
        <v>1039</v>
      </c>
      <c r="L375" s="11" t="s">
        <v>1043</v>
      </c>
      <c r="M375" s="13">
        <v>43308</v>
      </c>
      <c r="N375" s="11" t="s">
        <v>1048</v>
      </c>
      <c r="O375" s="14">
        <f t="shared" si="26"/>
        <v>19221.386054750015</v>
      </c>
      <c r="P375" s="14">
        <f t="shared" si="27"/>
        <v>1383939.795942001</v>
      </c>
      <c r="Q375" s="14">
        <f t="shared" si="28"/>
        <v>365349.79594200104</v>
      </c>
      <c r="R375" s="11">
        <f t="shared" ca="1" si="29"/>
        <v>7</v>
      </c>
      <c r="S375" s="11" t="str">
        <f t="shared" si="30"/>
        <v>700-749</v>
      </c>
    </row>
    <row r="376" spans="1:19" x14ac:dyDescent="0.3">
      <c r="A376" s="11" t="s">
        <v>388</v>
      </c>
      <c r="B376" s="11" t="s">
        <v>1029</v>
      </c>
      <c r="C376" s="11">
        <v>39</v>
      </c>
      <c r="D376" s="11" t="s">
        <v>1035</v>
      </c>
      <c r="E376" s="11" t="s">
        <v>1037</v>
      </c>
      <c r="F376" s="12">
        <v>1355876</v>
      </c>
      <c r="G376" s="12">
        <v>1664799</v>
      </c>
      <c r="H376" s="11">
        <v>14.29</v>
      </c>
      <c r="I376" s="11">
        <v>48</v>
      </c>
      <c r="J376" s="11">
        <v>750</v>
      </c>
      <c r="K376" s="11" t="s">
        <v>1040</v>
      </c>
      <c r="L376" s="11" t="s">
        <v>1044</v>
      </c>
      <c r="M376" s="13">
        <v>43935</v>
      </c>
      <c r="N376" s="11" t="s">
        <v>1045</v>
      </c>
      <c r="O376" s="14">
        <f t="shared" si="26"/>
        <v>45735.644310043986</v>
      </c>
      <c r="P376" s="14">
        <f t="shared" si="27"/>
        <v>2195310.9268821115</v>
      </c>
      <c r="Q376" s="14">
        <f t="shared" si="28"/>
        <v>530511.92688211147</v>
      </c>
      <c r="R376" s="11">
        <f t="shared" ca="1" si="29"/>
        <v>5</v>
      </c>
      <c r="S376" s="11" t="str">
        <f t="shared" si="30"/>
        <v>750-799</v>
      </c>
    </row>
    <row r="377" spans="1:19" x14ac:dyDescent="0.3">
      <c r="A377" s="11" t="s">
        <v>389</v>
      </c>
      <c r="B377" s="11" t="s">
        <v>1016</v>
      </c>
      <c r="C377" s="11">
        <v>30</v>
      </c>
      <c r="D377" s="11" t="s">
        <v>1034</v>
      </c>
      <c r="E377" s="11" t="s">
        <v>1037</v>
      </c>
      <c r="F377" s="12">
        <v>1098988</v>
      </c>
      <c r="G377" s="12">
        <v>380417</v>
      </c>
      <c r="H377" s="11">
        <v>12.86</v>
      </c>
      <c r="I377" s="11">
        <v>48</v>
      </c>
      <c r="J377" s="11">
        <v>613</v>
      </c>
      <c r="K377" s="11" t="s">
        <v>1041</v>
      </c>
      <c r="L377" s="11" t="s">
        <v>1044</v>
      </c>
      <c r="M377" s="13">
        <v>45396</v>
      </c>
      <c r="N377" s="11" t="s">
        <v>1046</v>
      </c>
      <c r="O377" s="14">
        <f t="shared" si="26"/>
        <v>10179.221866559446</v>
      </c>
      <c r="P377" s="14">
        <f t="shared" si="27"/>
        <v>488602.6495948534</v>
      </c>
      <c r="Q377" s="14">
        <f t="shared" si="28"/>
        <v>108185.6495948534</v>
      </c>
      <c r="R377" s="11">
        <f t="shared" ca="1" si="29"/>
        <v>1</v>
      </c>
      <c r="S377" s="11" t="str">
        <f t="shared" si="30"/>
        <v>600-649</v>
      </c>
    </row>
    <row r="378" spans="1:19" x14ac:dyDescent="0.3">
      <c r="A378" s="11" t="s">
        <v>390</v>
      </c>
      <c r="B378" s="11" t="s">
        <v>1020</v>
      </c>
      <c r="C378" s="11">
        <v>25</v>
      </c>
      <c r="D378" s="11" t="s">
        <v>1034</v>
      </c>
      <c r="E378" s="11" t="s">
        <v>1036</v>
      </c>
      <c r="F378" s="12">
        <v>1192489</v>
      </c>
      <c r="G378" s="12">
        <v>1893564</v>
      </c>
      <c r="H378" s="11">
        <v>13.76</v>
      </c>
      <c r="I378" s="11">
        <v>60</v>
      </c>
      <c r="J378" s="11">
        <v>652</v>
      </c>
      <c r="K378" s="11" t="s">
        <v>1041</v>
      </c>
      <c r="L378" s="11" t="s">
        <v>1044</v>
      </c>
      <c r="M378" s="13">
        <v>43998</v>
      </c>
      <c r="N378" s="11" t="s">
        <v>1048</v>
      </c>
      <c r="O378" s="14">
        <f t="shared" si="26"/>
        <v>43824.670359390671</v>
      </c>
      <c r="P378" s="14">
        <f t="shared" si="27"/>
        <v>2629480.2215634403</v>
      </c>
      <c r="Q378" s="14">
        <f t="shared" si="28"/>
        <v>735916.22156344028</v>
      </c>
      <c r="R378" s="11">
        <f t="shared" ca="1" si="29"/>
        <v>5</v>
      </c>
      <c r="S378" s="11" t="str">
        <f t="shared" si="30"/>
        <v>650-699</v>
      </c>
    </row>
    <row r="379" spans="1:19" x14ac:dyDescent="0.3">
      <c r="A379" s="11" t="s">
        <v>391</v>
      </c>
      <c r="B379" s="11" t="s">
        <v>1033</v>
      </c>
      <c r="C379" s="11">
        <v>36</v>
      </c>
      <c r="D379" s="11" t="s">
        <v>1035</v>
      </c>
      <c r="E379" s="11" t="s">
        <v>1037</v>
      </c>
      <c r="F379" s="12">
        <v>1800083</v>
      </c>
      <c r="G379" s="12">
        <v>582890</v>
      </c>
      <c r="H379" s="11">
        <v>12.29</v>
      </c>
      <c r="I379" s="11">
        <v>96</v>
      </c>
      <c r="J379" s="11">
        <v>702</v>
      </c>
      <c r="K379" s="11" t="s">
        <v>1039</v>
      </c>
      <c r="L379" s="11" t="s">
        <v>1044</v>
      </c>
      <c r="M379" s="13">
        <v>43791</v>
      </c>
      <c r="N379" s="11" t="s">
        <v>1046</v>
      </c>
      <c r="O379" s="14">
        <f t="shared" si="26"/>
        <v>9566.7399827784902</v>
      </c>
      <c r="P379" s="14">
        <f t="shared" si="27"/>
        <v>918407.03834673506</v>
      </c>
      <c r="Q379" s="14">
        <f t="shared" si="28"/>
        <v>335517.03834673506</v>
      </c>
      <c r="R379" s="11">
        <f t="shared" ca="1" si="29"/>
        <v>6</v>
      </c>
      <c r="S379" s="11" t="str">
        <f t="shared" si="30"/>
        <v>700-749</v>
      </c>
    </row>
    <row r="380" spans="1:19" x14ac:dyDescent="0.3">
      <c r="A380" s="11" t="s">
        <v>392</v>
      </c>
      <c r="B380" s="11" t="s">
        <v>1014</v>
      </c>
      <c r="C380" s="11">
        <v>58</v>
      </c>
      <c r="D380" s="11" t="s">
        <v>1035</v>
      </c>
      <c r="E380" s="11" t="s">
        <v>1038</v>
      </c>
      <c r="F380" s="12">
        <v>1351835</v>
      </c>
      <c r="G380" s="12">
        <v>1525618</v>
      </c>
      <c r="H380" s="11">
        <v>10.8</v>
      </c>
      <c r="I380" s="11">
        <v>84</v>
      </c>
      <c r="J380" s="11">
        <v>722</v>
      </c>
      <c r="K380" s="11" t="s">
        <v>1041</v>
      </c>
      <c r="L380" s="11" t="s">
        <v>1044</v>
      </c>
      <c r="M380" s="13">
        <v>44536</v>
      </c>
      <c r="N380" s="11" t="s">
        <v>1045</v>
      </c>
      <c r="O380" s="14">
        <f t="shared" si="26"/>
        <v>25962.141836133971</v>
      </c>
      <c r="P380" s="14">
        <f t="shared" si="27"/>
        <v>2180819.9142352534</v>
      </c>
      <c r="Q380" s="14">
        <f t="shared" si="28"/>
        <v>655201.91423525335</v>
      </c>
      <c r="R380" s="11">
        <f t="shared" ca="1" si="29"/>
        <v>4</v>
      </c>
      <c r="S380" s="11" t="str">
        <f t="shared" si="30"/>
        <v>700-749</v>
      </c>
    </row>
    <row r="381" spans="1:19" x14ac:dyDescent="0.3">
      <c r="A381" s="11" t="s">
        <v>393</v>
      </c>
      <c r="B381" s="11" t="s">
        <v>1025</v>
      </c>
      <c r="C381" s="11">
        <v>40</v>
      </c>
      <c r="D381" s="11" t="s">
        <v>1034</v>
      </c>
      <c r="E381" s="11" t="s">
        <v>1038</v>
      </c>
      <c r="F381" s="12">
        <v>1236570</v>
      </c>
      <c r="G381" s="12">
        <v>883046</v>
      </c>
      <c r="H381" s="11">
        <v>14.3</v>
      </c>
      <c r="I381" s="11">
        <v>72</v>
      </c>
      <c r="J381" s="11">
        <v>724</v>
      </c>
      <c r="K381" s="11" t="s">
        <v>1040</v>
      </c>
      <c r="L381" s="11" t="s">
        <v>1044</v>
      </c>
      <c r="M381" s="13">
        <v>44196</v>
      </c>
      <c r="N381" s="11" t="s">
        <v>1045</v>
      </c>
      <c r="O381" s="14">
        <f t="shared" si="26"/>
        <v>18337.971964652148</v>
      </c>
      <c r="P381" s="14">
        <f t="shared" si="27"/>
        <v>1320333.9814549547</v>
      </c>
      <c r="Q381" s="14">
        <f t="shared" si="28"/>
        <v>437287.98145495472</v>
      </c>
      <c r="R381" s="11">
        <f t="shared" ca="1" si="29"/>
        <v>5</v>
      </c>
      <c r="S381" s="11" t="str">
        <f t="shared" si="30"/>
        <v>700-749</v>
      </c>
    </row>
    <row r="382" spans="1:19" x14ac:dyDescent="0.3">
      <c r="A382" s="11" t="s">
        <v>394</v>
      </c>
      <c r="B382" s="11" t="s">
        <v>1027</v>
      </c>
      <c r="C382" s="11">
        <v>26</v>
      </c>
      <c r="D382" s="11" t="s">
        <v>1035</v>
      </c>
      <c r="E382" s="11" t="s">
        <v>1038</v>
      </c>
      <c r="F382" s="12">
        <v>603443</v>
      </c>
      <c r="G382" s="12">
        <v>1109719</v>
      </c>
      <c r="H382" s="11">
        <v>10.94</v>
      </c>
      <c r="I382" s="11">
        <v>120</v>
      </c>
      <c r="J382" s="11">
        <v>786</v>
      </c>
      <c r="K382" s="11" t="s">
        <v>1041</v>
      </c>
      <c r="L382" s="11" t="s">
        <v>1044</v>
      </c>
      <c r="M382" s="13">
        <v>43582</v>
      </c>
      <c r="N382" s="11" t="s">
        <v>1046</v>
      </c>
      <c r="O382" s="14">
        <f t="shared" si="26"/>
        <v>15248.715000800888</v>
      </c>
      <c r="P382" s="14">
        <f t="shared" si="27"/>
        <v>1829845.8000961067</v>
      </c>
      <c r="Q382" s="14">
        <f t="shared" si="28"/>
        <v>720126.80009610672</v>
      </c>
      <c r="R382" s="11">
        <f t="shared" ca="1" si="29"/>
        <v>6</v>
      </c>
      <c r="S382" s="11" t="str">
        <f t="shared" si="30"/>
        <v>750-799</v>
      </c>
    </row>
    <row r="383" spans="1:19" x14ac:dyDescent="0.3">
      <c r="A383" s="11" t="s">
        <v>395</v>
      </c>
      <c r="B383" s="11" t="s">
        <v>1023</v>
      </c>
      <c r="C383" s="11">
        <v>46</v>
      </c>
      <c r="D383" s="11" t="s">
        <v>1034</v>
      </c>
      <c r="E383" s="11" t="s">
        <v>1037</v>
      </c>
      <c r="F383" s="12">
        <v>1847214</v>
      </c>
      <c r="G383" s="12">
        <v>701986</v>
      </c>
      <c r="H383" s="11">
        <v>12.42</v>
      </c>
      <c r="I383" s="11">
        <v>84</v>
      </c>
      <c r="J383" s="11">
        <v>631</v>
      </c>
      <c r="K383" s="11" t="s">
        <v>1039</v>
      </c>
      <c r="L383" s="11" t="s">
        <v>1044</v>
      </c>
      <c r="M383" s="13">
        <v>45478</v>
      </c>
      <c r="N383" s="11" t="s">
        <v>1046</v>
      </c>
      <c r="O383" s="14">
        <f t="shared" si="26"/>
        <v>12550.195569985674</v>
      </c>
      <c r="P383" s="14">
        <f t="shared" si="27"/>
        <v>1054216.4278787966</v>
      </c>
      <c r="Q383" s="14">
        <f t="shared" si="28"/>
        <v>352230.42787879659</v>
      </c>
      <c r="R383" s="11">
        <f t="shared" ca="1" si="29"/>
        <v>1</v>
      </c>
      <c r="S383" s="11" t="str">
        <f t="shared" si="30"/>
        <v>600-649</v>
      </c>
    </row>
    <row r="384" spans="1:19" x14ac:dyDescent="0.3">
      <c r="A384" s="11" t="s">
        <v>396</v>
      </c>
      <c r="B384" s="11" t="s">
        <v>1031</v>
      </c>
      <c r="C384" s="11">
        <v>40</v>
      </c>
      <c r="D384" s="11" t="s">
        <v>1034</v>
      </c>
      <c r="E384" s="11" t="s">
        <v>1038</v>
      </c>
      <c r="F384" s="12">
        <v>1180456</v>
      </c>
      <c r="G384" s="12">
        <v>1190563</v>
      </c>
      <c r="H384" s="11">
        <v>11.68</v>
      </c>
      <c r="I384" s="11">
        <v>36</v>
      </c>
      <c r="J384" s="11">
        <v>833</v>
      </c>
      <c r="K384" s="11" t="s">
        <v>1042</v>
      </c>
      <c r="L384" s="11" t="s">
        <v>1044</v>
      </c>
      <c r="M384" s="13">
        <v>44561</v>
      </c>
      <c r="N384" s="11" t="s">
        <v>1048</v>
      </c>
      <c r="O384" s="14">
        <f t="shared" si="26"/>
        <v>39362.011635647592</v>
      </c>
      <c r="P384" s="14">
        <f t="shared" si="27"/>
        <v>1417032.4188833134</v>
      </c>
      <c r="Q384" s="14">
        <f t="shared" si="28"/>
        <v>226469.41888331342</v>
      </c>
      <c r="R384" s="11">
        <f t="shared" ca="1" si="29"/>
        <v>4</v>
      </c>
      <c r="S384" s="11" t="str">
        <f t="shared" si="30"/>
        <v>800-850</v>
      </c>
    </row>
    <row r="385" spans="1:19" x14ac:dyDescent="0.3">
      <c r="A385" s="11" t="s">
        <v>397</v>
      </c>
      <c r="B385" s="11" t="s">
        <v>1025</v>
      </c>
      <c r="C385" s="11">
        <v>56</v>
      </c>
      <c r="D385" s="11" t="s">
        <v>1035</v>
      </c>
      <c r="E385" s="11" t="s">
        <v>1038</v>
      </c>
      <c r="F385" s="12">
        <v>1156929</v>
      </c>
      <c r="G385" s="12">
        <v>1123698</v>
      </c>
      <c r="H385" s="11">
        <v>12.04</v>
      </c>
      <c r="I385" s="11">
        <v>72</v>
      </c>
      <c r="J385" s="11">
        <v>756</v>
      </c>
      <c r="K385" s="11" t="s">
        <v>1041</v>
      </c>
      <c r="L385" s="11" t="s">
        <v>1044</v>
      </c>
      <c r="M385" s="13">
        <v>44127</v>
      </c>
      <c r="N385" s="11" t="s">
        <v>1048</v>
      </c>
      <c r="O385" s="14">
        <f t="shared" si="26"/>
        <v>21991.893297605799</v>
      </c>
      <c r="P385" s="14">
        <f t="shared" si="27"/>
        <v>1583416.3174276175</v>
      </c>
      <c r="Q385" s="14">
        <f t="shared" si="28"/>
        <v>459718.3174276175</v>
      </c>
      <c r="R385" s="11">
        <f t="shared" ca="1" si="29"/>
        <v>5</v>
      </c>
      <c r="S385" s="11" t="str">
        <f t="shared" si="30"/>
        <v>750-799</v>
      </c>
    </row>
    <row r="386" spans="1:19" x14ac:dyDescent="0.3">
      <c r="A386" s="11" t="s">
        <v>398</v>
      </c>
      <c r="B386" s="11" t="s">
        <v>1015</v>
      </c>
      <c r="C386" s="11">
        <v>41</v>
      </c>
      <c r="D386" s="11" t="s">
        <v>1034</v>
      </c>
      <c r="E386" s="11" t="s">
        <v>1037</v>
      </c>
      <c r="F386" s="12">
        <v>352128</v>
      </c>
      <c r="G386" s="12">
        <v>856232</v>
      </c>
      <c r="H386" s="11">
        <v>12.64</v>
      </c>
      <c r="I386" s="11">
        <v>72</v>
      </c>
      <c r="J386" s="11">
        <v>685</v>
      </c>
      <c r="K386" s="11" t="s">
        <v>1039</v>
      </c>
      <c r="L386" s="11" t="s">
        <v>1044</v>
      </c>
      <c r="M386" s="13">
        <v>45260</v>
      </c>
      <c r="N386" s="11" t="s">
        <v>1048</v>
      </c>
      <c r="O386" s="14">
        <f t="shared" si="26"/>
        <v>17025.833360310215</v>
      </c>
      <c r="P386" s="14">
        <f t="shared" si="27"/>
        <v>1225860.0019423354</v>
      </c>
      <c r="Q386" s="14">
        <f t="shared" si="28"/>
        <v>369628.0019423354</v>
      </c>
      <c r="R386" s="11">
        <f t="shared" ca="1" si="29"/>
        <v>2</v>
      </c>
      <c r="S386" s="11" t="str">
        <f t="shared" si="30"/>
        <v>650-699</v>
      </c>
    </row>
    <row r="387" spans="1:19" x14ac:dyDescent="0.3">
      <c r="A387" s="11" t="s">
        <v>399</v>
      </c>
      <c r="B387" s="11" t="s">
        <v>1014</v>
      </c>
      <c r="C387" s="11">
        <v>48</v>
      </c>
      <c r="D387" s="11" t="s">
        <v>1035</v>
      </c>
      <c r="E387" s="11" t="s">
        <v>1038</v>
      </c>
      <c r="F387" s="12">
        <v>1918102</v>
      </c>
      <c r="G387" s="12">
        <v>1761761</v>
      </c>
      <c r="H387" s="11">
        <v>11.86</v>
      </c>
      <c r="I387" s="11">
        <v>48</v>
      </c>
      <c r="J387" s="11">
        <v>693</v>
      </c>
      <c r="K387" s="11" t="s">
        <v>1040</v>
      </c>
      <c r="L387" s="11" t="s">
        <v>1043</v>
      </c>
      <c r="M387" s="13">
        <v>44825</v>
      </c>
      <c r="N387" s="11" t="s">
        <v>1045</v>
      </c>
      <c r="O387" s="14">
        <f t="shared" ref="O387:O450" si="31">PMT(H387/1200,I387,-G387)</f>
        <v>46272.915340264066</v>
      </c>
      <c r="P387" s="14">
        <f t="shared" ref="P387:P450" si="32">O387*I387</f>
        <v>2221099.9363326752</v>
      </c>
      <c r="Q387" s="14">
        <f t="shared" ref="Q387:Q450" si="33">P387-G387</f>
        <v>459338.93633267516</v>
      </c>
      <c r="R387" s="11">
        <f t="shared" ref="R387:R450" ca="1" si="34">(YEAR(TODAY())-YEAR(M387))</f>
        <v>3</v>
      </c>
      <c r="S387" s="11" t="str">
        <f t="shared" ref="S387:S450" si="35">IF(J387&lt;650,"600-649",
IF(J387&lt;700,"650-699",
IF(J387&lt;750,"700-749",
IF(J387&lt;800,"750-799","800-850"))))</f>
        <v>650-699</v>
      </c>
    </row>
    <row r="388" spans="1:19" x14ac:dyDescent="0.3">
      <c r="A388" s="11" t="s">
        <v>400</v>
      </c>
      <c r="B388" s="11" t="s">
        <v>1033</v>
      </c>
      <c r="C388" s="11">
        <v>27</v>
      </c>
      <c r="D388" s="11" t="s">
        <v>1034</v>
      </c>
      <c r="E388" s="11" t="s">
        <v>1038</v>
      </c>
      <c r="F388" s="12">
        <v>357960</v>
      </c>
      <c r="G388" s="12">
        <v>994659</v>
      </c>
      <c r="H388" s="11">
        <v>11.66</v>
      </c>
      <c r="I388" s="11">
        <v>84</v>
      </c>
      <c r="J388" s="11">
        <v>672</v>
      </c>
      <c r="K388" s="11" t="s">
        <v>1040</v>
      </c>
      <c r="L388" s="11" t="s">
        <v>1044</v>
      </c>
      <c r="M388" s="13">
        <v>43902</v>
      </c>
      <c r="N388" s="11" t="s">
        <v>1047</v>
      </c>
      <c r="O388" s="14">
        <f t="shared" si="31"/>
        <v>17378.109098151839</v>
      </c>
      <c r="P388" s="14">
        <f t="shared" si="32"/>
        <v>1459761.1642447545</v>
      </c>
      <c r="Q388" s="14">
        <f t="shared" si="33"/>
        <v>465102.16424475447</v>
      </c>
      <c r="R388" s="11">
        <f t="shared" ca="1" si="34"/>
        <v>5</v>
      </c>
      <c r="S388" s="11" t="str">
        <f t="shared" si="35"/>
        <v>650-699</v>
      </c>
    </row>
    <row r="389" spans="1:19" x14ac:dyDescent="0.3">
      <c r="A389" s="11" t="s">
        <v>401</v>
      </c>
      <c r="B389" s="11" t="s">
        <v>1024</v>
      </c>
      <c r="C389" s="11">
        <v>57</v>
      </c>
      <c r="D389" s="11" t="s">
        <v>1034</v>
      </c>
      <c r="E389" s="11" t="s">
        <v>1036</v>
      </c>
      <c r="F389" s="12">
        <v>1864590</v>
      </c>
      <c r="G389" s="12">
        <v>1060883</v>
      </c>
      <c r="H389" s="11">
        <v>9.59</v>
      </c>
      <c r="I389" s="11">
        <v>72</v>
      </c>
      <c r="J389" s="11">
        <v>721</v>
      </c>
      <c r="K389" s="11" t="s">
        <v>1040</v>
      </c>
      <c r="L389" s="11" t="s">
        <v>1044</v>
      </c>
      <c r="M389" s="13">
        <v>44330</v>
      </c>
      <c r="N389" s="11" t="s">
        <v>1045</v>
      </c>
      <c r="O389" s="14">
        <f t="shared" si="31"/>
        <v>19435.11175336198</v>
      </c>
      <c r="P389" s="14">
        <f t="shared" si="32"/>
        <v>1399328.0462420625</v>
      </c>
      <c r="Q389" s="14">
        <f t="shared" si="33"/>
        <v>338445.04624206247</v>
      </c>
      <c r="R389" s="11">
        <f t="shared" ca="1" si="34"/>
        <v>4</v>
      </c>
      <c r="S389" s="11" t="str">
        <f t="shared" si="35"/>
        <v>700-749</v>
      </c>
    </row>
    <row r="390" spans="1:19" x14ac:dyDescent="0.3">
      <c r="A390" s="11" t="s">
        <v>402</v>
      </c>
      <c r="B390" s="11" t="s">
        <v>1031</v>
      </c>
      <c r="C390" s="11">
        <v>36</v>
      </c>
      <c r="D390" s="11" t="s">
        <v>1035</v>
      </c>
      <c r="E390" s="11" t="s">
        <v>1037</v>
      </c>
      <c r="F390" s="12">
        <v>1596091</v>
      </c>
      <c r="G390" s="12">
        <v>1740411</v>
      </c>
      <c r="H390" s="11">
        <v>12.68</v>
      </c>
      <c r="I390" s="11">
        <v>60</v>
      </c>
      <c r="J390" s="11">
        <v>627</v>
      </c>
      <c r="K390" s="11" t="s">
        <v>1040</v>
      </c>
      <c r="L390" s="11" t="s">
        <v>1044</v>
      </c>
      <c r="M390" s="13">
        <v>45148</v>
      </c>
      <c r="N390" s="11" t="s">
        <v>1045</v>
      </c>
      <c r="O390" s="14">
        <f t="shared" si="31"/>
        <v>39315.184245221353</v>
      </c>
      <c r="P390" s="14">
        <f t="shared" si="32"/>
        <v>2358911.0547132813</v>
      </c>
      <c r="Q390" s="14">
        <f t="shared" si="33"/>
        <v>618500.05471328134</v>
      </c>
      <c r="R390" s="11">
        <f t="shared" ca="1" si="34"/>
        <v>2</v>
      </c>
      <c r="S390" s="11" t="str">
        <f t="shared" si="35"/>
        <v>600-649</v>
      </c>
    </row>
    <row r="391" spans="1:19" x14ac:dyDescent="0.3">
      <c r="A391" s="11" t="s">
        <v>403</v>
      </c>
      <c r="B391" s="11" t="s">
        <v>1024</v>
      </c>
      <c r="C391" s="11">
        <v>36</v>
      </c>
      <c r="D391" s="11" t="s">
        <v>1034</v>
      </c>
      <c r="E391" s="11" t="s">
        <v>1037</v>
      </c>
      <c r="F391" s="12">
        <v>785800</v>
      </c>
      <c r="G391" s="12">
        <v>371359</v>
      </c>
      <c r="H391" s="11">
        <v>11.76</v>
      </c>
      <c r="I391" s="11">
        <v>60</v>
      </c>
      <c r="J391" s="11">
        <v>784</v>
      </c>
      <c r="K391" s="11" t="s">
        <v>1039</v>
      </c>
      <c r="L391" s="11" t="s">
        <v>1044</v>
      </c>
      <c r="M391" s="13">
        <v>45345</v>
      </c>
      <c r="N391" s="11" t="s">
        <v>1047</v>
      </c>
      <c r="O391" s="14">
        <f t="shared" si="31"/>
        <v>8215.7081137355635</v>
      </c>
      <c r="P391" s="14">
        <f t="shared" si="32"/>
        <v>492942.48682413378</v>
      </c>
      <c r="Q391" s="14">
        <f t="shared" si="33"/>
        <v>121583.48682413378</v>
      </c>
      <c r="R391" s="11">
        <f t="shared" ca="1" si="34"/>
        <v>1</v>
      </c>
      <c r="S391" s="11" t="str">
        <f t="shared" si="35"/>
        <v>750-799</v>
      </c>
    </row>
    <row r="392" spans="1:19" x14ac:dyDescent="0.3">
      <c r="A392" s="11" t="s">
        <v>404</v>
      </c>
      <c r="B392" s="11" t="s">
        <v>1014</v>
      </c>
      <c r="C392" s="11">
        <v>42</v>
      </c>
      <c r="D392" s="11" t="s">
        <v>1034</v>
      </c>
      <c r="E392" s="11" t="s">
        <v>1037</v>
      </c>
      <c r="F392" s="12">
        <v>1894137</v>
      </c>
      <c r="G392" s="12">
        <v>265275</v>
      </c>
      <c r="H392" s="11">
        <v>10.56</v>
      </c>
      <c r="I392" s="11">
        <v>36</v>
      </c>
      <c r="J392" s="11">
        <v>682</v>
      </c>
      <c r="K392" s="11" t="s">
        <v>1041</v>
      </c>
      <c r="L392" s="11" t="s">
        <v>1044</v>
      </c>
      <c r="M392" s="13">
        <v>43246</v>
      </c>
      <c r="N392" s="11" t="s">
        <v>1047</v>
      </c>
      <c r="O392" s="14">
        <f t="shared" si="31"/>
        <v>8629.5927580071893</v>
      </c>
      <c r="P392" s="14">
        <f t="shared" si="32"/>
        <v>310665.33928825881</v>
      </c>
      <c r="Q392" s="14">
        <f t="shared" si="33"/>
        <v>45390.339288258809</v>
      </c>
      <c r="R392" s="11">
        <f t="shared" ca="1" si="34"/>
        <v>7</v>
      </c>
      <c r="S392" s="11" t="str">
        <f t="shared" si="35"/>
        <v>650-699</v>
      </c>
    </row>
    <row r="393" spans="1:19" x14ac:dyDescent="0.3">
      <c r="A393" s="11" t="s">
        <v>405</v>
      </c>
      <c r="B393" s="11" t="s">
        <v>1018</v>
      </c>
      <c r="C393" s="11">
        <v>35</v>
      </c>
      <c r="D393" s="11" t="s">
        <v>1034</v>
      </c>
      <c r="E393" s="11" t="s">
        <v>1038</v>
      </c>
      <c r="F393" s="12">
        <v>1680482</v>
      </c>
      <c r="G393" s="12">
        <v>1778071</v>
      </c>
      <c r="H393" s="11">
        <v>12.95</v>
      </c>
      <c r="I393" s="11">
        <v>60</v>
      </c>
      <c r="J393" s="11">
        <v>806</v>
      </c>
      <c r="K393" s="11" t="s">
        <v>1040</v>
      </c>
      <c r="L393" s="11" t="s">
        <v>1044</v>
      </c>
      <c r="M393" s="13">
        <v>45364</v>
      </c>
      <c r="N393" s="11" t="s">
        <v>1047</v>
      </c>
      <c r="O393" s="14">
        <f t="shared" si="31"/>
        <v>40411.083302592495</v>
      </c>
      <c r="P393" s="14">
        <f t="shared" si="32"/>
        <v>2424664.9981555496</v>
      </c>
      <c r="Q393" s="14">
        <f t="shared" si="33"/>
        <v>646593.99815554963</v>
      </c>
      <c r="R393" s="11">
        <f t="shared" ca="1" si="34"/>
        <v>1</v>
      </c>
      <c r="S393" s="11" t="str">
        <f t="shared" si="35"/>
        <v>800-850</v>
      </c>
    </row>
    <row r="394" spans="1:19" x14ac:dyDescent="0.3">
      <c r="A394" s="11" t="s">
        <v>406</v>
      </c>
      <c r="B394" s="11" t="s">
        <v>1014</v>
      </c>
      <c r="C394" s="11">
        <v>36</v>
      </c>
      <c r="D394" s="11" t="s">
        <v>1034</v>
      </c>
      <c r="E394" s="11" t="s">
        <v>1038</v>
      </c>
      <c r="F394" s="12">
        <v>743527</v>
      </c>
      <c r="G394" s="12">
        <v>929103</v>
      </c>
      <c r="H394" s="11">
        <v>10.98</v>
      </c>
      <c r="I394" s="11">
        <v>120</v>
      </c>
      <c r="J394" s="11">
        <v>623</v>
      </c>
      <c r="K394" s="11" t="s">
        <v>1041</v>
      </c>
      <c r="L394" s="11" t="s">
        <v>1044</v>
      </c>
      <c r="M394" s="13">
        <v>44917</v>
      </c>
      <c r="N394" s="11" t="s">
        <v>1047</v>
      </c>
      <c r="O394" s="14">
        <f t="shared" si="31"/>
        <v>12787.878646953821</v>
      </c>
      <c r="P394" s="14">
        <f t="shared" si="32"/>
        <v>1534545.4376344585</v>
      </c>
      <c r="Q394" s="14">
        <f t="shared" si="33"/>
        <v>605442.43763445853</v>
      </c>
      <c r="R394" s="11">
        <f t="shared" ca="1" si="34"/>
        <v>3</v>
      </c>
      <c r="S394" s="11" t="str">
        <f t="shared" si="35"/>
        <v>600-649</v>
      </c>
    </row>
    <row r="395" spans="1:19" x14ac:dyDescent="0.3">
      <c r="A395" s="11" t="s">
        <v>407</v>
      </c>
      <c r="B395" s="11" t="s">
        <v>1027</v>
      </c>
      <c r="C395" s="11">
        <v>47</v>
      </c>
      <c r="D395" s="11" t="s">
        <v>1034</v>
      </c>
      <c r="E395" s="11" t="s">
        <v>1036</v>
      </c>
      <c r="F395" s="12">
        <v>522110</v>
      </c>
      <c r="G395" s="12">
        <v>284229</v>
      </c>
      <c r="H395" s="11">
        <v>11.2</v>
      </c>
      <c r="I395" s="11">
        <v>96</v>
      </c>
      <c r="J395" s="11">
        <v>757</v>
      </c>
      <c r="K395" s="11" t="s">
        <v>1042</v>
      </c>
      <c r="L395" s="11" t="s">
        <v>1044</v>
      </c>
      <c r="M395" s="13">
        <v>44952</v>
      </c>
      <c r="N395" s="11" t="s">
        <v>1047</v>
      </c>
      <c r="O395" s="14">
        <f t="shared" si="31"/>
        <v>4495.5083585897</v>
      </c>
      <c r="P395" s="14">
        <f t="shared" si="32"/>
        <v>431568.80242461117</v>
      </c>
      <c r="Q395" s="14">
        <f t="shared" si="33"/>
        <v>147339.80242461117</v>
      </c>
      <c r="R395" s="11">
        <f t="shared" ca="1" si="34"/>
        <v>2</v>
      </c>
      <c r="S395" s="11" t="str">
        <f t="shared" si="35"/>
        <v>750-799</v>
      </c>
    </row>
    <row r="396" spans="1:19" x14ac:dyDescent="0.3">
      <c r="A396" s="11" t="s">
        <v>408</v>
      </c>
      <c r="B396" s="11" t="s">
        <v>1014</v>
      </c>
      <c r="C396" s="11">
        <v>57</v>
      </c>
      <c r="D396" s="11" t="s">
        <v>1034</v>
      </c>
      <c r="E396" s="11" t="s">
        <v>1037</v>
      </c>
      <c r="F396" s="12">
        <v>427047</v>
      </c>
      <c r="G396" s="12">
        <v>509978</v>
      </c>
      <c r="H396" s="11">
        <v>14.01</v>
      </c>
      <c r="I396" s="11">
        <v>120</v>
      </c>
      <c r="J396" s="11">
        <v>744</v>
      </c>
      <c r="K396" s="11" t="s">
        <v>1041</v>
      </c>
      <c r="L396" s="11" t="s">
        <v>1044</v>
      </c>
      <c r="M396" s="13">
        <v>43367</v>
      </c>
      <c r="N396" s="11" t="s">
        <v>1046</v>
      </c>
      <c r="O396" s="14">
        <f t="shared" si="31"/>
        <v>7921.3131981030056</v>
      </c>
      <c r="P396" s="14">
        <f t="shared" si="32"/>
        <v>950557.5837723607</v>
      </c>
      <c r="Q396" s="14">
        <f t="shared" si="33"/>
        <v>440579.5837723607</v>
      </c>
      <c r="R396" s="11">
        <f t="shared" ca="1" si="34"/>
        <v>7</v>
      </c>
      <c r="S396" s="11" t="str">
        <f t="shared" si="35"/>
        <v>700-749</v>
      </c>
    </row>
    <row r="397" spans="1:19" x14ac:dyDescent="0.3">
      <c r="A397" s="11" t="s">
        <v>409</v>
      </c>
      <c r="B397" s="11" t="s">
        <v>1026</v>
      </c>
      <c r="C397" s="11">
        <v>52</v>
      </c>
      <c r="D397" s="11" t="s">
        <v>1035</v>
      </c>
      <c r="E397" s="11" t="s">
        <v>1037</v>
      </c>
      <c r="F397" s="12">
        <v>1988926</v>
      </c>
      <c r="G397" s="12">
        <v>1811116</v>
      </c>
      <c r="H397" s="11">
        <v>10.44</v>
      </c>
      <c r="I397" s="11">
        <v>48</v>
      </c>
      <c r="J397" s="11">
        <v>708</v>
      </c>
      <c r="K397" s="11" t="s">
        <v>1041</v>
      </c>
      <c r="L397" s="11" t="s">
        <v>1044</v>
      </c>
      <c r="M397" s="13">
        <v>43475</v>
      </c>
      <c r="N397" s="11" t="s">
        <v>1045</v>
      </c>
      <c r="O397" s="14">
        <f t="shared" si="31"/>
        <v>46318.22864039179</v>
      </c>
      <c r="P397" s="14">
        <f t="shared" si="32"/>
        <v>2223274.974738806</v>
      </c>
      <c r="Q397" s="14">
        <f t="shared" si="33"/>
        <v>412158.97473880602</v>
      </c>
      <c r="R397" s="11">
        <f t="shared" ca="1" si="34"/>
        <v>6</v>
      </c>
      <c r="S397" s="11" t="str">
        <f t="shared" si="35"/>
        <v>700-749</v>
      </c>
    </row>
    <row r="398" spans="1:19" x14ac:dyDescent="0.3">
      <c r="A398" s="11" t="s">
        <v>410</v>
      </c>
      <c r="B398" s="11" t="s">
        <v>1033</v>
      </c>
      <c r="C398" s="11">
        <v>52</v>
      </c>
      <c r="D398" s="11" t="s">
        <v>1034</v>
      </c>
      <c r="E398" s="11" t="s">
        <v>1038</v>
      </c>
      <c r="F398" s="12">
        <v>300405</v>
      </c>
      <c r="G398" s="12">
        <v>1780544</v>
      </c>
      <c r="H398" s="11">
        <v>10.97</v>
      </c>
      <c r="I398" s="11">
        <v>96</v>
      </c>
      <c r="J398" s="11">
        <v>781</v>
      </c>
      <c r="K398" s="11" t="s">
        <v>1042</v>
      </c>
      <c r="L398" s="11" t="s">
        <v>1044</v>
      </c>
      <c r="M398" s="13">
        <v>43793</v>
      </c>
      <c r="N398" s="11" t="s">
        <v>1046</v>
      </c>
      <c r="O398" s="14">
        <f t="shared" si="31"/>
        <v>27940.740350691802</v>
      </c>
      <c r="P398" s="14">
        <f t="shared" si="32"/>
        <v>2682311.0736664128</v>
      </c>
      <c r="Q398" s="14">
        <f t="shared" si="33"/>
        <v>901767.07366641285</v>
      </c>
      <c r="R398" s="11">
        <f t="shared" ca="1" si="34"/>
        <v>6</v>
      </c>
      <c r="S398" s="11" t="str">
        <f t="shared" si="35"/>
        <v>750-799</v>
      </c>
    </row>
    <row r="399" spans="1:19" x14ac:dyDescent="0.3">
      <c r="A399" s="11" t="s">
        <v>411</v>
      </c>
      <c r="B399" s="11" t="s">
        <v>1029</v>
      </c>
      <c r="C399" s="11">
        <v>35</v>
      </c>
      <c r="D399" s="11" t="s">
        <v>1035</v>
      </c>
      <c r="E399" s="11" t="s">
        <v>1038</v>
      </c>
      <c r="F399" s="12">
        <v>302050</v>
      </c>
      <c r="G399" s="12">
        <v>1307848</v>
      </c>
      <c r="H399" s="11">
        <v>11.89</v>
      </c>
      <c r="I399" s="11">
        <v>48</v>
      </c>
      <c r="J399" s="11">
        <v>752</v>
      </c>
      <c r="K399" s="11" t="s">
        <v>1042</v>
      </c>
      <c r="L399" s="11" t="s">
        <v>1043</v>
      </c>
      <c r="M399" s="13">
        <v>43808</v>
      </c>
      <c r="N399" s="11" t="s">
        <v>1046</v>
      </c>
      <c r="O399" s="14">
        <f t="shared" si="31"/>
        <v>34370.060733597864</v>
      </c>
      <c r="P399" s="14">
        <f t="shared" si="32"/>
        <v>1649762.9152126973</v>
      </c>
      <c r="Q399" s="14">
        <f t="shared" si="33"/>
        <v>341914.91521269735</v>
      </c>
      <c r="R399" s="11">
        <f t="shared" ca="1" si="34"/>
        <v>6</v>
      </c>
      <c r="S399" s="11" t="str">
        <f t="shared" si="35"/>
        <v>750-799</v>
      </c>
    </row>
    <row r="400" spans="1:19" x14ac:dyDescent="0.3">
      <c r="A400" s="11" t="s">
        <v>412</v>
      </c>
      <c r="B400" s="11" t="s">
        <v>1020</v>
      </c>
      <c r="C400" s="11">
        <v>49</v>
      </c>
      <c r="D400" s="11" t="s">
        <v>1035</v>
      </c>
      <c r="E400" s="11" t="s">
        <v>1037</v>
      </c>
      <c r="F400" s="12">
        <v>390021</v>
      </c>
      <c r="G400" s="12">
        <v>1611941</v>
      </c>
      <c r="H400" s="11">
        <v>12.12</v>
      </c>
      <c r="I400" s="11">
        <v>36</v>
      </c>
      <c r="J400" s="11">
        <v>753</v>
      </c>
      <c r="K400" s="11" t="s">
        <v>1039</v>
      </c>
      <c r="L400" s="11" t="s">
        <v>1044</v>
      </c>
      <c r="M400" s="13">
        <v>44621</v>
      </c>
      <c r="N400" s="11" t="s">
        <v>1045</v>
      </c>
      <c r="O400" s="14">
        <f t="shared" si="31"/>
        <v>53631.942141990781</v>
      </c>
      <c r="P400" s="14">
        <f t="shared" si="32"/>
        <v>1930749.917111668</v>
      </c>
      <c r="Q400" s="14">
        <f t="shared" si="33"/>
        <v>318808.91711166804</v>
      </c>
      <c r="R400" s="11">
        <f t="shared" ca="1" si="34"/>
        <v>3</v>
      </c>
      <c r="S400" s="11" t="str">
        <f t="shared" si="35"/>
        <v>750-799</v>
      </c>
    </row>
    <row r="401" spans="1:19" x14ac:dyDescent="0.3">
      <c r="A401" s="11" t="s">
        <v>413</v>
      </c>
      <c r="B401" s="11" t="s">
        <v>1017</v>
      </c>
      <c r="C401" s="11">
        <v>36</v>
      </c>
      <c r="D401" s="11" t="s">
        <v>1035</v>
      </c>
      <c r="E401" s="11" t="s">
        <v>1036</v>
      </c>
      <c r="F401" s="12">
        <v>1495728</v>
      </c>
      <c r="G401" s="12">
        <v>1609451</v>
      </c>
      <c r="H401" s="11">
        <v>10.06</v>
      </c>
      <c r="I401" s="11">
        <v>48</v>
      </c>
      <c r="J401" s="11">
        <v>745</v>
      </c>
      <c r="K401" s="11" t="s">
        <v>1042</v>
      </c>
      <c r="L401" s="11" t="s">
        <v>1044</v>
      </c>
      <c r="M401" s="13">
        <v>45126</v>
      </c>
      <c r="N401" s="11" t="s">
        <v>1048</v>
      </c>
      <c r="O401" s="14">
        <f t="shared" si="31"/>
        <v>40866.226666815623</v>
      </c>
      <c r="P401" s="14">
        <f t="shared" si="32"/>
        <v>1961578.8800071499</v>
      </c>
      <c r="Q401" s="14">
        <f t="shared" si="33"/>
        <v>352127.88000714988</v>
      </c>
      <c r="R401" s="11">
        <f t="shared" ca="1" si="34"/>
        <v>2</v>
      </c>
      <c r="S401" s="11" t="str">
        <f t="shared" si="35"/>
        <v>700-749</v>
      </c>
    </row>
    <row r="402" spans="1:19" x14ac:dyDescent="0.3">
      <c r="A402" s="11" t="s">
        <v>414</v>
      </c>
      <c r="B402" s="11" t="s">
        <v>1020</v>
      </c>
      <c r="C402" s="11">
        <v>55</v>
      </c>
      <c r="D402" s="11" t="s">
        <v>1035</v>
      </c>
      <c r="E402" s="11" t="s">
        <v>1036</v>
      </c>
      <c r="F402" s="12">
        <v>652133</v>
      </c>
      <c r="G402" s="12">
        <v>337174</v>
      </c>
      <c r="H402" s="11">
        <v>8.2100000000000009</v>
      </c>
      <c r="I402" s="11">
        <v>84</v>
      </c>
      <c r="J402" s="11">
        <v>806</v>
      </c>
      <c r="K402" s="11" t="s">
        <v>1039</v>
      </c>
      <c r="L402" s="11" t="s">
        <v>1044</v>
      </c>
      <c r="M402" s="13">
        <v>44409</v>
      </c>
      <c r="N402" s="11" t="s">
        <v>1047</v>
      </c>
      <c r="O402" s="14">
        <f t="shared" si="31"/>
        <v>5290.6123211230206</v>
      </c>
      <c r="P402" s="14">
        <f t="shared" si="32"/>
        <v>444411.43497433374</v>
      </c>
      <c r="Q402" s="14">
        <f t="shared" si="33"/>
        <v>107237.43497433374</v>
      </c>
      <c r="R402" s="11">
        <f t="shared" ca="1" si="34"/>
        <v>4</v>
      </c>
      <c r="S402" s="11" t="str">
        <f t="shared" si="35"/>
        <v>800-850</v>
      </c>
    </row>
    <row r="403" spans="1:19" x14ac:dyDescent="0.3">
      <c r="A403" s="11" t="s">
        <v>415</v>
      </c>
      <c r="B403" s="11" t="s">
        <v>1022</v>
      </c>
      <c r="C403" s="11">
        <v>28</v>
      </c>
      <c r="D403" s="11" t="s">
        <v>1034</v>
      </c>
      <c r="E403" s="11" t="s">
        <v>1036</v>
      </c>
      <c r="F403" s="12">
        <v>913691</v>
      </c>
      <c r="G403" s="12">
        <v>1057728</v>
      </c>
      <c r="H403" s="11">
        <v>11.46</v>
      </c>
      <c r="I403" s="11">
        <v>72</v>
      </c>
      <c r="J403" s="11">
        <v>648</v>
      </c>
      <c r="K403" s="11" t="s">
        <v>1039</v>
      </c>
      <c r="L403" s="11" t="s">
        <v>1044</v>
      </c>
      <c r="M403" s="13">
        <v>44974</v>
      </c>
      <c r="N403" s="11" t="s">
        <v>1048</v>
      </c>
      <c r="O403" s="14">
        <f t="shared" si="31"/>
        <v>20382.96623422933</v>
      </c>
      <c r="P403" s="14">
        <f t="shared" si="32"/>
        <v>1467573.5688645118</v>
      </c>
      <c r="Q403" s="14">
        <f t="shared" si="33"/>
        <v>409845.56886451179</v>
      </c>
      <c r="R403" s="11">
        <f t="shared" ca="1" si="34"/>
        <v>2</v>
      </c>
      <c r="S403" s="11" t="str">
        <f t="shared" si="35"/>
        <v>600-649</v>
      </c>
    </row>
    <row r="404" spans="1:19" x14ac:dyDescent="0.3">
      <c r="A404" s="11" t="s">
        <v>416</v>
      </c>
      <c r="B404" s="11" t="s">
        <v>1029</v>
      </c>
      <c r="C404" s="11">
        <v>41</v>
      </c>
      <c r="D404" s="11" t="s">
        <v>1034</v>
      </c>
      <c r="E404" s="11" t="s">
        <v>1037</v>
      </c>
      <c r="F404" s="12">
        <v>726118</v>
      </c>
      <c r="G404" s="12">
        <v>1254693</v>
      </c>
      <c r="H404" s="11">
        <v>8.98</v>
      </c>
      <c r="I404" s="11">
        <v>120</v>
      </c>
      <c r="J404" s="11">
        <v>793</v>
      </c>
      <c r="K404" s="11" t="s">
        <v>1042</v>
      </c>
      <c r="L404" s="11" t="s">
        <v>1044</v>
      </c>
      <c r="M404" s="13">
        <v>43444</v>
      </c>
      <c r="N404" s="11" t="s">
        <v>1048</v>
      </c>
      <c r="O404" s="14">
        <f t="shared" si="31"/>
        <v>15880.343125316123</v>
      </c>
      <c r="P404" s="14">
        <f t="shared" si="32"/>
        <v>1905641.1750379349</v>
      </c>
      <c r="Q404" s="14">
        <f t="shared" si="33"/>
        <v>650948.17503793491</v>
      </c>
      <c r="R404" s="11">
        <f t="shared" ca="1" si="34"/>
        <v>7</v>
      </c>
      <c r="S404" s="11" t="str">
        <f t="shared" si="35"/>
        <v>750-799</v>
      </c>
    </row>
    <row r="405" spans="1:19" x14ac:dyDescent="0.3">
      <c r="A405" s="11" t="s">
        <v>417</v>
      </c>
      <c r="B405" s="11" t="s">
        <v>1032</v>
      </c>
      <c r="C405" s="11">
        <v>51</v>
      </c>
      <c r="D405" s="11" t="s">
        <v>1035</v>
      </c>
      <c r="E405" s="11" t="s">
        <v>1038</v>
      </c>
      <c r="F405" s="12">
        <v>1264435</v>
      </c>
      <c r="G405" s="12">
        <v>1872719</v>
      </c>
      <c r="H405" s="11">
        <v>8.73</v>
      </c>
      <c r="I405" s="11">
        <v>120</v>
      </c>
      <c r="J405" s="11">
        <v>716</v>
      </c>
      <c r="K405" s="11" t="s">
        <v>1040</v>
      </c>
      <c r="L405" s="11" t="s">
        <v>1044</v>
      </c>
      <c r="M405" s="13">
        <v>43701</v>
      </c>
      <c r="N405" s="11" t="s">
        <v>1047</v>
      </c>
      <c r="O405" s="14">
        <f t="shared" si="31"/>
        <v>23450.032265248268</v>
      </c>
      <c r="P405" s="14">
        <f t="shared" si="32"/>
        <v>2814003.8718297924</v>
      </c>
      <c r="Q405" s="14">
        <f t="shared" si="33"/>
        <v>941284.87182979239</v>
      </c>
      <c r="R405" s="11">
        <f t="shared" ca="1" si="34"/>
        <v>6</v>
      </c>
      <c r="S405" s="11" t="str">
        <f t="shared" si="35"/>
        <v>700-749</v>
      </c>
    </row>
    <row r="406" spans="1:19" x14ac:dyDescent="0.3">
      <c r="A406" s="11" t="s">
        <v>418</v>
      </c>
      <c r="B406" s="11" t="s">
        <v>1019</v>
      </c>
      <c r="C406" s="11">
        <v>49</v>
      </c>
      <c r="D406" s="11" t="s">
        <v>1034</v>
      </c>
      <c r="E406" s="11" t="s">
        <v>1036</v>
      </c>
      <c r="F406" s="12">
        <v>517808</v>
      </c>
      <c r="G406" s="12">
        <v>1146964</v>
      </c>
      <c r="H406" s="11">
        <v>9.73</v>
      </c>
      <c r="I406" s="11">
        <v>84</v>
      </c>
      <c r="J406" s="11">
        <v>710</v>
      </c>
      <c r="K406" s="11" t="s">
        <v>1041</v>
      </c>
      <c r="L406" s="11" t="s">
        <v>1044</v>
      </c>
      <c r="M406" s="13">
        <v>44679</v>
      </c>
      <c r="N406" s="11" t="s">
        <v>1047</v>
      </c>
      <c r="O406" s="14">
        <f t="shared" si="31"/>
        <v>18881.332788584361</v>
      </c>
      <c r="P406" s="14">
        <f t="shared" si="32"/>
        <v>1586031.9542410863</v>
      </c>
      <c r="Q406" s="14">
        <f t="shared" si="33"/>
        <v>439067.95424108626</v>
      </c>
      <c r="R406" s="11">
        <f t="shared" ca="1" si="34"/>
        <v>3</v>
      </c>
      <c r="S406" s="11" t="str">
        <f t="shared" si="35"/>
        <v>700-749</v>
      </c>
    </row>
    <row r="407" spans="1:19" x14ac:dyDescent="0.3">
      <c r="A407" s="11" t="s">
        <v>419</v>
      </c>
      <c r="B407" s="11" t="s">
        <v>1026</v>
      </c>
      <c r="C407" s="11">
        <v>56</v>
      </c>
      <c r="D407" s="11" t="s">
        <v>1034</v>
      </c>
      <c r="E407" s="11" t="s">
        <v>1037</v>
      </c>
      <c r="F407" s="12">
        <v>1012248</v>
      </c>
      <c r="G407" s="12">
        <v>1214676</v>
      </c>
      <c r="H407" s="11">
        <v>9.6300000000000008</v>
      </c>
      <c r="I407" s="11">
        <v>60</v>
      </c>
      <c r="J407" s="11">
        <v>714</v>
      </c>
      <c r="K407" s="11" t="s">
        <v>1041</v>
      </c>
      <c r="L407" s="11" t="s">
        <v>1044</v>
      </c>
      <c r="M407" s="13">
        <v>45296</v>
      </c>
      <c r="N407" s="11" t="s">
        <v>1047</v>
      </c>
      <c r="O407" s="14">
        <f t="shared" si="31"/>
        <v>25587.693916852524</v>
      </c>
      <c r="P407" s="14">
        <f t="shared" si="32"/>
        <v>1535261.6350111514</v>
      </c>
      <c r="Q407" s="14">
        <f t="shared" si="33"/>
        <v>320585.63501115143</v>
      </c>
      <c r="R407" s="11">
        <f t="shared" ca="1" si="34"/>
        <v>1</v>
      </c>
      <c r="S407" s="11" t="str">
        <f t="shared" si="35"/>
        <v>700-749</v>
      </c>
    </row>
    <row r="408" spans="1:19" x14ac:dyDescent="0.3">
      <c r="A408" s="11" t="s">
        <v>420</v>
      </c>
      <c r="B408" s="11" t="s">
        <v>1016</v>
      </c>
      <c r="C408" s="11">
        <v>46</v>
      </c>
      <c r="D408" s="11" t="s">
        <v>1034</v>
      </c>
      <c r="E408" s="11" t="s">
        <v>1036</v>
      </c>
      <c r="F408" s="12">
        <v>1698103</v>
      </c>
      <c r="G408" s="12">
        <v>1221773</v>
      </c>
      <c r="H408" s="11">
        <v>12.9</v>
      </c>
      <c r="I408" s="11">
        <v>60</v>
      </c>
      <c r="J408" s="11">
        <v>831</v>
      </c>
      <c r="K408" s="11" t="s">
        <v>1039</v>
      </c>
      <c r="L408" s="11" t="s">
        <v>1044</v>
      </c>
      <c r="M408" s="13">
        <v>45555</v>
      </c>
      <c r="N408" s="11" t="s">
        <v>1048</v>
      </c>
      <c r="O408" s="14">
        <f t="shared" si="31"/>
        <v>27736.586587242844</v>
      </c>
      <c r="P408" s="14">
        <f t="shared" si="32"/>
        <v>1664195.1952345707</v>
      </c>
      <c r="Q408" s="14">
        <f t="shared" si="33"/>
        <v>442422.19523457065</v>
      </c>
      <c r="R408" s="11">
        <f t="shared" ca="1" si="34"/>
        <v>1</v>
      </c>
      <c r="S408" s="11" t="str">
        <f t="shared" si="35"/>
        <v>800-850</v>
      </c>
    </row>
    <row r="409" spans="1:19" x14ac:dyDescent="0.3">
      <c r="A409" s="11" t="s">
        <v>421</v>
      </c>
      <c r="B409" s="11" t="s">
        <v>1017</v>
      </c>
      <c r="C409" s="11">
        <v>43</v>
      </c>
      <c r="D409" s="11" t="s">
        <v>1035</v>
      </c>
      <c r="E409" s="11" t="s">
        <v>1037</v>
      </c>
      <c r="F409" s="12">
        <v>564509</v>
      </c>
      <c r="G409" s="12">
        <v>343841</v>
      </c>
      <c r="H409" s="11">
        <v>14.11</v>
      </c>
      <c r="I409" s="11">
        <v>96</v>
      </c>
      <c r="J409" s="11">
        <v>608</v>
      </c>
      <c r="K409" s="11" t="s">
        <v>1042</v>
      </c>
      <c r="L409" s="11" t="s">
        <v>1044</v>
      </c>
      <c r="M409" s="13">
        <v>44720</v>
      </c>
      <c r="N409" s="11" t="s">
        <v>1048</v>
      </c>
      <c r="O409" s="14">
        <f t="shared" si="31"/>
        <v>5994.5793411045661</v>
      </c>
      <c r="P409" s="14">
        <f t="shared" si="32"/>
        <v>575479.61674603831</v>
      </c>
      <c r="Q409" s="14">
        <f t="shared" si="33"/>
        <v>231638.61674603831</v>
      </c>
      <c r="R409" s="11">
        <f t="shared" ca="1" si="34"/>
        <v>3</v>
      </c>
      <c r="S409" s="11" t="str">
        <f t="shared" si="35"/>
        <v>600-649</v>
      </c>
    </row>
    <row r="410" spans="1:19" x14ac:dyDescent="0.3">
      <c r="A410" s="11" t="s">
        <v>422</v>
      </c>
      <c r="B410" s="11" t="s">
        <v>1028</v>
      </c>
      <c r="C410" s="11">
        <v>58</v>
      </c>
      <c r="D410" s="11" t="s">
        <v>1034</v>
      </c>
      <c r="E410" s="11" t="s">
        <v>1036</v>
      </c>
      <c r="F410" s="12">
        <v>1161012</v>
      </c>
      <c r="G410" s="12">
        <v>1607707</v>
      </c>
      <c r="H410" s="11">
        <v>12.01</v>
      </c>
      <c r="I410" s="11">
        <v>48</v>
      </c>
      <c r="J410" s="11">
        <v>810</v>
      </c>
      <c r="K410" s="11" t="s">
        <v>1041</v>
      </c>
      <c r="L410" s="11" t="s">
        <v>1044</v>
      </c>
      <c r="M410" s="13">
        <v>45533</v>
      </c>
      <c r="N410" s="11" t="s">
        <v>1046</v>
      </c>
      <c r="O410" s="14">
        <f t="shared" si="31"/>
        <v>42344.985688931716</v>
      </c>
      <c r="P410" s="14">
        <f t="shared" si="32"/>
        <v>2032559.3130687224</v>
      </c>
      <c r="Q410" s="14">
        <f t="shared" si="33"/>
        <v>424852.31306872237</v>
      </c>
      <c r="R410" s="11">
        <f t="shared" ca="1" si="34"/>
        <v>1</v>
      </c>
      <c r="S410" s="11" t="str">
        <f t="shared" si="35"/>
        <v>800-850</v>
      </c>
    </row>
    <row r="411" spans="1:19" x14ac:dyDescent="0.3">
      <c r="A411" s="11" t="s">
        <v>423</v>
      </c>
      <c r="B411" s="11" t="s">
        <v>1019</v>
      </c>
      <c r="C411" s="11">
        <v>59</v>
      </c>
      <c r="D411" s="11" t="s">
        <v>1035</v>
      </c>
      <c r="E411" s="11" t="s">
        <v>1038</v>
      </c>
      <c r="F411" s="12">
        <v>1292148</v>
      </c>
      <c r="G411" s="12">
        <v>1717115</v>
      </c>
      <c r="H411" s="11">
        <v>12.37</v>
      </c>
      <c r="I411" s="11">
        <v>48</v>
      </c>
      <c r="J411" s="11">
        <v>755</v>
      </c>
      <c r="K411" s="11" t="s">
        <v>1042</v>
      </c>
      <c r="L411" s="11" t="s">
        <v>1044</v>
      </c>
      <c r="M411" s="13">
        <v>44784</v>
      </c>
      <c r="N411" s="11" t="s">
        <v>1046</v>
      </c>
      <c r="O411" s="14">
        <f t="shared" si="31"/>
        <v>45530.794623784379</v>
      </c>
      <c r="P411" s="14">
        <f t="shared" si="32"/>
        <v>2185478.1419416503</v>
      </c>
      <c r="Q411" s="14">
        <f t="shared" si="33"/>
        <v>468363.1419416503</v>
      </c>
      <c r="R411" s="11">
        <f t="shared" ca="1" si="34"/>
        <v>3</v>
      </c>
      <c r="S411" s="11" t="str">
        <f t="shared" si="35"/>
        <v>750-799</v>
      </c>
    </row>
    <row r="412" spans="1:19" x14ac:dyDescent="0.3">
      <c r="A412" s="11" t="s">
        <v>424</v>
      </c>
      <c r="B412" s="11" t="s">
        <v>1024</v>
      </c>
      <c r="C412" s="11">
        <v>53</v>
      </c>
      <c r="D412" s="11" t="s">
        <v>1035</v>
      </c>
      <c r="E412" s="11" t="s">
        <v>1038</v>
      </c>
      <c r="F412" s="12">
        <v>1386430</v>
      </c>
      <c r="G412" s="12">
        <v>951370</v>
      </c>
      <c r="H412" s="11">
        <v>8.18</v>
      </c>
      <c r="I412" s="11">
        <v>84</v>
      </c>
      <c r="J412" s="11">
        <v>707</v>
      </c>
      <c r="K412" s="11" t="s">
        <v>1042</v>
      </c>
      <c r="L412" s="11" t="s">
        <v>1044</v>
      </c>
      <c r="M412" s="13">
        <v>44264</v>
      </c>
      <c r="N412" s="11" t="s">
        <v>1047</v>
      </c>
      <c r="O412" s="14">
        <f t="shared" si="31"/>
        <v>14913.717809751988</v>
      </c>
      <c r="P412" s="14">
        <f t="shared" si="32"/>
        <v>1252752.2960191669</v>
      </c>
      <c r="Q412" s="14">
        <f t="shared" si="33"/>
        <v>301382.29601916694</v>
      </c>
      <c r="R412" s="11">
        <f t="shared" ca="1" si="34"/>
        <v>4</v>
      </c>
      <c r="S412" s="11" t="str">
        <f t="shared" si="35"/>
        <v>700-749</v>
      </c>
    </row>
    <row r="413" spans="1:19" x14ac:dyDescent="0.3">
      <c r="A413" s="11" t="s">
        <v>425</v>
      </c>
      <c r="B413" s="11" t="s">
        <v>1021</v>
      </c>
      <c r="C413" s="11">
        <v>38</v>
      </c>
      <c r="D413" s="11" t="s">
        <v>1035</v>
      </c>
      <c r="E413" s="11" t="s">
        <v>1036</v>
      </c>
      <c r="F413" s="12">
        <v>1506267</v>
      </c>
      <c r="G413" s="12">
        <v>1365093</v>
      </c>
      <c r="H413" s="11">
        <v>12.83</v>
      </c>
      <c r="I413" s="11">
        <v>120</v>
      </c>
      <c r="J413" s="11">
        <v>739</v>
      </c>
      <c r="K413" s="11" t="s">
        <v>1039</v>
      </c>
      <c r="L413" s="11" t="s">
        <v>1044</v>
      </c>
      <c r="M413" s="13">
        <v>43731</v>
      </c>
      <c r="N413" s="11" t="s">
        <v>1045</v>
      </c>
      <c r="O413" s="14">
        <f t="shared" si="31"/>
        <v>20245.655452801602</v>
      </c>
      <c r="P413" s="14">
        <f t="shared" si="32"/>
        <v>2429478.6543361922</v>
      </c>
      <c r="Q413" s="14">
        <f t="shared" si="33"/>
        <v>1064385.6543361922</v>
      </c>
      <c r="R413" s="11">
        <f t="shared" ca="1" si="34"/>
        <v>6</v>
      </c>
      <c r="S413" s="11" t="str">
        <f t="shared" si="35"/>
        <v>700-749</v>
      </c>
    </row>
    <row r="414" spans="1:19" x14ac:dyDescent="0.3">
      <c r="A414" s="11" t="s">
        <v>426</v>
      </c>
      <c r="B414" s="11" t="s">
        <v>1018</v>
      </c>
      <c r="C414" s="11">
        <v>53</v>
      </c>
      <c r="D414" s="11" t="s">
        <v>1035</v>
      </c>
      <c r="E414" s="11" t="s">
        <v>1038</v>
      </c>
      <c r="F414" s="12">
        <v>1775845</v>
      </c>
      <c r="G414" s="12">
        <v>1109516</v>
      </c>
      <c r="H414" s="11">
        <v>8.7100000000000009</v>
      </c>
      <c r="I414" s="11">
        <v>48</v>
      </c>
      <c r="J414" s="11">
        <v>778</v>
      </c>
      <c r="K414" s="11" t="s">
        <v>1039</v>
      </c>
      <c r="L414" s="11" t="s">
        <v>1044</v>
      </c>
      <c r="M414" s="13">
        <v>45209</v>
      </c>
      <c r="N414" s="11" t="s">
        <v>1045</v>
      </c>
      <c r="O414" s="14">
        <f t="shared" si="31"/>
        <v>27457.823206691737</v>
      </c>
      <c r="P414" s="14">
        <f t="shared" si="32"/>
        <v>1317975.5139212033</v>
      </c>
      <c r="Q414" s="14">
        <f t="shared" si="33"/>
        <v>208459.51392120332</v>
      </c>
      <c r="R414" s="11">
        <f t="shared" ca="1" si="34"/>
        <v>2</v>
      </c>
      <c r="S414" s="11" t="str">
        <f t="shared" si="35"/>
        <v>750-799</v>
      </c>
    </row>
    <row r="415" spans="1:19" x14ac:dyDescent="0.3">
      <c r="A415" s="11" t="s">
        <v>427</v>
      </c>
      <c r="B415" s="11" t="s">
        <v>1023</v>
      </c>
      <c r="C415" s="11">
        <v>27</v>
      </c>
      <c r="D415" s="11" t="s">
        <v>1035</v>
      </c>
      <c r="E415" s="11" t="s">
        <v>1037</v>
      </c>
      <c r="F415" s="12">
        <v>353404</v>
      </c>
      <c r="G415" s="12">
        <v>1109074</v>
      </c>
      <c r="H415" s="11">
        <v>8.8800000000000008</v>
      </c>
      <c r="I415" s="11">
        <v>36</v>
      </c>
      <c r="J415" s="11">
        <v>644</v>
      </c>
      <c r="K415" s="11" t="s">
        <v>1039</v>
      </c>
      <c r="L415" s="11" t="s">
        <v>1044</v>
      </c>
      <c r="M415" s="13">
        <v>43954</v>
      </c>
      <c r="N415" s="11" t="s">
        <v>1048</v>
      </c>
      <c r="O415" s="14">
        <f t="shared" si="31"/>
        <v>35206.348074566253</v>
      </c>
      <c r="P415" s="14">
        <f t="shared" si="32"/>
        <v>1267428.530684385</v>
      </c>
      <c r="Q415" s="14">
        <f t="shared" si="33"/>
        <v>158354.53068438498</v>
      </c>
      <c r="R415" s="11">
        <f t="shared" ca="1" si="34"/>
        <v>5</v>
      </c>
      <c r="S415" s="11" t="str">
        <f t="shared" si="35"/>
        <v>600-649</v>
      </c>
    </row>
    <row r="416" spans="1:19" x14ac:dyDescent="0.3">
      <c r="A416" s="11" t="s">
        <v>428</v>
      </c>
      <c r="B416" s="11" t="s">
        <v>1024</v>
      </c>
      <c r="C416" s="11">
        <v>36</v>
      </c>
      <c r="D416" s="11" t="s">
        <v>1035</v>
      </c>
      <c r="E416" s="11" t="s">
        <v>1037</v>
      </c>
      <c r="F416" s="12">
        <v>559751</v>
      </c>
      <c r="G416" s="12">
        <v>575148</v>
      </c>
      <c r="H416" s="11">
        <v>8.3800000000000008</v>
      </c>
      <c r="I416" s="11">
        <v>36</v>
      </c>
      <c r="J416" s="11">
        <v>637</v>
      </c>
      <c r="K416" s="11" t="s">
        <v>1040</v>
      </c>
      <c r="L416" s="11" t="s">
        <v>1044</v>
      </c>
      <c r="M416" s="13">
        <v>44820</v>
      </c>
      <c r="N416" s="11" t="s">
        <v>1048</v>
      </c>
      <c r="O416" s="14">
        <f t="shared" si="31"/>
        <v>18124.042367287078</v>
      </c>
      <c r="P416" s="14">
        <f t="shared" si="32"/>
        <v>652465.52522233478</v>
      </c>
      <c r="Q416" s="14">
        <f t="shared" si="33"/>
        <v>77317.525222334778</v>
      </c>
      <c r="R416" s="11">
        <f t="shared" ca="1" si="34"/>
        <v>3</v>
      </c>
      <c r="S416" s="11" t="str">
        <f t="shared" si="35"/>
        <v>600-649</v>
      </c>
    </row>
    <row r="417" spans="1:19" x14ac:dyDescent="0.3">
      <c r="A417" s="11" t="s">
        <v>429</v>
      </c>
      <c r="B417" s="11" t="s">
        <v>1027</v>
      </c>
      <c r="C417" s="11">
        <v>38</v>
      </c>
      <c r="D417" s="11" t="s">
        <v>1035</v>
      </c>
      <c r="E417" s="11" t="s">
        <v>1038</v>
      </c>
      <c r="F417" s="12">
        <v>1862544</v>
      </c>
      <c r="G417" s="12">
        <v>1042971</v>
      </c>
      <c r="H417" s="11">
        <v>9.74</v>
      </c>
      <c r="I417" s="11">
        <v>48</v>
      </c>
      <c r="J417" s="11">
        <v>811</v>
      </c>
      <c r="K417" s="11" t="s">
        <v>1040</v>
      </c>
      <c r="L417" s="11" t="s">
        <v>1043</v>
      </c>
      <c r="M417" s="13">
        <v>44940</v>
      </c>
      <c r="N417" s="11" t="s">
        <v>1046</v>
      </c>
      <c r="O417" s="14">
        <f t="shared" si="31"/>
        <v>26322.400415411528</v>
      </c>
      <c r="P417" s="14">
        <f t="shared" si="32"/>
        <v>1263475.2199397534</v>
      </c>
      <c r="Q417" s="14">
        <f t="shared" si="33"/>
        <v>220504.21993975341</v>
      </c>
      <c r="R417" s="11">
        <f t="shared" ca="1" si="34"/>
        <v>2</v>
      </c>
      <c r="S417" s="11" t="str">
        <f t="shared" si="35"/>
        <v>800-850</v>
      </c>
    </row>
    <row r="418" spans="1:19" x14ac:dyDescent="0.3">
      <c r="A418" s="11" t="s">
        <v>430</v>
      </c>
      <c r="B418" s="11" t="s">
        <v>1028</v>
      </c>
      <c r="C418" s="11">
        <v>54</v>
      </c>
      <c r="D418" s="11" t="s">
        <v>1034</v>
      </c>
      <c r="E418" s="11" t="s">
        <v>1037</v>
      </c>
      <c r="F418" s="12">
        <v>1912292</v>
      </c>
      <c r="G418" s="12">
        <v>201357</v>
      </c>
      <c r="H418" s="11">
        <v>14.09</v>
      </c>
      <c r="I418" s="11">
        <v>120</v>
      </c>
      <c r="J418" s="11">
        <v>656</v>
      </c>
      <c r="K418" s="11" t="s">
        <v>1042</v>
      </c>
      <c r="L418" s="11" t="s">
        <v>1044</v>
      </c>
      <c r="M418" s="13">
        <v>43436</v>
      </c>
      <c r="N418" s="11" t="s">
        <v>1045</v>
      </c>
      <c r="O418" s="14">
        <f t="shared" si="31"/>
        <v>3137.3037179857474</v>
      </c>
      <c r="P418" s="14">
        <f t="shared" si="32"/>
        <v>376476.44615828968</v>
      </c>
      <c r="Q418" s="14">
        <f t="shared" si="33"/>
        <v>175119.44615828968</v>
      </c>
      <c r="R418" s="11">
        <f t="shared" ca="1" si="34"/>
        <v>7</v>
      </c>
      <c r="S418" s="11" t="str">
        <f t="shared" si="35"/>
        <v>650-699</v>
      </c>
    </row>
    <row r="419" spans="1:19" x14ac:dyDescent="0.3">
      <c r="A419" s="11" t="s">
        <v>431</v>
      </c>
      <c r="B419" s="11" t="s">
        <v>1025</v>
      </c>
      <c r="C419" s="11">
        <v>37</v>
      </c>
      <c r="D419" s="11" t="s">
        <v>1035</v>
      </c>
      <c r="E419" s="11" t="s">
        <v>1036</v>
      </c>
      <c r="F419" s="12">
        <v>1098584</v>
      </c>
      <c r="G419" s="12">
        <v>421106</v>
      </c>
      <c r="H419" s="11">
        <v>14.89</v>
      </c>
      <c r="I419" s="11">
        <v>96</v>
      </c>
      <c r="J419" s="11">
        <v>691</v>
      </c>
      <c r="K419" s="11" t="s">
        <v>1042</v>
      </c>
      <c r="L419" s="11" t="s">
        <v>1044</v>
      </c>
      <c r="M419" s="13">
        <v>44370</v>
      </c>
      <c r="N419" s="11" t="s">
        <v>1046</v>
      </c>
      <c r="O419" s="14">
        <f t="shared" si="31"/>
        <v>7530.1368975185378</v>
      </c>
      <c r="P419" s="14">
        <f t="shared" si="32"/>
        <v>722893.14216177957</v>
      </c>
      <c r="Q419" s="14">
        <f t="shared" si="33"/>
        <v>301787.14216177957</v>
      </c>
      <c r="R419" s="11">
        <f t="shared" ca="1" si="34"/>
        <v>4</v>
      </c>
      <c r="S419" s="11" t="str">
        <f t="shared" si="35"/>
        <v>650-699</v>
      </c>
    </row>
    <row r="420" spans="1:19" x14ac:dyDescent="0.3">
      <c r="A420" s="11" t="s">
        <v>432</v>
      </c>
      <c r="B420" s="11" t="s">
        <v>1024</v>
      </c>
      <c r="C420" s="11">
        <v>34</v>
      </c>
      <c r="D420" s="11" t="s">
        <v>1035</v>
      </c>
      <c r="E420" s="11" t="s">
        <v>1037</v>
      </c>
      <c r="F420" s="12">
        <v>1745222</v>
      </c>
      <c r="G420" s="12">
        <v>945271</v>
      </c>
      <c r="H420" s="11">
        <v>12.56</v>
      </c>
      <c r="I420" s="11">
        <v>36</v>
      </c>
      <c r="J420" s="11">
        <v>692</v>
      </c>
      <c r="K420" s="11" t="s">
        <v>1040</v>
      </c>
      <c r="L420" s="11" t="s">
        <v>1044</v>
      </c>
      <c r="M420" s="13">
        <v>43832</v>
      </c>
      <c r="N420" s="11" t="s">
        <v>1048</v>
      </c>
      <c r="O420" s="14">
        <f t="shared" si="31"/>
        <v>31649.952524700358</v>
      </c>
      <c r="P420" s="14">
        <f t="shared" si="32"/>
        <v>1139398.2908892129</v>
      </c>
      <c r="Q420" s="14">
        <f t="shared" si="33"/>
        <v>194127.29088921286</v>
      </c>
      <c r="R420" s="11">
        <f t="shared" ca="1" si="34"/>
        <v>5</v>
      </c>
      <c r="S420" s="11" t="str">
        <f t="shared" si="35"/>
        <v>650-699</v>
      </c>
    </row>
    <row r="421" spans="1:19" x14ac:dyDescent="0.3">
      <c r="A421" s="11" t="s">
        <v>433</v>
      </c>
      <c r="B421" s="11" t="s">
        <v>1018</v>
      </c>
      <c r="C421" s="11">
        <v>60</v>
      </c>
      <c r="D421" s="11" t="s">
        <v>1035</v>
      </c>
      <c r="E421" s="11" t="s">
        <v>1038</v>
      </c>
      <c r="F421" s="12">
        <v>1838961</v>
      </c>
      <c r="G421" s="12">
        <v>919471</v>
      </c>
      <c r="H421" s="11">
        <v>14.63</v>
      </c>
      <c r="I421" s="11">
        <v>96</v>
      </c>
      <c r="J421" s="11">
        <v>773</v>
      </c>
      <c r="K421" s="11" t="s">
        <v>1041</v>
      </c>
      <c r="L421" s="11" t="s">
        <v>1044</v>
      </c>
      <c r="M421" s="13">
        <v>43238</v>
      </c>
      <c r="N421" s="11" t="s">
        <v>1045</v>
      </c>
      <c r="O421" s="14">
        <f t="shared" si="31"/>
        <v>16304.010499662676</v>
      </c>
      <c r="P421" s="14">
        <f t="shared" si="32"/>
        <v>1565185.0079676169</v>
      </c>
      <c r="Q421" s="14">
        <f t="shared" si="33"/>
        <v>645714.0079676169</v>
      </c>
      <c r="R421" s="11">
        <f t="shared" ca="1" si="34"/>
        <v>7</v>
      </c>
      <c r="S421" s="11" t="str">
        <f t="shared" si="35"/>
        <v>750-799</v>
      </c>
    </row>
    <row r="422" spans="1:19" x14ac:dyDescent="0.3">
      <c r="A422" s="11" t="s">
        <v>434</v>
      </c>
      <c r="B422" s="11" t="s">
        <v>1029</v>
      </c>
      <c r="C422" s="11">
        <v>36</v>
      </c>
      <c r="D422" s="11" t="s">
        <v>1035</v>
      </c>
      <c r="E422" s="11" t="s">
        <v>1038</v>
      </c>
      <c r="F422" s="12">
        <v>1099487</v>
      </c>
      <c r="G422" s="12">
        <v>910443</v>
      </c>
      <c r="H422" s="11">
        <v>14.27</v>
      </c>
      <c r="I422" s="11">
        <v>72</v>
      </c>
      <c r="J422" s="11">
        <v>630</v>
      </c>
      <c r="K422" s="11" t="s">
        <v>1041</v>
      </c>
      <c r="L422" s="11" t="s">
        <v>1044</v>
      </c>
      <c r="M422" s="13">
        <v>43911</v>
      </c>
      <c r="N422" s="11" t="s">
        <v>1045</v>
      </c>
      <c r="O422" s="14">
        <f t="shared" si="31"/>
        <v>18892.233110968704</v>
      </c>
      <c r="P422" s="14">
        <f t="shared" si="32"/>
        <v>1360240.7839897466</v>
      </c>
      <c r="Q422" s="14">
        <f t="shared" si="33"/>
        <v>449797.78398974659</v>
      </c>
      <c r="R422" s="11">
        <f t="shared" ca="1" si="34"/>
        <v>5</v>
      </c>
      <c r="S422" s="11" t="str">
        <f t="shared" si="35"/>
        <v>600-649</v>
      </c>
    </row>
    <row r="423" spans="1:19" x14ac:dyDescent="0.3">
      <c r="A423" s="11" t="s">
        <v>435</v>
      </c>
      <c r="B423" s="11" t="s">
        <v>1017</v>
      </c>
      <c r="C423" s="11">
        <v>56</v>
      </c>
      <c r="D423" s="11" t="s">
        <v>1035</v>
      </c>
      <c r="E423" s="11" t="s">
        <v>1038</v>
      </c>
      <c r="F423" s="12">
        <v>1672548</v>
      </c>
      <c r="G423" s="12">
        <v>1684933</v>
      </c>
      <c r="H423" s="11">
        <v>10.59</v>
      </c>
      <c r="I423" s="11">
        <v>36</v>
      </c>
      <c r="J423" s="11">
        <v>663</v>
      </c>
      <c r="K423" s="11" t="s">
        <v>1040</v>
      </c>
      <c r="L423" s="11" t="s">
        <v>1044</v>
      </c>
      <c r="M423" s="13">
        <v>43750</v>
      </c>
      <c r="N423" s="11" t="s">
        <v>1048</v>
      </c>
      <c r="O423" s="14">
        <f t="shared" si="31"/>
        <v>54835.972156611831</v>
      </c>
      <c r="P423" s="14">
        <f t="shared" si="32"/>
        <v>1974094.997638026</v>
      </c>
      <c r="Q423" s="14">
        <f t="shared" si="33"/>
        <v>289161.99763802602</v>
      </c>
      <c r="R423" s="11">
        <f t="shared" ca="1" si="34"/>
        <v>6</v>
      </c>
      <c r="S423" s="11" t="str">
        <f t="shared" si="35"/>
        <v>650-699</v>
      </c>
    </row>
    <row r="424" spans="1:19" x14ac:dyDescent="0.3">
      <c r="A424" s="11" t="s">
        <v>436</v>
      </c>
      <c r="B424" s="11" t="s">
        <v>1023</v>
      </c>
      <c r="C424" s="11">
        <v>49</v>
      </c>
      <c r="D424" s="11" t="s">
        <v>1034</v>
      </c>
      <c r="E424" s="11" t="s">
        <v>1037</v>
      </c>
      <c r="F424" s="12">
        <v>1642595</v>
      </c>
      <c r="G424" s="12">
        <v>1008524</v>
      </c>
      <c r="H424" s="11">
        <v>14.76</v>
      </c>
      <c r="I424" s="11">
        <v>36</v>
      </c>
      <c r="J424" s="11">
        <v>755</v>
      </c>
      <c r="K424" s="11" t="s">
        <v>1042</v>
      </c>
      <c r="L424" s="11" t="s">
        <v>1043</v>
      </c>
      <c r="M424" s="13">
        <v>43728</v>
      </c>
      <c r="N424" s="11" t="s">
        <v>1048</v>
      </c>
      <c r="O424" s="14">
        <f t="shared" si="31"/>
        <v>34842.401320403122</v>
      </c>
      <c r="P424" s="14">
        <f t="shared" si="32"/>
        <v>1254326.4475345123</v>
      </c>
      <c r="Q424" s="14">
        <f t="shared" si="33"/>
        <v>245802.44753451226</v>
      </c>
      <c r="R424" s="11">
        <f t="shared" ca="1" si="34"/>
        <v>6</v>
      </c>
      <c r="S424" s="11" t="str">
        <f t="shared" si="35"/>
        <v>750-799</v>
      </c>
    </row>
    <row r="425" spans="1:19" x14ac:dyDescent="0.3">
      <c r="A425" s="11" t="s">
        <v>437</v>
      </c>
      <c r="B425" s="11" t="s">
        <v>1027</v>
      </c>
      <c r="C425" s="11">
        <v>55</v>
      </c>
      <c r="D425" s="11" t="s">
        <v>1034</v>
      </c>
      <c r="E425" s="11" t="s">
        <v>1038</v>
      </c>
      <c r="F425" s="12">
        <v>422844</v>
      </c>
      <c r="G425" s="12">
        <v>1725844</v>
      </c>
      <c r="H425" s="11">
        <v>9.34</v>
      </c>
      <c r="I425" s="11">
        <v>48</v>
      </c>
      <c r="J425" s="11">
        <v>612</v>
      </c>
      <c r="K425" s="11" t="s">
        <v>1041</v>
      </c>
      <c r="L425" s="11" t="s">
        <v>1044</v>
      </c>
      <c r="M425" s="13">
        <v>44898</v>
      </c>
      <c r="N425" s="11" t="s">
        <v>1046</v>
      </c>
      <c r="O425" s="14">
        <f t="shared" si="31"/>
        <v>43226.86813708827</v>
      </c>
      <c r="P425" s="14">
        <f t="shared" si="32"/>
        <v>2074889.6705802369</v>
      </c>
      <c r="Q425" s="14">
        <f t="shared" si="33"/>
        <v>349045.67058023694</v>
      </c>
      <c r="R425" s="11">
        <f t="shared" ca="1" si="34"/>
        <v>3</v>
      </c>
      <c r="S425" s="11" t="str">
        <f t="shared" si="35"/>
        <v>600-649</v>
      </c>
    </row>
    <row r="426" spans="1:19" x14ac:dyDescent="0.3">
      <c r="A426" s="11" t="s">
        <v>438</v>
      </c>
      <c r="B426" s="11" t="s">
        <v>1032</v>
      </c>
      <c r="C426" s="11">
        <v>47</v>
      </c>
      <c r="D426" s="11" t="s">
        <v>1034</v>
      </c>
      <c r="E426" s="11" t="s">
        <v>1038</v>
      </c>
      <c r="F426" s="12">
        <v>1396398</v>
      </c>
      <c r="G426" s="12">
        <v>1952374</v>
      </c>
      <c r="H426" s="11">
        <v>9.06</v>
      </c>
      <c r="I426" s="11">
        <v>120</v>
      </c>
      <c r="J426" s="11">
        <v>641</v>
      </c>
      <c r="K426" s="11" t="s">
        <v>1041</v>
      </c>
      <c r="L426" s="11" t="s">
        <v>1044</v>
      </c>
      <c r="M426" s="13">
        <v>45369</v>
      </c>
      <c r="N426" s="11" t="s">
        <v>1045</v>
      </c>
      <c r="O426" s="14">
        <f t="shared" si="31"/>
        <v>24795.290366155539</v>
      </c>
      <c r="P426" s="14">
        <f t="shared" si="32"/>
        <v>2975434.8439386645</v>
      </c>
      <c r="Q426" s="14">
        <f t="shared" si="33"/>
        <v>1023060.8439386645</v>
      </c>
      <c r="R426" s="11">
        <f t="shared" ca="1" si="34"/>
        <v>1</v>
      </c>
      <c r="S426" s="11" t="str">
        <f t="shared" si="35"/>
        <v>600-649</v>
      </c>
    </row>
    <row r="427" spans="1:19" x14ac:dyDescent="0.3">
      <c r="A427" s="11" t="s">
        <v>439</v>
      </c>
      <c r="B427" s="11" t="s">
        <v>1020</v>
      </c>
      <c r="C427" s="11">
        <v>47</v>
      </c>
      <c r="D427" s="11" t="s">
        <v>1034</v>
      </c>
      <c r="E427" s="11" t="s">
        <v>1037</v>
      </c>
      <c r="F427" s="12">
        <v>1274324</v>
      </c>
      <c r="G427" s="12">
        <v>389690</v>
      </c>
      <c r="H427" s="11">
        <v>9.74</v>
      </c>
      <c r="I427" s="11">
        <v>72</v>
      </c>
      <c r="J427" s="11">
        <v>688</v>
      </c>
      <c r="K427" s="11" t="s">
        <v>1040</v>
      </c>
      <c r="L427" s="11" t="s">
        <v>1044</v>
      </c>
      <c r="M427" s="13">
        <v>45013</v>
      </c>
      <c r="N427" s="11" t="s">
        <v>1046</v>
      </c>
      <c r="O427" s="14">
        <f t="shared" si="31"/>
        <v>7168.3448533005458</v>
      </c>
      <c r="P427" s="14">
        <f t="shared" si="32"/>
        <v>516120.82943763927</v>
      </c>
      <c r="Q427" s="14">
        <f t="shared" si="33"/>
        <v>126430.82943763927</v>
      </c>
      <c r="R427" s="11">
        <f t="shared" ca="1" si="34"/>
        <v>2</v>
      </c>
      <c r="S427" s="11" t="str">
        <f t="shared" si="35"/>
        <v>650-699</v>
      </c>
    </row>
    <row r="428" spans="1:19" x14ac:dyDescent="0.3">
      <c r="A428" s="11" t="s">
        <v>440</v>
      </c>
      <c r="B428" s="11" t="s">
        <v>1026</v>
      </c>
      <c r="C428" s="11">
        <v>43</v>
      </c>
      <c r="D428" s="11" t="s">
        <v>1035</v>
      </c>
      <c r="E428" s="11" t="s">
        <v>1036</v>
      </c>
      <c r="F428" s="12">
        <v>1979081</v>
      </c>
      <c r="G428" s="12">
        <v>227516</v>
      </c>
      <c r="H428" s="11">
        <v>12.39</v>
      </c>
      <c r="I428" s="11">
        <v>84</v>
      </c>
      <c r="J428" s="11">
        <v>722</v>
      </c>
      <c r="K428" s="11" t="s">
        <v>1040</v>
      </c>
      <c r="L428" s="11" t="s">
        <v>1044</v>
      </c>
      <c r="M428" s="13">
        <v>44356</v>
      </c>
      <c r="N428" s="11" t="s">
        <v>1048</v>
      </c>
      <c r="O428" s="14">
        <f t="shared" si="31"/>
        <v>4063.8853919257276</v>
      </c>
      <c r="P428" s="14">
        <f t="shared" si="32"/>
        <v>341366.37292176113</v>
      </c>
      <c r="Q428" s="14">
        <f t="shared" si="33"/>
        <v>113850.37292176113</v>
      </c>
      <c r="R428" s="11">
        <f t="shared" ca="1" si="34"/>
        <v>4</v>
      </c>
      <c r="S428" s="11" t="str">
        <f t="shared" si="35"/>
        <v>700-749</v>
      </c>
    </row>
    <row r="429" spans="1:19" x14ac:dyDescent="0.3">
      <c r="A429" s="11" t="s">
        <v>441</v>
      </c>
      <c r="B429" s="11" t="s">
        <v>1022</v>
      </c>
      <c r="C429" s="11">
        <v>34</v>
      </c>
      <c r="D429" s="11" t="s">
        <v>1035</v>
      </c>
      <c r="E429" s="11" t="s">
        <v>1038</v>
      </c>
      <c r="F429" s="12">
        <v>1972418</v>
      </c>
      <c r="G429" s="12">
        <v>1494797</v>
      </c>
      <c r="H429" s="11">
        <v>8.8699999999999992</v>
      </c>
      <c r="I429" s="11">
        <v>36</v>
      </c>
      <c r="J429" s="11">
        <v>605</v>
      </c>
      <c r="K429" s="11" t="s">
        <v>1041</v>
      </c>
      <c r="L429" s="11" t="s">
        <v>1044</v>
      </c>
      <c r="M429" s="13">
        <v>43215</v>
      </c>
      <c r="N429" s="11" t="s">
        <v>1048</v>
      </c>
      <c r="O429" s="14">
        <f t="shared" si="31"/>
        <v>47443.755919598843</v>
      </c>
      <c r="P429" s="14">
        <f t="shared" si="32"/>
        <v>1707975.2131055584</v>
      </c>
      <c r="Q429" s="14">
        <f t="shared" si="33"/>
        <v>213178.21310555842</v>
      </c>
      <c r="R429" s="11">
        <f t="shared" ca="1" si="34"/>
        <v>7</v>
      </c>
      <c r="S429" s="11" t="str">
        <f t="shared" si="35"/>
        <v>600-649</v>
      </c>
    </row>
    <row r="430" spans="1:19" x14ac:dyDescent="0.3">
      <c r="A430" s="11" t="s">
        <v>442</v>
      </c>
      <c r="B430" s="11" t="s">
        <v>1029</v>
      </c>
      <c r="C430" s="11">
        <v>39</v>
      </c>
      <c r="D430" s="11" t="s">
        <v>1034</v>
      </c>
      <c r="E430" s="11" t="s">
        <v>1037</v>
      </c>
      <c r="F430" s="12">
        <v>1678969</v>
      </c>
      <c r="G430" s="12">
        <v>1158955</v>
      </c>
      <c r="H430" s="11">
        <v>12.65</v>
      </c>
      <c r="I430" s="11">
        <v>84</v>
      </c>
      <c r="J430" s="11">
        <v>815</v>
      </c>
      <c r="K430" s="11" t="s">
        <v>1039</v>
      </c>
      <c r="L430" s="11" t="s">
        <v>1044</v>
      </c>
      <c r="M430" s="13">
        <v>44030</v>
      </c>
      <c r="N430" s="11" t="s">
        <v>1046</v>
      </c>
      <c r="O430" s="14">
        <f t="shared" si="31"/>
        <v>20863.766984424572</v>
      </c>
      <c r="P430" s="14">
        <f t="shared" si="32"/>
        <v>1752556.4266916641</v>
      </c>
      <c r="Q430" s="14">
        <f t="shared" si="33"/>
        <v>593601.42669166415</v>
      </c>
      <c r="R430" s="11">
        <f t="shared" ca="1" si="34"/>
        <v>5</v>
      </c>
      <c r="S430" s="11" t="str">
        <f t="shared" si="35"/>
        <v>800-850</v>
      </c>
    </row>
    <row r="431" spans="1:19" x14ac:dyDescent="0.3">
      <c r="A431" s="11" t="s">
        <v>443</v>
      </c>
      <c r="B431" s="11" t="s">
        <v>1033</v>
      </c>
      <c r="C431" s="11">
        <v>29</v>
      </c>
      <c r="D431" s="11" t="s">
        <v>1034</v>
      </c>
      <c r="E431" s="11" t="s">
        <v>1038</v>
      </c>
      <c r="F431" s="12">
        <v>1775444</v>
      </c>
      <c r="G431" s="12">
        <v>1581378</v>
      </c>
      <c r="H431" s="11">
        <v>11.55</v>
      </c>
      <c r="I431" s="11">
        <v>36</v>
      </c>
      <c r="J431" s="11">
        <v>627</v>
      </c>
      <c r="K431" s="11" t="s">
        <v>1040</v>
      </c>
      <c r="L431" s="11" t="s">
        <v>1044</v>
      </c>
      <c r="M431" s="13">
        <v>45245</v>
      </c>
      <c r="N431" s="11" t="s">
        <v>1048</v>
      </c>
      <c r="O431" s="14">
        <f t="shared" si="31"/>
        <v>52185.143753468918</v>
      </c>
      <c r="P431" s="14">
        <f t="shared" si="32"/>
        <v>1878665.1751248811</v>
      </c>
      <c r="Q431" s="14">
        <f t="shared" si="33"/>
        <v>297287.17512488109</v>
      </c>
      <c r="R431" s="11">
        <f t="shared" ca="1" si="34"/>
        <v>2</v>
      </c>
      <c r="S431" s="11" t="str">
        <f t="shared" si="35"/>
        <v>600-649</v>
      </c>
    </row>
    <row r="432" spans="1:19" x14ac:dyDescent="0.3">
      <c r="A432" s="11" t="s">
        <v>444</v>
      </c>
      <c r="B432" s="11" t="s">
        <v>1016</v>
      </c>
      <c r="C432" s="11">
        <v>46</v>
      </c>
      <c r="D432" s="11" t="s">
        <v>1035</v>
      </c>
      <c r="E432" s="11" t="s">
        <v>1038</v>
      </c>
      <c r="F432" s="12">
        <v>1210439</v>
      </c>
      <c r="G432" s="12">
        <v>514039</v>
      </c>
      <c r="H432" s="11">
        <v>14.45</v>
      </c>
      <c r="I432" s="11">
        <v>48</v>
      </c>
      <c r="J432" s="11">
        <v>754</v>
      </c>
      <c r="K432" s="11" t="s">
        <v>1040</v>
      </c>
      <c r="L432" s="11" t="s">
        <v>1044</v>
      </c>
      <c r="M432" s="13">
        <v>45393</v>
      </c>
      <c r="N432" s="11" t="s">
        <v>1045</v>
      </c>
      <c r="O432" s="14">
        <f t="shared" si="31"/>
        <v>14163.185895989265</v>
      </c>
      <c r="P432" s="14">
        <f t="shared" si="32"/>
        <v>679832.92300748476</v>
      </c>
      <c r="Q432" s="14">
        <f t="shared" si="33"/>
        <v>165793.92300748476</v>
      </c>
      <c r="R432" s="11">
        <f t="shared" ca="1" si="34"/>
        <v>1</v>
      </c>
      <c r="S432" s="11" t="str">
        <f t="shared" si="35"/>
        <v>750-799</v>
      </c>
    </row>
    <row r="433" spans="1:19" x14ac:dyDescent="0.3">
      <c r="A433" s="11" t="s">
        <v>445</v>
      </c>
      <c r="B433" s="11" t="s">
        <v>1016</v>
      </c>
      <c r="C433" s="11">
        <v>41</v>
      </c>
      <c r="D433" s="11" t="s">
        <v>1035</v>
      </c>
      <c r="E433" s="11" t="s">
        <v>1037</v>
      </c>
      <c r="F433" s="12">
        <v>543192</v>
      </c>
      <c r="G433" s="12">
        <v>814907</v>
      </c>
      <c r="H433" s="11">
        <v>9.9600000000000009</v>
      </c>
      <c r="I433" s="11">
        <v>72</v>
      </c>
      <c r="J433" s="11">
        <v>784</v>
      </c>
      <c r="K433" s="11" t="s">
        <v>1039</v>
      </c>
      <c r="L433" s="11" t="s">
        <v>1044</v>
      </c>
      <c r="M433" s="13">
        <v>43465</v>
      </c>
      <c r="N433" s="11" t="s">
        <v>1046</v>
      </c>
      <c r="O433" s="14">
        <f t="shared" si="31"/>
        <v>15080.402347763033</v>
      </c>
      <c r="P433" s="14">
        <f t="shared" si="32"/>
        <v>1085788.9690389384</v>
      </c>
      <c r="Q433" s="14">
        <f t="shared" si="33"/>
        <v>270881.9690389384</v>
      </c>
      <c r="R433" s="11">
        <f t="shared" ca="1" si="34"/>
        <v>7</v>
      </c>
      <c r="S433" s="11" t="str">
        <f t="shared" si="35"/>
        <v>750-799</v>
      </c>
    </row>
    <row r="434" spans="1:19" x14ac:dyDescent="0.3">
      <c r="A434" s="11" t="s">
        <v>446</v>
      </c>
      <c r="B434" s="11" t="s">
        <v>1023</v>
      </c>
      <c r="C434" s="11">
        <v>48</v>
      </c>
      <c r="D434" s="11" t="s">
        <v>1035</v>
      </c>
      <c r="E434" s="11" t="s">
        <v>1037</v>
      </c>
      <c r="F434" s="12">
        <v>1248733</v>
      </c>
      <c r="G434" s="12">
        <v>972280</v>
      </c>
      <c r="H434" s="11">
        <v>8.76</v>
      </c>
      <c r="I434" s="11">
        <v>96</v>
      </c>
      <c r="J434" s="11">
        <v>706</v>
      </c>
      <c r="K434" s="11" t="s">
        <v>1039</v>
      </c>
      <c r="L434" s="11" t="s">
        <v>1044</v>
      </c>
      <c r="M434" s="13">
        <v>44292</v>
      </c>
      <c r="N434" s="11" t="s">
        <v>1046</v>
      </c>
      <c r="O434" s="14">
        <f t="shared" si="31"/>
        <v>14123.340030381314</v>
      </c>
      <c r="P434" s="14">
        <f t="shared" si="32"/>
        <v>1355840.6429166063</v>
      </c>
      <c r="Q434" s="14">
        <f t="shared" si="33"/>
        <v>383560.64291660627</v>
      </c>
      <c r="R434" s="11">
        <f t="shared" ca="1" si="34"/>
        <v>4</v>
      </c>
      <c r="S434" s="11" t="str">
        <f t="shared" si="35"/>
        <v>700-749</v>
      </c>
    </row>
    <row r="435" spans="1:19" x14ac:dyDescent="0.3">
      <c r="A435" s="11" t="s">
        <v>447</v>
      </c>
      <c r="B435" s="11" t="s">
        <v>1022</v>
      </c>
      <c r="C435" s="11">
        <v>32</v>
      </c>
      <c r="D435" s="11" t="s">
        <v>1035</v>
      </c>
      <c r="E435" s="11" t="s">
        <v>1038</v>
      </c>
      <c r="F435" s="12">
        <v>598755</v>
      </c>
      <c r="G435" s="12">
        <v>1208083</v>
      </c>
      <c r="H435" s="11">
        <v>14.4</v>
      </c>
      <c r="I435" s="11">
        <v>36</v>
      </c>
      <c r="J435" s="11">
        <v>630</v>
      </c>
      <c r="K435" s="11" t="s">
        <v>1042</v>
      </c>
      <c r="L435" s="11" t="s">
        <v>1043</v>
      </c>
      <c r="M435" s="13">
        <v>45333</v>
      </c>
      <c r="N435" s="11" t="s">
        <v>1046</v>
      </c>
      <c r="O435" s="14">
        <f t="shared" si="31"/>
        <v>41524.503805446548</v>
      </c>
      <c r="P435" s="14">
        <f t="shared" si="32"/>
        <v>1494882.1369960757</v>
      </c>
      <c r="Q435" s="14">
        <f t="shared" si="33"/>
        <v>286799.13699607574</v>
      </c>
      <c r="R435" s="11">
        <f t="shared" ca="1" si="34"/>
        <v>1</v>
      </c>
      <c r="S435" s="11" t="str">
        <f t="shared" si="35"/>
        <v>600-649</v>
      </c>
    </row>
    <row r="436" spans="1:19" x14ac:dyDescent="0.3">
      <c r="A436" s="11" t="s">
        <v>448</v>
      </c>
      <c r="B436" s="11" t="s">
        <v>1028</v>
      </c>
      <c r="C436" s="11">
        <v>57</v>
      </c>
      <c r="D436" s="11" t="s">
        <v>1035</v>
      </c>
      <c r="E436" s="11" t="s">
        <v>1037</v>
      </c>
      <c r="F436" s="12">
        <v>1442061</v>
      </c>
      <c r="G436" s="12">
        <v>659859</v>
      </c>
      <c r="H436" s="11">
        <v>12.19</v>
      </c>
      <c r="I436" s="11">
        <v>72</v>
      </c>
      <c r="J436" s="11">
        <v>849</v>
      </c>
      <c r="K436" s="11" t="s">
        <v>1041</v>
      </c>
      <c r="L436" s="11" t="s">
        <v>1043</v>
      </c>
      <c r="M436" s="13">
        <v>43422</v>
      </c>
      <c r="N436" s="11" t="s">
        <v>1048</v>
      </c>
      <c r="O436" s="14">
        <f t="shared" si="31"/>
        <v>12965.660601413629</v>
      </c>
      <c r="P436" s="14">
        <f t="shared" si="32"/>
        <v>933527.56330178131</v>
      </c>
      <c r="Q436" s="14">
        <f t="shared" si="33"/>
        <v>273668.56330178131</v>
      </c>
      <c r="R436" s="11">
        <f t="shared" ca="1" si="34"/>
        <v>7</v>
      </c>
      <c r="S436" s="11" t="str">
        <f t="shared" si="35"/>
        <v>800-850</v>
      </c>
    </row>
    <row r="437" spans="1:19" x14ac:dyDescent="0.3">
      <c r="A437" s="11" t="s">
        <v>449</v>
      </c>
      <c r="B437" s="11" t="s">
        <v>1025</v>
      </c>
      <c r="C437" s="11">
        <v>48</v>
      </c>
      <c r="D437" s="11" t="s">
        <v>1034</v>
      </c>
      <c r="E437" s="11" t="s">
        <v>1037</v>
      </c>
      <c r="F437" s="12">
        <v>495519</v>
      </c>
      <c r="G437" s="12">
        <v>833578</v>
      </c>
      <c r="H437" s="11">
        <v>14.47</v>
      </c>
      <c r="I437" s="11">
        <v>96</v>
      </c>
      <c r="J437" s="11">
        <v>600</v>
      </c>
      <c r="K437" s="11" t="s">
        <v>1039</v>
      </c>
      <c r="L437" s="11" t="s">
        <v>1044</v>
      </c>
      <c r="M437" s="13">
        <v>43440</v>
      </c>
      <c r="N437" s="11" t="s">
        <v>1046</v>
      </c>
      <c r="O437" s="14">
        <f t="shared" si="31"/>
        <v>14704.35262453494</v>
      </c>
      <c r="P437" s="14">
        <f t="shared" si="32"/>
        <v>1411617.8519553542</v>
      </c>
      <c r="Q437" s="14">
        <f t="shared" si="33"/>
        <v>578039.85195535421</v>
      </c>
      <c r="R437" s="11">
        <f t="shared" ca="1" si="34"/>
        <v>7</v>
      </c>
      <c r="S437" s="11" t="str">
        <f t="shared" si="35"/>
        <v>600-649</v>
      </c>
    </row>
    <row r="438" spans="1:19" x14ac:dyDescent="0.3">
      <c r="A438" s="11" t="s">
        <v>450</v>
      </c>
      <c r="B438" s="11" t="s">
        <v>1030</v>
      </c>
      <c r="C438" s="11">
        <v>57</v>
      </c>
      <c r="D438" s="11" t="s">
        <v>1035</v>
      </c>
      <c r="E438" s="11" t="s">
        <v>1036</v>
      </c>
      <c r="F438" s="12">
        <v>1825344</v>
      </c>
      <c r="G438" s="12">
        <v>712368</v>
      </c>
      <c r="H438" s="11">
        <v>13.03</v>
      </c>
      <c r="I438" s="11">
        <v>120</v>
      </c>
      <c r="J438" s="11">
        <v>613</v>
      </c>
      <c r="K438" s="11" t="s">
        <v>1042</v>
      </c>
      <c r="L438" s="11" t="s">
        <v>1044</v>
      </c>
      <c r="M438" s="13">
        <v>43376</v>
      </c>
      <c r="N438" s="11" t="s">
        <v>1047</v>
      </c>
      <c r="O438" s="14">
        <f t="shared" si="31"/>
        <v>10649.028201962123</v>
      </c>
      <c r="P438" s="14">
        <f t="shared" si="32"/>
        <v>1277883.3842354547</v>
      </c>
      <c r="Q438" s="14">
        <f t="shared" si="33"/>
        <v>565515.38423545472</v>
      </c>
      <c r="R438" s="11">
        <f t="shared" ca="1" si="34"/>
        <v>7</v>
      </c>
      <c r="S438" s="11" t="str">
        <f t="shared" si="35"/>
        <v>600-649</v>
      </c>
    </row>
    <row r="439" spans="1:19" x14ac:dyDescent="0.3">
      <c r="A439" s="11" t="s">
        <v>451</v>
      </c>
      <c r="B439" s="11" t="s">
        <v>1016</v>
      </c>
      <c r="C439" s="11">
        <v>49</v>
      </c>
      <c r="D439" s="11" t="s">
        <v>1035</v>
      </c>
      <c r="E439" s="11" t="s">
        <v>1037</v>
      </c>
      <c r="F439" s="12">
        <v>1438486</v>
      </c>
      <c r="G439" s="12">
        <v>1511170</v>
      </c>
      <c r="H439" s="11">
        <v>10.42</v>
      </c>
      <c r="I439" s="11">
        <v>60</v>
      </c>
      <c r="J439" s="11">
        <v>607</v>
      </c>
      <c r="K439" s="11" t="s">
        <v>1040</v>
      </c>
      <c r="L439" s="11" t="s">
        <v>1044</v>
      </c>
      <c r="M439" s="13">
        <v>43481</v>
      </c>
      <c r="N439" s="11" t="s">
        <v>1046</v>
      </c>
      <c r="O439" s="14">
        <f t="shared" si="31"/>
        <v>32421.081397233211</v>
      </c>
      <c r="P439" s="14">
        <f t="shared" si="32"/>
        <v>1945264.8838339928</v>
      </c>
      <c r="Q439" s="14">
        <f t="shared" si="33"/>
        <v>434094.88383399276</v>
      </c>
      <c r="R439" s="11">
        <f t="shared" ca="1" si="34"/>
        <v>6</v>
      </c>
      <c r="S439" s="11" t="str">
        <f t="shared" si="35"/>
        <v>600-649</v>
      </c>
    </row>
    <row r="440" spans="1:19" x14ac:dyDescent="0.3">
      <c r="A440" s="11" t="s">
        <v>452</v>
      </c>
      <c r="B440" s="11" t="s">
        <v>1019</v>
      </c>
      <c r="C440" s="11">
        <v>48</v>
      </c>
      <c r="D440" s="11" t="s">
        <v>1035</v>
      </c>
      <c r="E440" s="11" t="s">
        <v>1038</v>
      </c>
      <c r="F440" s="12">
        <v>1006715</v>
      </c>
      <c r="G440" s="12">
        <v>602812</v>
      </c>
      <c r="H440" s="11">
        <v>13.36</v>
      </c>
      <c r="I440" s="11">
        <v>36</v>
      </c>
      <c r="J440" s="11">
        <v>669</v>
      </c>
      <c r="K440" s="11" t="s">
        <v>1042</v>
      </c>
      <c r="L440" s="11" t="s">
        <v>1044</v>
      </c>
      <c r="M440" s="13">
        <v>43184</v>
      </c>
      <c r="N440" s="11" t="s">
        <v>1046</v>
      </c>
      <c r="O440" s="14">
        <f t="shared" si="31"/>
        <v>20415.802831739191</v>
      </c>
      <c r="P440" s="14">
        <f t="shared" si="32"/>
        <v>734968.90194261086</v>
      </c>
      <c r="Q440" s="14">
        <f t="shared" si="33"/>
        <v>132156.90194261086</v>
      </c>
      <c r="R440" s="11">
        <f t="shared" ca="1" si="34"/>
        <v>7</v>
      </c>
      <c r="S440" s="11" t="str">
        <f t="shared" si="35"/>
        <v>650-699</v>
      </c>
    </row>
    <row r="441" spans="1:19" x14ac:dyDescent="0.3">
      <c r="A441" s="11" t="s">
        <v>453</v>
      </c>
      <c r="B441" s="11" t="s">
        <v>1021</v>
      </c>
      <c r="C441" s="11">
        <v>30</v>
      </c>
      <c r="D441" s="11" t="s">
        <v>1034</v>
      </c>
      <c r="E441" s="11" t="s">
        <v>1037</v>
      </c>
      <c r="F441" s="12">
        <v>1242889</v>
      </c>
      <c r="G441" s="12">
        <v>500508</v>
      </c>
      <c r="H441" s="11">
        <v>9.9600000000000009</v>
      </c>
      <c r="I441" s="11">
        <v>72</v>
      </c>
      <c r="J441" s="11">
        <v>803</v>
      </c>
      <c r="K441" s="11" t="s">
        <v>1042</v>
      </c>
      <c r="L441" s="11" t="s">
        <v>1043</v>
      </c>
      <c r="M441" s="13">
        <v>44190</v>
      </c>
      <c r="N441" s="11" t="s">
        <v>1048</v>
      </c>
      <c r="O441" s="14">
        <f t="shared" si="31"/>
        <v>9262.2373083973762</v>
      </c>
      <c r="P441" s="14">
        <f t="shared" si="32"/>
        <v>666881.08620461111</v>
      </c>
      <c r="Q441" s="14">
        <f t="shared" si="33"/>
        <v>166373.08620461111</v>
      </c>
      <c r="R441" s="11">
        <f t="shared" ca="1" si="34"/>
        <v>5</v>
      </c>
      <c r="S441" s="11" t="str">
        <f t="shared" si="35"/>
        <v>800-850</v>
      </c>
    </row>
    <row r="442" spans="1:19" x14ac:dyDescent="0.3">
      <c r="A442" s="11" t="s">
        <v>454</v>
      </c>
      <c r="B442" s="11" t="s">
        <v>1019</v>
      </c>
      <c r="C442" s="11">
        <v>40</v>
      </c>
      <c r="D442" s="11" t="s">
        <v>1034</v>
      </c>
      <c r="E442" s="11" t="s">
        <v>1037</v>
      </c>
      <c r="F442" s="12">
        <v>558204</v>
      </c>
      <c r="G442" s="12">
        <v>902952</v>
      </c>
      <c r="H442" s="11">
        <v>11.58</v>
      </c>
      <c r="I442" s="11">
        <v>48</v>
      </c>
      <c r="J442" s="11">
        <v>645</v>
      </c>
      <c r="K442" s="11" t="s">
        <v>1042</v>
      </c>
      <c r="L442" s="11" t="s">
        <v>1043</v>
      </c>
      <c r="M442" s="13">
        <v>44522</v>
      </c>
      <c r="N442" s="11" t="s">
        <v>1045</v>
      </c>
      <c r="O442" s="14">
        <f t="shared" si="31"/>
        <v>23592.412179060429</v>
      </c>
      <c r="P442" s="14">
        <f t="shared" si="32"/>
        <v>1132435.7845949007</v>
      </c>
      <c r="Q442" s="14">
        <f t="shared" si="33"/>
        <v>229483.78459490067</v>
      </c>
      <c r="R442" s="11">
        <f t="shared" ca="1" si="34"/>
        <v>4</v>
      </c>
      <c r="S442" s="11" t="str">
        <f t="shared" si="35"/>
        <v>600-649</v>
      </c>
    </row>
    <row r="443" spans="1:19" x14ac:dyDescent="0.3">
      <c r="A443" s="11" t="s">
        <v>455</v>
      </c>
      <c r="B443" s="11" t="s">
        <v>1017</v>
      </c>
      <c r="C443" s="11">
        <v>40</v>
      </c>
      <c r="D443" s="11" t="s">
        <v>1034</v>
      </c>
      <c r="E443" s="11" t="s">
        <v>1036</v>
      </c>
      <c r="F443" s="12">
        <v>766768</v>
      </c>
      <c r="G443" s="12">
        <v>256988</v>
      </c>
      <c r="H443" s="11">
        <v>9.74</v>
      </c>
      <c r="I443" s="11">
        <v>120</v>
      </c>
      <c r="J443" s="11">
        <v>629</v>
      </c>
      <c r="K443" s="11" t="s">
        <v>1040</v>
      </c>
      <c r="L443" s="11" t="s">
        <v>1043</v>
      </c>
      <c r="M443" s="13">
        <v>44041</v>
      </c>
      <c r="N443" s="11" t="s">
        <v>1046</v>
      </c>
      <c r="O443" s="14">
        <f t="shared" si="31"/>
        <v>3359.2233860401288</v>
      </c>
      <c r="P443" s="14">
        <f t="shared" si="32"/>
        <v>403106.80632481544</v>
      </c>
      <c r="Q443" s="14">
        <f t="shared" si="33"/>
        <v>146118.80632481544</v>
      </c>
      <c r="R443" s="11">
        <f t="shared" ca="1" si="34"/>
        <v>5</v>
      </c>
      <c r="S443" s="11" t="str">
        <f t="shared" si="35"/>
        <v>600-649</v>
      </c>
    </row>
    <row r="444" spans="1:19" x14ac:dyDescent="0.3">
      <c r="A444" s="11" t="s">
        <v>456</v>
      </c>
      <c r="B444" s="11" t="s">
        <v>1016</v>
      </c>
      <c r="C444" s="11">
        <v>50</v>
      </c>
      <c r="D444" s="11" t="s">
        <v>1034</v>
      </c>
      <c r="E444" s="11" t="s">
        <v>1036</v>
      </c>
      <c r="F444" s="12">
        <v>896502</v>
      </c>
      <c r="G444" s="12">
        <v>1746244</v>
      </c>
      <c r="H444" s="11">
        <v>12.9</v>
      </c>
      <c r="I444" s="11">
        <v>96</v>
      </c>
      <c r="J444" s="11">
        <v>840</v>
      </c>
      <c r="K444" s="11" t="s">
        <v>1039</v>
      </c>
      <c r="L444" s="11" t="s">
        <v>1044</v>
      </c>
      <c r="M444" s="13">
        <v>45372</v>
      </c>
      <c r="N444" s="11" t="s">
        <v>1045</v>
      </c>
      <c r="O444" s="14">
        <f t="shared" si="31"/>
        <v>29251.976639422603</v>
      </c>
      <c r="P444" s="14">
        <f t="shared" si="32"/>
        <v>2808189.7573845698</v>
      </c>
      <c r="Q444" s="14">
        <f t="shared" si="33"/>
        <v>1061945.7573845698</v>
      </c>
      <c r="R444" s="11">
        <f t="shared" ca="1" si="34"/>
        <v>1</v>
      </c>
      <c r="S444" s="11" t="str">
        <f t="shared" si="35"/>
        <v>800-850</v>
      </c>
    </row>
    <row r="445" spans="1:19" x14ac:dyDescent="0.3">
      <c r="A445" s="11" t="s">
        <v>457</v>
      </c>
      <c r="B445" s="11" t="s">
        <v>1025</v>
      </c>
      <c r="C445" s="11">
        <v>42</v>
      </c>
      <c r="D445" s="11" t="s">
        <v>1034</v>
      </c>
      <c r="E445" s="11" t="s">
        <v>1036</v>
      </c>
      <c r="F445" s="12">
        <v>305235</v>
      </c>
      <c r="G445" s="12">
        <v>927517</v>
      </c>
      <c r="H445" s="11">
        <v>8.2799999999999994</v>
      </c>
      <c r="I445" s="11">
        <v>48</v>
      </c>
      <c r="J445" s="11">
        <v>705</v>
      </c>
      <c r="K445" s="11" t="s">
        <v>1040</v>
      </c>
      <c r="L445" s="11" t="s">
        <v>1044</v>
      </c>
      <c r="M445" s="13">
        <v>43301</v>
      </c>
      <c r="N445" s="11" t="s">
        <v>1047</v>
      </c>
      <c r="O445" s="14">
        <f t="shared" si="31"/>
        <v>22765.504308496053</v>
      </c>
      <c r="P445" s="14">
        <f t="shared" si="32"/>
        <v>1092744.2068078106</v>
      </c>
      <c r="Q445" s="14">
        <f t="shared" si="33"/>
        <v>165227.20680781058</v>
      </c>
      <c r="R445" s="11">
        <f t="shared" ca="1" si="34"/>
        <v>7</v>
      </c>
      <c r="S445" s="11" t="str">
        <f t="shared" si="35"/>
        <v>700-749</v>
      </c>
    </row>
    <row r="446" spans="1:19" x14ac:dyDescent="0.3">
      <c r="A446" s="11" t="s">
        <v>458</v>
      </c>
      <c r="B446" s="11" t="s">
        <v>1020</v>
      </c>
      <c r="C446" s="11">
        <v>42</v>
      </c>
      <c r="D446" s="11" t="s">
        <v>1034</v>
      </c>
      <c r="E446" s="11" t="s">
        <v>1036</v>
      </c>
      <c r="F446" s="12">
        <v>1819992</v>
      </c>
      <c r="G446" s="12">
        <v>354759</v>
      </c>
      <c r="H446" s="11">
        <v>12.85</v>
      </c>
      <c r="I446" s="11">
        <v>96</v>
      </c>
      <c r="J446" s="11">
        <v>671</v>
      </c>
      <c r="K446" s="11" t="s">
        <v>1040</v>
      </c>
      <c r="L446" s="11" t="s">
        <v>1044</v>
      </c>
      <c r="M446" s="13">
        <v>44402</v>
      </c>
      <c r="N446" s="11" t="s">
        <v>1048</v>
      </c>
      <c r="O446" s="14">
        <f t="shared" si="31"/>
        <v>5932.7986778571421</v>
      </c>
      <c r="P446" s="14">
        <f t="shared" si="32"/>
        <v>569548.67307428562</v>
      </c>
      <c r="Q446" s="14">
        <f t="shared" si="33"/>
        <v>214789.67307428562</v>
      </c>
      <c r="R446" s="11">
        <f t="shared" ca="1" si="34"/>
        <v>4</v>
      </c>
      <c r="S446" s="11" t="str">
        <f t="shared" si="35"/>
        <v>650-699</v>
      </c>
    </row>
    <row r="447" spans="1:19" x14ac:dyDescent="0.3">
      <c r="A447" s="11" t="s">
        <v>459</v>
      </c>
      <c r="B447" s="11" t="s">
        <v>1028</v>
      </c>
      <c r="C447" s="11">
        <v>59</v>
      </c>
      <c r="D447" s="11" t="s">
        <v>1035</v>
      </c>
      <c r="E447" s="11" t="s">
        <v>1038</v>
      </c>
      <c r="F447" s="12">
        <v>1144064</v>
      </c>
      <c r="G447" s="12">
        <v>1898777</v>
      </c>
      <c r="H447" s="11">
        <v>14.22</v>
      </c>
      <c r="I447" s="11">
        <v>96</v>
      </c>
      <c r="J447" s="11">
        <v>819</v>
      </c>
      <c r="K447" s="11" t="s">
        <v>1040</v>
      </c>
      <c r="L447" s="11" t="s">
        <v>1044</v>
      </c>
      <c r="M447" s="13">
        <v>45597</v>
      </c>
      <c r="N447" s="11" t="s">
        <v>1045</v>
      </c>
      <c r="O447" s="14">
        <f t="shared" si="31"/>
        <v>33222.782549239499</v>
      </c>
      <c r="P447" s="14">
        <f t="shared" si="32"/>
        <v>3189387.1247269921</v>
      </c>
      <c r="Q447" s="14">
        <f t="shared" si="33"/>
        <v>1290610.1247269921</v>
      </c>
      <c r="R447" s="11">
        <f t="shared" ca="1" si="34"/>
        <v>1</v>
      </c>
      <c r="S447" s="11" t="str">
        <f t="shared" si="35"/>
        <v>800-850</v>
      </c>
    </row>
    <row r="448" spans="1:19" x14ac:dyDescent="0.3">
      <c r="A448" s="11" t="s">
        <v>460</v>
      </c>
      <c r="B448" s="11" t="s">
        <v>1026</v>
      </c>
      <c r="C448" s="11">
        <v>56</v>
      </c>
      <c r="D448" s="11" t="s">
        <v>1034</v>
      </c>
      <c r="E448" s="11" t="s">
        <v>1036</v>
      </c>
      <c r="F448" s="12">
        <v>678416</v>
      </c>
      <c r="G448" s="12">
        <v>1226402</v>
      </c>
      <c r="H448" s="11">
        <v>11.48</v>
      </c>
      <c r="I448" s="11">
        <v>120</v>
      </c>
      <c r="J448" s="11">
        <v>780</v>
      </c>
      <c r="K448" s="11" t="s">
        <v>1041</v>
      </c>
      <c r="L448" s="11" t="s">
        <v>1044</v>
      </c>
      <c r="M448" s="13">
        <v>43667</v>
      </c>
      <c r="N448" s="11" t="s">
        <v>1047</v>
      </c>
      <c r="O448" s="14">
        <f t="shared" si="31"/>
        <v>17228.623694984828</v>
      </c>
      <c r="P448" s="14">
        <f t="shared" si="32"/>
        <v>2067434.8433981794</v>
      </c>
      <c r="Q448" s="14">
        <f t="shared" si="33"/>
        <v>841032.84339817939</v>
      </c>
      <c r="R448" s="11">
        <f t="shared" ca="1" si="34"/>
        <v>6</v>
      </c>
      <c r="S448" s="11" t="str">
        <f t="shared" si="35"/>
        <v>750-799</v>
      </c>
    </row>
    <row r="449" spans="1:19" x14ac:dyDescent="0.3">
      <c r="A449" s="11" t="s">
        <v>461</v>
      </c>
      <c r="B449" s="11" t="s">
        <v>1024</v>
      </c>
      <c r="C449" s="11">
        <v>41</v>
      </c>
      <c r="D449" s="11" t="s">
        <v>1034</v>
      </c>
      <c r="E449" s="11" t="s">
        <v>1037</v>
      </c>
      <c r="F449" s="12">
        <v>538047</v>
      </c>
      <c r="G449" s="12">
        <v>977543</v>
      </c>
      <c r="H449" s="11">
        <v>12.37</v>
      </c>
      <c r="I449" s="11">
        <v>48</v>
      </c>
      <c r="J449" s="11">
        <v>778</v>
      </c>
      <c r="K449" s="11" t="s">
        <v>1042</v>
      </c>
      <c r="L449" s="11" t="s">
        <v>1044</v>
      </c>
      <c r="M449" s="13">
        <v>44373</v>
      </c>
      <c r="N449" s="11" t="s">
        <v>1048</v>
      </c>
      <c r="O449" s="14">
        <f t="shared" si="31"/>
        <v>25920.401119853967</v>
      </c>
      <c r="P449" s="14">
        <f t="shared" si="32"/>
        <v>1244179.2537529904</v>
      </c>
      <c r="Q449" s="14">
        <f t="shared" si="33"/>
        <v>266636.25375299039</v>
      </c>
      <c r="R449" s="11">
        <f t="shared" ca="1" si="34"/>
        <v>4</v>
      </c>
      <c r="S449" s="11" t="str">
        <f t="shared" si="35"/>
        <v>750-799</v>
      </c>
    </row>
    <row r="450" spans="1:19" x14ac:dyDescent="0.3">
      <c r="A450" s="11" t="s">
        <v>462</v>
      </c>
      <c r="B450" s="11" t="s">
        <v>1015</v>
      </c>
      <c r="C450" s="11">
        <v>59</v>
      </c>
      <c r="D450" s="11" t="s">
        <v>1034</v>
      </c>
      <c r="E450" s="11" t="s">
        <v>1036</v>
      </c>
      <c r="F450" s="12">
        <v>382284</v>
      </c>
      <c r="G450" s="12">
        <v>528321</v>
      </c>
      <c r="H450" s="11">
        <v>14.22</v>
      </c>
      <c r="I450" s="11">
        <v>96</v>
      </c>
      <c r="J450" s="11">
        <v>629</v>
      </c>
      <c r="K450" s="11" t="s">
        <v>1039</v>
      </c>
      <c r="L450" s="11" t="s">
        <v>1044</v>
      </c>
      <c r="M450" s="13">
        <v>45199</v>
      </c>
      <c r="N450" s="11" t="s">
        <v>1047</v>
      </c>
      <c r="O450" s="14">
        <f t="shared" si="31"/>
        <v>9243.9995319075169</v>
      </c>
      <c r="P450" s="14">
        <f t="shared" si="32"/>
        <v>887423.95506312163</v>
      </c>
      <c r="Q450" s="14">
        <f t="shared" si="33"/>
        <v>359102.95506312163</v>
      </c>
      <c r="R450" s="11">
        <f t="shared" ca="1" si="34"/>
        <v>2</v>
      </c>
      <c r="S450" s="11" t="str">
        <f t="shared" si="35"/>
        <v>600-649</v>
      </c>
    </row>
    <row r="451" spans="1:19" x14ac:dyDescent="0.3">
      <c r="A451" s="11" t="s">
        <v>463</v>
      </c>
      <c r="B451" s="11" t="s">
        <v>1032</v>
      </c>
      <c r="C451" s="11">
        <v>53</v>
      </c>
      <c r="D451" s="11" t="s">
        <v>1035</v>
      </c>
      <c r="E451" s="11" t="s">
        <v>1036</v>
      </c>
      <c r="F451" s="12">
        <v>838875</v>
      </c>
      <c r="G451" s="12">
        <v>1061146</v>
      </c>
      <c r="H451" s="11">
        <v>8.6</v>
      </c>
      <c r="I451" s="11">
        <v>72</v>
      </c>
      <c r="J451" s="11">
        <v>796</v>
      </c>
      <c r="K451" s="11" t="s">
        <v>1041</v>
      </c>
      <c r="L451" s="11" t="s">
        <v>1044</v>
      </c>
      <c r="M451" s="13">
        <v>44181</v>
      </c>
      <c r="N451" s="11" t="s">
        <v>1046</v>
      </c>
      <c r="O451" s="14">
        <f t="shared" ref="O451:O514" si="36">PMT(H451/1200,I451,-G451)</f>
        <v>18917.744448753685</v>
      </c>
      <c r="P451" s="14">
        <f t="shared" ref="P451:P514" si="37">O451*I451</f>
        <v>1362077.6003102653</v>
      </c>
      <c r="Q451" s="14">
        <f t="shared" ref="Q451:Q514" si="38">P451-G451</f>
        <v>300931.60031026532</v>
      </c>
      <c r="R451" s="11">
        <f t="shared" ref="R451:R514" ca="1" si="39">(YEAR(TODAY())-YEAR(M451))</f>
        <v>5</v>
      </c>
      <c r="S451" s="11" t="str">
        <f t="shared" ref="S451:S514" si="40">IF(J451&lt;650,"600-649",
IF(J451&lt;700,"650-699",
IF(J451&lt;750,"700-749",
IF(J451&lt;800,"750-799","800-850"))))</f>
        <v>750-799</v>
      </c>
    </row>
    <row r="452" spans="1:19" x14ac:dyDescent="0.3">
      <c r="A452" s="11" t="s">
        <v>464</v>
      </c>
      <c r="B452" s="11" t="s">
        <v>1019</v>
      </c>
      <c r="C452" s="11">
        <v>32</v>
      </c>
      <c r="D452" s="11" t="s">
        <v>1035</v>
      </c>
      <c r="E452" s="11" t="s">
        <v>1036</v>
      </c>
      <c r="F452" s="12">
        <v>1876270</v>
      </c>
      <c r="G452" s="12">
        <v>392772</v>
      </c>
      <c r="H452" s="11">
        <v>13.51</v>
      </c>
      <c r="I452" s="11">
        <v>72</v>
      </c>
      <c r="J452" s="11">
        <v>755</v>
      </c>
      <c r="K452" s="11" t="s">
        <v>1041</v>
      </c>
      <c r="L452" s="11" t="s">
        <v>1044</v>
      </c>
      <c r="M452" s="13">
        <v>44403</v>
      </c>
      <c r="N452" s="11" t="s">
        <v>1045</v>
      </c>
      <c r="O452" s="14">
        <f t="shared" si="36"/>
        <v>7990.6631252753441</v>
      </c>
      <c r="P452" s="14">
        <f t="shared" si="37"/>
        <v>575327.74501982483</v>
      </c>
      <c r="Q452" s="14">
        <f t="shared" si="38"/>
        <v>182555.74501982483</v>
      </c>
      <c r="R452" s="11">
        <f t="shared" ca="1" si="39"/>
        <v>4</v>
      </c>
      <c r="S452" s="11" t="str">
        <f t="shared" si="40"/>
        <v>750-799</v>
      </c>
    </row>
    <row r="453" spans="1:19" x14ac:dyDescent="0.3">
      <c r="A453" s="11" t="s">
        <v>465</v>
      </c>
      <c r="B453" s="11" t="s">
        <v>1031</v>
      </c>
      <c r="C453" s="11">
        <v>51</v>
      </c>
      <c r="D453" s="11" t="s">
        <v>1034</v>
      </c>
      <c r="E453" s="11" t="s">
        <v>1036</v>
      </c>
      <c r="F453" s="12">
        <v>510774</v>
      </c>
      <c r="G453" s="12">
        <v>1146800</v>
      </c>
      <c r="H453" s="11">
        <v>9.24</v>
      </c>
      <c r="I453" s="11">
        <v>96</v>
      </c>
      <c r="J453" s="11">
        <v>780</v>
      </c>
      <c r="K453" s="11" t="s">
        <v>1041</v>
      </c>
      <c r="L453" s="11" t="s">
        <v>1044</v>
      </c>
      <c r="M453" s="13">
        <v>44798</v>
      </c>
      <c r="N453" s="11" t="s">
        <v>1045</v>
      </c>
      <c r="O453" s="14">
        <f t="shared" si="36"/>
        <v>16943.978010974515</v>
      </c>
      <c r="P453" s="14">
        <f t="shared" si="37"/>
        <v>1626621.8890535533</v>
      </c>
      <c r="Q453" s="14">
        <f t="shared" si="38"/>
        <v>479821.88905355334</v>
      </c>
      <c r="R453" s="11">
        <f t="shared" ca="1" si="39"/>
        <v>3</v>
      </c>
      <c r="S453" s="11" t="str">
        <f t="shared" si="40"/>
        <v>750-799</v>
      </c>
    </row>
    <row r="454" spans="1:19" x14ac:dyDescent="0.3">
      <c r="A454" s="11" t="s">
        <v>466</v>
      </c>
      <c r="B454" s="11" t="s">
        <v>1027</v>
      </c>
      <c r="C454" s="11">
        <v>39</v>
      </c>
      <c r="D454" s="11" t="s">
        <v>1035</v>
      </c>
      <c r="E454" s="11" t="s">
        <v>1037</v>
      </c>
      <c r="F454" s="12">
        <v>646957</v>
      </c>
      <c r="G454" s="12">
        <v>1761773</v>
      </c>
      <c r="H454" s="11">
        <v>10.98</v>
      </c>
      <c r="I454" s="11">
        <v>120</v>
      </c>
      <c r="J454" s="11">
        <v>802</v>
      </c>
      <c r="K454" s="11" t="s">
        <v>1042</v>
      </c>
      <c r="L454" s="11" t="s">
        <v>1044</v>
      </c>
      <c r="M454" s="13">
        <v>44828</v>
      </c>
      <c r="N454" s="11" t="s">
        <v>1046</v>
      </c>
      <c r="O454" s="14">
        <f t="shared" si="36"/>
        <v>24248.484105077448</v>
      </c>
      <c r="P454" s="14">
        <f t="shared" si="37"/>
        <v>2909818.0926092938</v>
      </c>
      <c r="Q454" s="14">
        <f t="shared" si="38"/>
        <v>1148045.0926092938</v>
      </c>
      <c r="R454" s="11">
        <f t="shared" ca="1" si="39"/>
        <v>3</v>
      </c>
      <c r="S454" s="11" t="str">
        <f t="shared" si="40"/>
        <v>800-850</v>
      </c>
    </row>
    <row r="455" spans="1:19" x14ac:dyDescent="0.3">
      <c r="A455" s="11" t="s">
        <v>467</v>
      </c>
      <c r="B455" s="11" t="s">
        <v>1023</v>
      </c>
      <c r="C455" s="11">
        <v>60</v>
      </c>
      <c r="D455" s="11" t="s">
        <v>1034</v>
      </c>
      <c r="E455" s="11" t="s">
        <v>1037</v>
      </c>
      <c r="F455" s="12">
        <v>1521723</v>
      </c>
      <c r="G455" s="12">
        <v>960717</v>
      </c>
      <c r="H455" s="11">
        <v>7.71</v>
      </c>
      <c r="I455" s="11">
        <v>96</v>
      </c>
      <c r="J455" s="11">
        <v>674</v>
      </c>
      <c r="K455" s="11" t="s">
        <v>1039</v>
      </c>
      <c r="L455" s="11" t="s">
        <v>1044</v>
      </c>
      <c r="M455" s="13">
        <v>43228</v>
      </c>
      <c r="N455" s="11" t="s">
        <v>1047</v>
      </c>
      <c r="O455" s="14">
        <f t="shared" si="36"/>
        <v>13440.169165010284</v>
      </c>
      <c r="P455" s="14">
        <f t="shared" si="37"/>
        <v>1290256.2398409871</v>
      </c>
      <c r="Q455" s="14">
        <f t="shared" si="38"/>
        <v>329539.23984098714</v>
      </c>
      <c r="R455" s="11">
        <f t="shared" ca="1" si="39"/>
        <v>7</v>
      </c>
      <c r="S455" s="11" t="str">
        <f t="shared" si="40"/>
        <v>650-699</v>
      </c>
    </row>
    <row r="456" spans="1:19" x14ac:dyDescent="0.3">
      <c r="A456" s="11" t="s">
        <v>468</v>
      </c>
      <c r="B456" s="11" t="s">
        <v>1016</v>
      </c>
      <c r="C456" s="11">
        <v>37</v>
      </c>
      <c r="D456" s="11" t="s">
        <v>1034</v>
      </c>
      <c r="E456" s="11" t="s">
        <v>1038</v>
      </c>
      <c r="F456" s="12">
        <v>856333</v>
      </c>
      <c r="G456" s="12">
        <v>444718</v>
      </c>
      <c r="H456" s="11">
        <v>10.87</v>
      </c>
      <c r="I456" s="11">
        <v>48</v>
      </c>
      <c r="J456" s="11">
        <v>709</v>
      </c>
      <c r="K456" s="11" t="s">
        <v>1042</v>
      </c>
      <c r="L456" s="11" t="s">
        <v>1044</v>
      </c>
      <c r="M456" s="13">
        <v>45052</v>
      </c>
      <c r="N456" s="11" t="s">
        <v>1046</v>
      </c>
      <c r="O456" s="14">
        <f t="shared" si="36"/>
        <v>11465.913418538852</v>
      </c>
      <c r="P456" s="14">
        <f t="shared" si="37"/>
        <v>550363.84408986487</v>
      </c>
      <c r="Q456" s="14">
        <f t="shared" si="38"/>
        <v>105645.84408986487</v>
      </c>
      <c r="R456" s="11">
        <f t="shared" ca="1" si="39"/>
        <v>2</v>
      </c>
      <c r="S456" s="11" t="str">
        <f t="shared" si="40"/>
        <v>700-749</v>
      </c>
    </row>
    <row r="457" spans="1:19" x14ac:dyDescent="0.3">
      <c r="A457" s="11" t="s">
        <v>469</v>
      </c>
      <c r="B457" s="11" t="s">
        <v>1032</v>
      </c>
      <c r="C457" s="11">
        <v>41</v>
      </c>
      <c r="D457" s="11" t="s">
        <v>1034</v>
      </c>
      <c r="E457" s="11" t="s">
        <v>1036</v>
      </c>
      <c r="F457" s="12">
        <v>313975</v>
      </c>
      <c r="G457" s="12">
        <v>731637</v>
      </c>
      <c r="H457" s="11">
        <v>8.1300000000000008</v>
      </c>
      <c r="I457" s="11">
        <v>48</v>
      </c>
      <c r="J457" s="11">
        <v>621</v>
      </c>
      <c r="K457" s="11" t="s">
        <v>1041</v>
      </c>
      <c r="L457" s="11" t="s">
        <v>1043</v>
      </c>
      <c r="M457" s="13">
        <v>45391</v>
      </c>
      <c r="N457" s="11" t="s">
        <v>1047</v>
      </c>
      <c r="O457" s="14">
        <f t="shared" si="36"/>
        <v>17906.077074444889</v>
      </c>
      <c r="P457" s="14">
        <f t="shared" si="37"/>
        <v>859491.69957335468</v>
      </c>
      <c r="Q457" s="14">
        <f t="shared" si="38"/>
        <v>127854.69957335468</v>
      </c>
      <c r="R457" s="11">
        <f t="shared" ca="1" si="39"/>
        <v>1</v>
      </c>
      <c r="S457" s="11" t="str">
        <f t="shared" si="40"/>
        <v>600-649</v>
      </c>
    </row>
    <row r="458" spans="1:19" x14ac:dyDescent="0.3">
      <c r="A458" s="11" t="s">
        <v>470</v>
      </c>
      <c r="B458" s="11" t="s">
        <v>1031</v>
      </c>
      <c r="C458" s="11">
        <v>47</v>
      </c>
      <c r="D458" s="11" t="s">
        <v>1035</v>
      </c>
      <c r="E458" s="11" t="s">
        <v>1037</v>
      </c>
      <c r="F458" s="12">
        <v>1187223</v>
      </c>
      <c r="G458" s="12">
        <v>1580569</v>
      </c>
      <c r="H458" s="11">
        <v>13.11</v>
      </c>
      <c r="I458" s="11">
        <v>36</v>
      </c>
      <c r="J458" s="11">
        <v>832</v>
      </c>
      <c r="K458" s="11" t="s">
        <v>1042</v>
      </c>
      <c r="L458" s="11" t="s">
        <v>1044</v>
      </c>
      <c r="M458" s="13">
        <v>44325</v>
      </c>
      <c r="N458" s="11" t="s">
        <v>1047</v>
      </c>
      <c r="O458" s="14">
        <f t="shared" si="36"/>
        <v>53339.397672609848</v>
      </c>
      <c r="P458" s="14">
        <f t="shared" si="37"/>
        <v>1920218.3162139545</v>
      </c>
      <c r="Q458" s="14">
        <f t="shared" si="38"/>
        <v>339649.31621395447</v>
      </c>
      <c r="R458" s="11">
        <f t="shared" ca="1" si="39"/>
        <v>4</v>
      </c>
      <c r="S458" s="11" t="str">
        <f t="shared" si="40"/>
        <v>800-850</v>
      </c>
    </row>
    <row r="459" spans="1:19" x14ac:dyDescent="0.3">
      <c r="A459" s="11" t="s">
        <v>471</v>
      </c>
      <c r="B459" s="11" t="s">
        <v>1028</v>
      </c>
      <c r="C459" s="11">
        <v>47</v>
      </c>
      <c r="D459" s="11" t="s">
        <v>1034</v>
      </c>
      <c r="E459" s="11" t="s">
        <v>1037</v>
      </c>
      <c r="F459" s="12">
        <v>464608</v>
      </c>
      <c r="G459" s="12">
        <v>908339</v>
      </c>
      <c r="H459" s="11">
        <v>9.49</v>
      </c>
      <c r="I459" s="11">
        <v>60</v>
      </c>
      <c r="J459" s="11">
        <v>671</v>
      </c>
      <c r="K459" s="11" t="s">
        <v>1040</v>
      </c>
      <c r="L459" s="11" t="s">
        <v>1044</v>
      </c>
      <c r="M459" s="13">
        <v>45049</v>
      </c>
      <c r="N459" s="11" t="s">
        <v>1048</v>
      </c>
      <c r="O459" s="14">
        <f t="shared" si="36"/>
        <v>19072.371032731473</v>
      </c>
      <c r="P459" s="14">
        <f t="shared" si="37"/>
        <v>1144342.2619638883</v>
      </c>
      <c r="Q459" s="14">
        <f t="shared" si="38"/>
        <v>236003.2619638883</v>
      </c>
      <c r="R459" s="11">
        <f t="shared" ca="1" si="39"/>
        <v>2</v>
      </c>
      <c r="S459" s="11" t="str">
        <f t="shared" si="40"/>
        <v>650-699</v>
      </c>
    </row>
    <row r="460" spans="1:19" x14ac:dyDescent="0.3">
      <c r="A460" s="11" t="s">
        <v>472</v>
      </c>
      <c r="B460" s="11" t="s">
        <v>1027</v>
      </c>
      <c r="C460" s="11">
        <v>33</v>
      </c>
      <c r="D460" s="11" t="s">
        <v>1035</v>
      </c>
      <c r="E460" s="11" t="s">
        <v>1036</v>
      </c>
      <c r="F460" s="12">
        <v>724606</v>
      </c>
      <c r="G460" s="12">
        <v>1409373</v>
      </c>
      <c r="H460" s="11">
        <v>8.99</v>
      </c>
      <c r="I460" s="11">
        <v>84</v>
      </c>
      <c r="J460" s="11">
        <v>650</v>
      </c>
      <c r="K460" s="11" t="s">
        <v>1042</v>
      </c>
      <c r="L460" s="11" t="s">
        <v>1043</v>
      </c>
      <c r="M460" s="13">
        <v>45423</v>
      </c>
      <c r="N460" s="11" t="s">
        <v>1045</v>
      </c>
      <c r="O460" s="14">
        <f t="shared" si="36"/>
        <v>22668.360577160067</v>
      </c>
      <c r="P460" s="14">
        <f t="shared" si="37"/>
        <v>1904142.2884814455</v>
      </c>
      <c r="Q460" s="14">
        <f t="shared" si="38"/>
        <v>494769.28848144552</v>
      </c>
      <c r="R460" s="11">
        <f t="shared" ca="1" si="39"/>
        <v>1</v>
      </c>
      <c r="S460" s="11" t="str">
        <f t="shared" si="40"/>
        <v>650-699</v>
      </c>
    </row>
    <row r="461" spans="1:19" x14ac:dyDescent="0.3">
      <c r="A461" s="11" t="s">
        <v>473</v>
      </c>
      <c r="B461" s="11" t="s">
        <v>1024</v>
      </c>
      <c r="C461" s="11">
        <v>37</v>
      </c>
      <c r="D461" s="11" t="s">
        <v>1034</v>
      </c>
      <c r="E461" s="11" t="s">
        <v>1036</v>
      </c>
      <c r="F461" s="12">
        <v>536231</v>
      </c>
      <c r="G461" s="12">
        <v>1428223</v>
      </c>
      <c r="H461" s="11">
        <v>14.73</v>
      </c>
      <c r="I461" s="11">
        <v>60</v>
      </c>
      <c r="J461" s="11">
        <v>666</v>
      </c>
      <c r="K461" s="11" t="s">
        <v>1041</v>
      </c>
      <c r="L461" s="11" t="s">
        <v>1043</v>
      </c>
      <c r="M461" s="13">
        <v>44090</v>
      </c>
      <c r="N461" s="11" t="s">
        <v>1047</v>
      </c>
      <c r="O461" s="14">
        <f t="shared" si="36"/>
        <v>33775.244462644951</v>
      </c>
      <c r="P461" s="14">
        <f t="shared" si="37"/>
        <v>2026514.6677586969</v>
      </c>
      <c r="Q461" s="14">
        <f t="shared" si="38"/>
        <v>598291.66775869695</v>
      </c>
      <c r="R461" s="11">
        <f t="shared" ca="1" si="39"/>
        <v>5</v>
      </c>
      <c r="S461" s="11" t="str">
        <f t="shared" si="40"/>
        <v>650-699</v>
      </c>
    </row>
    <row r="462" spans="1:19" x14ac:dyDescent="0.3">
      <c r="A462" s="11" t="s">
        <v>474</v>
      </c>
      <c r="B462" s="11" t="s">
        <v>1033</v>
      </c>
      <c r="C462" s="11">
        <v>52</v>
      </c>
      <c r="D462" s="11" t="s">
        <v>1035</v>
      </c>
      <c r="E462" s="11" t="s">
        <v>1037</v>
      </c>
      <c r="F462" s="12">
        <v>332802</v>
      </c>
      <c r="G462" s="12">
        <v>1612879</v>
      </c>
      <c r="H462" s="11">
        <v>11.02</v>
      </c>
      <c r="I462" s="11">
        <v>96</v>
      </c>
      <c r="J462" s="11">
        <v>755</v>
      </c>
      <c r="K462" s="11" t="s">
        <v>1039</v>
      </c>
      <c r="L462" s="11" t="s">
        <v>1044</v>
      </c>
      <c r="M462" s="13">
        <v>43630</v>
      </c>
      <c r="N462" s="11" t="s">
        <v>1048</v>
      </c>
      <c r="O462" s="14">
        <f t="shared" si="36"/>
        <v>25353.191711742606</v>
      </c>
      <c r="P462" s="14">
        <f t="shared" si="37"/>
        <v>2433906.4043272901</v>
      </c>
      <c r="Q462" s="14">
        <f t="shared" si="38"/>
        <v>821027.40432729013</v>
      </c>
      <c r="R462" s="11">
        <f t="shared" ca="1" si="39"/>
        <v>6</v>
      </c>
      <c r="S462" s="11" t="str">
        <f t="shared" si="40"/>
        <v>750-799</v>
      </c>
    </row>
    <row r="463" spans="1:19" x14ac:dyDescent="0.3">
      <c r="A463" s="11" t="s">
        <v>475</v>
      </c>
      <c r="B463" s="11" t="s">
        <v>1015</v>
      </c>
      <c r="C463" s="11">
        <v>45</v>
      </c>
      <c r="D463" s="11" t="s">
        <v>1035</v>
      </c>
      <c r="E463" s="11" t="s">
        <v>1037</v>
      </c>
      <c r="F463" s="12">
        <v>1554041</v>
      </c>
      <c r="G463" s="12">
        <v>1898093</v>
      </c>
      <c r="H463" s="11">
        <v>8.2799999999999994</v>
      </c>
      <c r="I463" s="11">
        <v>72</v>
      </c>
      <c r="J463" s="11">
        <v>821</v>
      </c>
      <c r="K463" s="11" t="s">
        <v>1041</v>
      </c>
      <c r="L463" s="11" t="s">
        <v>1044</v>
      </c>
      <c r="M463" s="13">
        <v>43641</v>
      </c>
      <c r="N463" s="11" t="s">
        <v>1045</v>
      </c>
      <c r="O463" s="14">
        <f t="shared" si="36"/>
        <v>33539.822193625856</v>
      </c>
      <c r="P463" s="14">
        <f t="shared" si="37"/>
        <v>2414867.1979410616</v>
      </c>
      <c r="Q463" s="14">
        <f t="shared" si="38"/>
        <v>516774.19794106157</v>
      </c>
      <c r="R463" s="11">
        <f t="shared" ca="1" si="39"/>
        <v>6</v>
      </c>
      <c r="S463" s="11" t="str">
        <f t="shared" si="40"/>
        <v>800-850</v>
      </c>
    </row>
    <row r="464" spans="1:19" x14ac:dyDescent="0.3">
      <c r="A464" s="11" t="s">
        <v>476</v>
      </c>
      <c r="B464" s="11" t="s">
        <v>1014</v>
      </c>
      <c r="C464" s="11">
        <v>35</v>
      </c>
      <c r="D464" s="11" t="s">
        <v>1035</v>
      </c>
      <c r="E464" s="11" t="s">
        <v>1036</v>
      </c>
      <c r="F464" s="12">
        <v>1903319</v>
      </c>
      <c r="G464" s="12">
        <v>1732576</v>
      </c>
      <c r="H464" s="11">
        <v>13.85</v>
      </c>
      <c r="I464" s="11">
        <v>120</v>
      </c>
      <c r="J464" s="11">
        <v>674</v>
      </c>
      <c r="K464" s="11" t="s">
        <v>1042</v>
      </c>
      <c r="L464" s="11" t="s">
        <v>1044</v>
      </c>
      <c r="M464" s="13">
        <v>45592</v>
      </c>
      <c r="N464" s="11" t="s">
        <v>1048</v>
      </c>
      <c r="O464" s="14">
        <f t="shared" si="36"/>
        <v>26745.050035023829</v>
      </c>
      <c r="P464" s="14">
        <f t="shared" si="37"/>
        <v>3209406.0042028595</v>
      </c>
      <c r="Q464" s="14">
        <f t="shared" si="38"/>
        <v>1476830.0042028595</v>
      </c>
      <c r="R464" s="11">
        <f t="shared" ca="1" si="39"/>
        <v>1</v>
      </c>
      <c r="S464" s="11" t="str">
        <f t="shared" si="40"/>
        <v>650-699</v>
      </c>
    </row>
    <row r="465" spans="1:19" x14ac:dyDescent="0.3">
      <c r="A465" s="11" t="s">
        <v>477</v>
      </c>
      <c r="B465" s="11" t="s">
        <v>1032</v>
      </c>
      <c r="C465" s="11">
        <v>34</v>
      </c>
      <c r="D465" s="11" t="s">
        <v>1034</v>
      </c>
      <c r="E465" s="11" t="s">
        <v>1037</v>
      </c>
      <c r="F465" s="12">
        <v>863277</v>
      </c>
      <c r="G465" s="12">
        <v>877644</v>
      </c>
      <c r="H465" s="11">
        <v>10.15</v>
      </c>
      <c r="I465" s="11">
        <v>72</v>
      </c>
      <c r="J465" s="11">
        <v>768</v>
      </c>
      <c r="K465" s="11" t="s">
        <v>1041</v>
      </c>
      <c r="L465" s="11" t="s">
        <v>1044</v>
      </c>
      <c r="M465" s="13">
        <v>44951</v>
      </c>
      <c r="N465" s="11" t="s">
        <v>1045</v>
      </c>
      <c r="O465" s="14">
        <f t="shared" si="36"/>
        <v>16325.555739891182</v>
      </c>
      <c r="P465" s="14">
        <f t="shared" si="37"/>
        <v>1175440.0132721651</v>
      </c>
      <c r="Q465" s="14">
        <f t="shared" si="38"/>
        <v>297796.01327216509</v>
      </c>
      <c r="R465" s="11">
        <f t="shared" ca="1" si="39"/>
        <v>2</v>
      </c>
      <c r="S465" s="11" t="str">
        <f t="shared" si="40"/>
        <v>750-799</v>
      </c>
    </row>
    <row r="466" spans="1:19" x14ac:dyDescent="0.3">
      <c r="A466" s="11" t="s">
        <v>478</v>
      </c>
      <c r="B466" s="11" t="s">
        <v>1024</v>
      </c>
      <c r="C466" s="11">
        <v>52</v>
      </c>
      <c r="D466" s="11" t="s">
        <v>1035</v>
      </c>
      <c r="E466" s="11" t="s">
        <v>1037</v>
      </c>
      <c r="F466" s="12">
        <v>967203</v>
      </c>
      <c r="G466" s="12">
        <v>1598663</v>
      </c>
      <c r="H466" s="11">
        <v>12.11</v>
      </c>
      <c r="I466" s="11">
        <v>72</v>
      </c>
      <c r="J466" s="11">
        <v>821</v>
      </c>
      <c r="K466" s="11" t="s">
        <v>1042</v>
      </c>
      <c r="L466" s="11" t="s">
        <v>1044</v>
      </c>
      <c r="M466" s="13">
        <v>43478</v>
      </c>
      <c r="N466" s="11" t="s">
        <v>1045</v>
      </c>
      <c r="O466" s="14">
        <f t="shared" si="36"/>
        <v>31345.692844369809</v>
      </c>
      <c r="P466" s="14">
        <f t="shared" si="37"/>
        <v>2256889.8847946264</v>
      </c>
      <c r="Q466" s="14">
        <f t="shared" si="38"/>
        <v>658226.88479462638</v>
      </c>
      <c r="R466" s="11">
        <f t="shared" ca="1" si="39"/>
        <v>6</v>
      </c>
      <c r="S466" s="11" t="str">
        <f t="shared" si="40"/>
        <v>800-850</v>
      </c>
    </row>
    <row r="467" spans="1:19" x14ac:dyDescent="0.3">
      <c r="A467" s="11" t="s">
        <v>479</v>
      </c>
      <c r="B467" s="11" t="s">
        <v>1023</v>
      </c>
      <c r="C467" s="11">
        <v>55</v>
      </c>
      <c r="D467" s="11" t="s">
        <v>1035</v>
      </c>
      <c r="E467" s="11" t="s">
        <v>1038</v>
      </c>
      <c r="F467" s="12">
        <v>495954</v>
      </c>
      <c r="G467" s="12">
        <v>1632015</v>
      </c>
      <c r="H467" s="11">
        <v>7.57</v>
      </c>
      <c r="I467" s="11">
        <v>72</v>
      </c>
      <c r="J467" s="11">
        <v>721</v>
      </c>
      <c r="K467" s="11" t="s">
        <v>1041</v>
      </c>
      <c r="L467" s="11" t="s">
        <v>1044</v>
      </c>
      <c r="M467" s="13">
        <v>44889</v>
      </c>
      <c r="N467" s="11" t="s">
        <v>1046</v>
      </c>
      <c r="O467" s="14">
        <f t="shared" si="36"/>
        <v>28273.074628385621</v>
      </c>
      <c r="P467" s="14">
        <f t="shared" si="37"/>
        <v>2035661.3732437647</v>
      </c>
      <c r="Q467" s="14">
        <f t="shared" si="38"/>
        <v>403646.37324376474</v>
      </c>
      <c r="R467" s="11">
        <f t="shared" ca="1" si="39"/>
        <v>3</v>
      </c>
      <c r="S467" s="11" t="str">
        <f t="shared" si="40"/>
        <v>700-749</v>
      </c>
    </row>
    <row r="468" spans="1:19" x14ac:dyDescent="0.3">
      <c r="A468" s="11" t="s">
        <v>480</v>
      </c>
      <c r="B468" s="11" t="s">
        <v>1031</v>
      </c>
      <c r="C468" s="11">
        <v>45</v>
      </c>
      <c r="D468" s="11" t="s">
        <v>1034</v>
      </c>
      <c r="E468" s="11" t="s">
        <v>1038</v>
      </c>
      <c r="F468" s="12">
        <v>567515</v>
      </c>
      <c r="G468" s="12">
        <v>1409191</v>
      </c>
      <c r="H468" s="11">
        <v>11.59</v>
      </c>
      <c r="I468" s="11">
        <v>72</v>
      </c>
      <c r="J468" s="11">
        <v>794</v>
      </c>
      <c r="K468" s="11" t="s">
        <v>1041</v>
      </c>
      <c r="L468" s="11" t="s">
        <v>1044</v>
      </c>
      <c r="M468" s="13">
        <v>44893</v>
      </c>
      <c r="N468" s="11" t="s">
        <v>1045</v>
      </c>
      <c r="O468" s="14">
        <f t="shared" si="36"/>
        <v>27250.425986694154</v>
      </c>
      <c r="P468" s="14">
        <f t="shared" si="37"/>
        <v>1962030.671041979</v>
      </c>
      <c r="Q468" s="14">
        <f t="shared" si="38"/>
        <v>552839.67104197899</v>
      </c>
      <c r="R468" s="11">
        <f t="shared" ca="1" si="39"/>
        <v>3</v>
      </c>
      <c r="S468" s="11" t="str">
        <f t="shared" si="40"/>
        <v>750-799</v>
      </c>
    </row>
    <row r="469" spans="1:19" x14ac:dyDescent="0.3">
      <c r="A469" s="11" t="s">
        <v>481</v>
      </c>
      <c r="B469" s="11" t="s">
        <v>1028</v>
      </c>
      <c r="C469" s="11">
        <v>60</v>
      </c>
      <c r="D469" s="11" t="s">
        <v>1035</v>
      </c>
      <c r="E469" s="11" t="s">
        <v>1038</v>
      </c>
      <c r="F469" s="12">
        <v>637456</v>
      </c>
      <c r="G469" s="12">
        <v>1484244</v>
      </c>
      <c r="H469" s="11">
        <v>9.39</v>
      </c>
      <c r="I469" s="11">
        <v>36</v>
      </c>
      <c r="J469" s="11">
        <v>792</v>
      </c>
      <c r="K469" s="11" t="s">
        <v>1040</v>
      </c>
      <c r="L469" s="11" t="s">
        <v>1043</v>
      </c>
      <c r="M469" s="13">
        <v>43746</v>
      </c>
      <c r="N469" s="11" t="s">
        <v>1046</v>
      </c>
      <c r="O469" s="14">
        <f t="shared" si="36"/>
        <v>47468.4302036925</v>
      </c>
      <c r="P469" s="14">
        <f t="shared" si="37"/>
        <v>1708863.4873329301</v>
      </c>
      <c r="Q469" s="14">
        <f t="shared" si="38"/>
        <v>224619.48733293009</v>
      </c>
      <c r="R469" s="11">
        <f t="shared" ca="1" si="39"/>
        <v>6</v>
      </c>
      <c r="S469" s="11" t="str">
        <f t="shared" si="40"/>
        <v>750-799</v>
      </c>
    </row>
    <row r="470" spans="1:19" x14ac:dyDescent="0.3">
      <c r="A470" s="11" t="s">
        <v>482</v>
      </c>
      <c r="B470" s="11" t="s">
        <v>1017</v>
      </c>
      <c r="C470" s="11">
        <v>41</v>
      </c>
      <c r="D470" s="11" t="s">
        <v>1034</v>
      </c>
      <c r="E470" s="11" t="s">
        <v>1036</v>
      </c>
      <c r="F470" s="12">
        <v>1781951</v>
      </c>
      <c r="G470" s="12">
        <v>1207184</v>
      </c>
      <c r="H470" s="11">
        <v>13.03</v>
      </c>
      <c r="I470" s="11">
        <v>60</v>
      </c>
      <c r="J470" s="11">
        <v>640</v>
      </c>
      <c r="K470" s="11" t="s">
        <v>1041</v>
      </c>
      <c r="L470" s="11" t="s">
        <v>1043</v>
      </c>
      <c r="M470" s="13">
        <v>43917</v>
      </c>
      <c r="N470" s="11" t="s">
        <v>1047</v>
      </c>
      <c r="O470" s="14">
        <f t="shared" si="36"/>
        <v>27485.688370998381</v>
      </c>
      <c r="P470" s="14">
        <f t="shared" si="37"/>
        <v>1649141.3022599029</v>
      </c>
      <c r="Q470" s="14">
        <f t="shared" si="38"/>
        <v>441957.30225990294</v>
      </c>
      <c r="R470" s="11">
        <f t="shared" ca="1" si="39"/>
        <v>5</v>
      </c>
      <c r="S470" s="11" t="str">
        <f t="shared" si="40"/>
        <v>600-649</v>
      </c>
    </row>
    <row r="471" spans="1:19" x14ac:dyDescent="0.3">
      <c r="A471" s="11" t="s">
        <v>483</v>
      </c>
      <c r="B471" s="11" t="s">
        <v>1021</v>
      </c>
      <c r="C471" s="11">
        <v>47</v>
      </c>
      <c r="D471" s="11" t="s">
        <v>1035</v>
      </c>
      <c r="E471" s="11" t="s">
        <v>1036</v>
      </c>
      <c r="F471" s="12">
        <v>1500499</v>
      </c>
      <c r="G471" s="12">
        <v>1240254</v>
      </c>
      <c r="H471" s="11">
        <v>13.73</v>
      </c>
      <c r="I471" s="11">
        <v>48</v>
      </c>
      <c r="J471" s="11">
        <v>664</v>
      </c>
      <c r="K471" s="11" t="s">
        <v>1042</v>
      </c>
      <c r="L471" s="11" t="s">
        <v>1043</v>
      </c>
      <c r="M471" s="13">
        <v>45236</v>
      </c>
      <c r="N471" s="11" t="s">
        <v>1046</v>
      </c>
      <c r="O471" s="14">
        <f t="shared" si="36"/>
        <v>33724.03059808023</v>
      </c>
      <c r="P471" s="14">
        <f t="shared" si="37"/>
        <v>1618753.4687078511</v>
      </c>
      <c r="Q471" s="14">
        <f t="shared" si="38"/>
        <v>378499.46870785113</v>
      </c>
      <c r="R471" s="11">
        <f t="shared" ca="1" si="39"/>
        <v>2</v>
      </c>
      <c r="S471" s="11" t="str">
        <f t="shared" si="40"/>
        <v>650-699</v>
      </c>
    </row>
    <row r="472" spans="1:19" x14ac:dyDescent="0.3">
      <c r="A472" s="11" t="s">
        <v>484</v>
      </c>
      <c r="B472" s="11" t="s">
        <v>1023</v>
      </c>
      <c r="C472" s="11">
        <v>31</v>
      </c>
      <c r="D472" s="11" t="s">
        <v>1034</v>
      </c>
      <c r="E472" s="11" t="s">
        <v>1036</v>
      </c>
      <c r="F472" s="12">
        <v>708927</v>
      </c>
      <c r="G472" s="12">
        <v>1773015</v>
      </c>
      <c r="H472" s="11">
        <v>10.32</v>
      </c>
      <c r="I472" s="11">
        <v>36</v>
      </c>
      <c r="J472" s="11">
        <v>662</v>
      </c>
      <c r="K472" s="11" t="s">
        <v>1042</v>
      </c>
      <c r="L472" s="11" t="s">
        <v>1044</v>
      </c>
      <c r="M472" s="13">
        <v>44653</v>
      </c>
      <c r="N472" s="11" t="s">
        <v>1047</v>
      </c>
      <c r="O472" s="14">
        <f t="shared" si="36"/>
        <v>57476.951271122132</v>
      </c>
      <c r="P472" s="14">
        <f t="shared" si="37"/>
        <v>2069170.2457603968</v>
      </c>
      <c r="Q472" s="14">
        <f t="shared" si="38"/>
        <v>296155.24576039682</v>
      </c>
      <c r="R472" s="11">
        <f t="shared" ca="1" si="39"/>
        <v>3</v>
      </c>
      <c r="S472" s="11" t="str">
        <f t="shared" si="40"/>
        <v>650-699</v>
      </c>
    </row>
    <row r="473" spans="1:19" x14ac:dyDescent="0.3">
      <c r="A473" s="11" t="s">
        <v>485</v>
      </c>
      <c r="B473" s="11" t="s">
        <v>1030</v>
      </c>
      <c r="C473" s="11">
        <v>51</v>
      </c>
      <c r="D473" s="11" t="s">
        <v>1034</v>
      </c>
      <c r="E473" s="11" t="s">
        <v>1036</v>
      </c>
      <c r="F473" s="12">
        <v>336636</v>
      </c>
      <c r="G473" s="12">
        <v>1816922</v>
      </c>
      <c r="H473" s="11">
        <v>7.72</v>
      </c>
      <c r="I473" s="11">
        <v>84</v>
      </c>
      <c r="J473" s="11">
        <v>695</v>
      </c>
      <c r="K473" s="11" t="s">
        <v>1039</v>
      </c>
      <c r="L473" s="11" t="s">
        <v>1044</v>
      </c>
      <c r="M473" s="13">
        <v>43581</v>
      </c>
      <c r="N473" s="11" t="s">
        <v>1048</v>
      </c>
      <c r="O473" s="14">
        <f t="shared" si="36"/>
        <v>28066.140919549594</v>
      </c>
      <c r="P473" s="14">
        <f t="shared" si="37"/>
        <v>2357555.837242166</v>
      </c>
      <c r="Q473" s="14">
        <f t="shared" si="38"/>
        <v>540633.83724216605</v>
      </c>
      <c r="R473" s="11">
        <f t="shared" ca="1" si="39"/>
        <v>6</v>
      </c>
      <c r="S473" s="11" t="str">
        <f t="shared" si="40"/>
        <v>650-699</v>
      </c>
    </row>
    <row r="474" spans="1:19" x14ac:dyDescent="0.3">
      <c r="A474" s="11" t="s">
        <v>486</v>
      </c>
      <c r="B474" s="11" t="s">
        <v>1032</v>
      </c>
      <c r="C474" s="11">
        <v>34</v>
      </c>
      <c r="D474" s="11" t="s">
        <v>1034</v>
      </c>
      <c r="E474" s="11" t="s">
        <v>1038</v>
      </c>
      <c r="F474" s="12">
        <v>1881925</v>
      </c>
      <c r="G474" s="12">
        <v>1940036</v>
      </c>
      <c r="H474" s="11">
        <v>7.53</v>
      </c>
      <c r="I474" s="11">
        <v>60</v>
      </c>
      <c r="J474" s="11">
        <v>730</v>
      </c>
      <c r="K474" s="11" t="s">
        <v>1041</v>
      </c>
      <c r="L474" s="11" t="s">
        <v>1044</v>
      </c>
      <c r="M474" s="13">
        <v>45471</v>
      </c>
      <c r="N474" s="11" t="s">
        <v>1047</v>
      </c>
      <c r="O474" s="14">
        <f t="shared" si="36"/>
        <v>38902.00454981903</v>
      </c>
      <c r="P474" s="14">
        <f t="shared" si="37"/>
        <v>2334120.2729891418</v>
      </c>
      <c r="Q474" s="14">
        <f t="shared" si="38"/>
        <v>394084.27298914175</v>
      </c>
      <c r="R474" s="11">
        <f t="shared" ca="1" si="39"/>
        <v>1</v>
      </c>
      <c r="S474" s="11" t="str">
        <f t="shared" si="40"/>
        <v>700-749</v>
      </c>
    </row>
    <row r="475" spans="1:19" x14ac:dyDescent="0.3">
      <c r="A475" s="11" t="s">
        <v>487</v>
      </c>
      <c r="B475" s="11" t="s">
        <v>1030</v>
      </c>
      <c r="C475" s="11">
        <v>38</v>
      </c>
      <c r="D475" s="11" t="s">
        <v>1034</v>
      </c>
      <c r="E475" s="11" t="s">
        <v>1038</v>
      </c>
      <c r="F475" s="12">
        <v>1714129</v>
      </c>
      <c r="G475" s="12">
        <v>1496529</v>
      </c>
      <c r="H475" s="11">
        <v>10.52</v>
      </c>
      <c r="I475" s="11">
        <v>120</v>
      </c>
      <c r="J475" s="11">
        <v>656</v>
      </c>
      <c r="K475" s="11" t="s">
        <v>1039</v>
      </c>
      <c r="L475" s="11" t="s">
        <v>1044</v>
      </c>
      <c r="M475" s="13">
        <v>45053</v>
      </c>
      <c r="N475" s="11" t="s">
        <v>1048</v>
      </c>
      <c r="O475" s="14">
        <f t="shared" si="36"/>
        <v>20210.176544146787</v>
      </c>
      <c r="P475" s="14">
        <f t="shared" si="37"/>
        <v>2425221.1852976144</v>
      </c>
      <c r="Q475" s="14">
        <f t="shared" si="38"/>
        <v>928692.18529761443</v>
      </c>
      <c r="R475" s="11">
        <f t="shared" ca="1" si="39"/>
        <v>2</v>
      </c>
      <c r="S475" s="11" t="str">
        <f t="shared" si="40"/>
        <v>650-699</v>
      </c>
    </row>
    <row r="476" spans="1:19" x14ac:dyDescent="0.3">
      <c r="A476" s="11" t="s">
        <v>488</v>
      </c>
      <c r="B476" s="11" t="s">
        <v>1026</v>
      </c>
      <c r="C476" s="11">
        <v>36</v>
      </c>
      <c r="D476" s="11" t="s">
        <v>1034</v>
      </c>
      <c r="E476" s="11" t="s">
        <v>1038</v>
      </c>
      <c r="F476" s="12">
        <v>449942</v>
      </c>
      <c r="G476" s="12">
        <v>1346357</v>
      </c>
      <c r="H476" s="11">
        <v>9.36</v>
      </c>
      <c r="I476" s="11">
        <v>60</v>
      </c>
      <c r="J476" s="11">
        <v>712</v>
      </c>
      <c r="K476" s="11" t="s">
        <v>1042</v>
      </c>
      <c r="L476" s="11" t="s">
        <v>1044</v>
      </c>
      <c r="M476" s="13">
        <v>44902</v>
      </c>
      <c r="N476" s="11" t="s">
        <v>1046</v>
      </c>
      <c r="O476" s="14">
        <f t="shared" si="36"/>
        <v>28183.97815383894</v>
      </c>
      <c r="P476" s="14">
        <f t="shared" si="37"/>
        <v>1691038.6892303363</v>
      </c>
      <c r="Q476" s="14">
        <f t="shared" si="38"/>
        <v>344681.68923033634</v>
      </c>
      <c r="R476" s="11">
        <f t="shared" ca="1" si="39"/>
        <v>3</v>
      </c>
      <c r="S476" s="11" t="str">
        <f t="shared" si="40"/>
        <v>700-749</v>
      </c>
    </row>
    <row r="477" spans="1:19" x14ac:dyDescent="0.3">
      <c r="A477" s="11" t="s">
        <v>489</v>
      </c>
      <c r="B477" s="11" t="s">
        <v>1030</v>
      </c>
      <c r="C477" s="11">
        <v>57</v>
      </c>
      <c r="D477" s="11" t="s">
        <v>1034</v>
      </c>
      <c r="E477" s="11" t="s">
        <v>1036</v>
      </c>
      <c r="F477" s="12">
        <v>1633802</v>
      </c>
      <c r="G477" s="12">
        <v>663943</v>
      </c>
      <c r="H477" s="11">
        <v>7.86</v>
      </c>
      <c r="I477" s="11">
        <v>120</v>
      </c>
      <c r="J477" s="11">
        <v>765</v>
      </c>
      <c r="K477" s="11" t="s">
        <v>1040</v>
      </c>
      <c r="L477" s="11" t="s">
        <v>1044</v>
      </c>
      <c r="M477" s="13">
        <v>43787</v>
      </c>
      <c r="N477" s="11" t="s">
        <v>1046</v>
      </c>
      <c r="O477" s="14">
        <f t="shared" si="36"/>
        <v>8006.4288067800589</v>
      </c>
      <c r="P477" s="14">
        <f t="shared" si="37"/>
        <v>960771.45681360713</v>
      </c>
      <c r="Q477" s="14">
        <f t="shared" si="38"/>
        <v>296828.45681360713</v>
      </c>
      <c r="R477" s="11">
        <f t="shared" ca="1" si="39"/>
        <v>6</v>
      </c>
      <c r="S477" s="11" t="str">
        <f t="shared" si="40"/>
        <v>750-799</v>
      </c>
    </row>
    <row r="478" spans="1:19" x14ac:dyDescent="0.3">
      <c r="A478" s="11" t="s">
        <v>490</v>
      </c>
      <c r="B478" s="11" t="s">
        <v>1015</v>
      </c>
      <c r="C478" s="11">
        <v>39</v>
      </c>
      <c r="D478" s="11" t="s">
        <v>1035</v>
      </c>
      <c r="E478" s="11" t="s">
        <v>1036</v>
      </c>
      <c r="F478" s="12">
        <v>1272294</v>
      </c>
      <c r="G478" s="12">
        <v>1137709</v>
      </c>
      <c r="H478" s="11">
        <v>10.82</v>
      </c>
      <c r="I478" s="11">
        <v>120</v>
      </c>
      <c r="J478" s="11">
        <v>659</v>
      </c>
      <c r="K478" s="11" t="s">
        <v>1039</v>
      </c>
      <c r="L478" s="11" t="s">
        <v>1043</v>
      </c>
      <c r="M478" s="13">
        <v>43980</v>
      </c>
      <c r="N478" s="11" t="s">
        <v>1046</v>
      </c>
      <c r="O478" s="14">
        <f t="shared" si="36"/>
        <v>15556.246038160076</v>
      </c>
      <c r="P478" s="14">
        <f t="shared" si="37"/>
        <v>1866749.524579209</v>
      </c>
      <c r="Q478" s="14">
        <f t="shared" si="38"/>
        <v>729040.52457920904</v>
      </c>
      <c r="R478" s="11">
        <f t="shared" ca="1" si="39"/>
        <v>5</v>
      </c>
      <c r="S478" s="11" t="str">
        <f t="shared" si="40"/>
        <v>650-699</v>
      </c>
    </row>
    <row r="479" spans="1:19" x14ac:dyDescent="0.3">
      <c r="A479" s="11" t="s">
        <v>491</v>
      </c>
      <c r="B479" s="11" t="s">
        <v>1025</v>
      </c>
      <c r="C479" s="11">
        <v>33</v>
      </c>
      <c r="D479" s="11" t="s">
        <v>1034</v>
      </c>
      <c r="E479" s="11" t="s">
        <v>1038</v>
      </c>
      <c r="F479" s="12">
        <v>557162</v>
      </c>
      <c r="G479" s="12">
        <v>520408</v>
      </c>
      <c r="H479" s="11">
        <v>8.01</v>
      </c>
      <c r="I479" s="11">
        <v>60</v>
      </c>
      <c r="J479" s="11">
        <v>834</v>
      </c>
      <c r="K479" s="11" t="s">
        <v>1040</v>
      </c>
      <c r="L479" s="11" t="s">
        <v>1044</v>
      </c>
      <c r="M479" s="13">
        <v>43963</v>
      </c>
      <c r="N479" s="11" t="s">
        <v>1047</v>
      </c>
      <c r="O479" s="14">
        <f t="shared" si="36"/>
        <v>10554.488565315654</v>
      </c>
      <c r="P479" s="14">
        <f t="shared" si="37"/>
        <v>633269.31391893921</v>
      </c>
      <c r="Q479" s="14">
        <f t="shared" si="38"/>
        <v>112861.31391893921</v>
      </c>
      <c r="R479" s="11">
        <f t="shared" ca="1" si="39"/>
        <v>5</v>
      </c>
      <c r="S479" s="11" t="str">
        <f t="shared" si="40"/>
        <v>800-850</v>
      </c>
    </row>
    <row r="480" spans="1:19" x14ac:dyDescent="0.3">
      <c r="A480" s="11" t="s">
        <v>492</v>
      </c>
      <c r="B480" s="11" t="s">
        <v>1019</v>
      </c>
      <c r="C480" s="11">
        <v>39</v>
      </c>
      <c r="D480" s="11" t="s">
        <v>1034</v>
      </c>
      <c r="E480" s="11" t="s">
        <v>1038</v>
      </c>
      <c r="F480" s="12">
        <v>1857242</v>
      </c>
      <c r="G480" s="12">
        <v>1158713</v>
      </c>
      <c r="H480" s="11">
        <v>11.33</v>
      </c>
      <c r="I480" s="11">
        <v>84</v>
      </c>
      <c r="J480" s="11">
        <v>697</v>
      </c>
      <c r="K480" s="11" t="s">
        <v>1042</v>
      </c>
      <c r="L480" s="11" t="s">
        <v>1043</v>
      </c>
      <c r="M480" s="13">
        <v>43950</v>
      </c>
      <c r="N480" s="11" t="s">
        <v>1048</v>
      </c>
      <c r="O480" s="14">
        <f t="shared" si="36"/>
        <v>20041.609491728301</v>
      </c>
      <c r="P480" s="14">
        <f t="shared" si="37"/>
        <v>1683495.1973051773</v>
      </c>
      <c r="Q480" s="14">
        <f t="shared" si="38"/>
        <v>524782.19730517734</v>
      </c>
      <c r="R480" s="11">
        <f t="shared" ca="1" si="39"/>
        <v>5</v>
      </c>
      <c r="S480" s="11" t="str">
        <f t="shared" si="40"/>
        <v>650-699</v>
      </c>
    </row>
    <row r="481" spans="1:19" x14ac:dyDescent="0.3">
      <c r="A481" s="11" t="s">
        <v>493</v>
      </c>
      <c r="B481" s="11" t="s">
        <v>1027</v>
      </c>
      <c r="C481" s="11">
        <v>46</v>
      </c>
      <c r="D481" s="11" t="s">
        <v>1034</v>
      </c>
      <c r="E481" s="11" t="s">
        <v>1038</v>
      </c>
      <c r="F481" s="12">
        <v>356169</v>
      </c>
      <c r="G481" s="12">
        <v>1132001</v>
      </c>
      <c r="H481" s="11">
        <v>12.75</v>
      </c>
      <c r="I481" s="11">
        <v>120</v>
      </c>
      <c r="J481" s="11">
        <v>679</v>
      </c>
      <c r="K481" s="11" t="s">
        <v>1040</v>
      </c>
      <c r="L481" s="11" t="s">
        <v>1044</v>
      </c>
      <c r="M481" s="13">
        <v>43703</v>
      </c>
      <c r="N481" s="11" t="s">
        <v>1048</v>
      </c>
      <c r="O481" s="14">
        <f t="shared" si="36"/>
        <v>16735.481115307277</v>
      </c>
      <c r="P481" s="14">
        <f t="shared" si="37"/>
        <v>2008257.7338368732</v>
      </c>
      <c r="Q481" s="14">
        <f t="shared" si="38"/>
        <v>876256.7338368732</v>
      </c>
      <c r="R481" s="11">
        <f t="shared" ca="1" si="39"/>
        <v>6</v>
      </c>
      <c r="S481" s="11" t="str">
        <f t="shared" si="40"/>
        <v>650-699</v>
      </c>
    </row>
    <row r="482" spans="1:19" x14ac:dyDescent="0.3">
      <c r="A482" s="11" t="s">
        <v>494</v>
      </c>
      <c r="B482" s="11" t="s">
        <v>1014</v>
      </c>
      <c r="C482" s="11">
        <v>28</v>
      </c>
      <c r="D482" s="11" t="s">
        <v>1034</v>
      </c>
      <c r="E482" s="11" t="s">
        <v>1036</v>
      </c>
      <c r="F482" s="12">
        <v>1229813</v>
      </c>
      <c r="G482" s="12">
        <v>1503928</v>
      </c>
      <c r="H482" s="11">
        <v>10.79</v>
      </c>
      <c r="I482" s="11">
        <v>96</v>
      </c>
      <c r="J482" s="11">
        <v>656</v>
      </c>
      <c r="K482" s="11" t="s">
        <v>1041</v>
      </c>
      <c r="L482" s="11" t="s">
        <v>1044</v>
      </c>
      <c r="M482" s="13">
        <v>43360</v>
      </c>
      <c r="N482" s="11" t="s">
        <v>1046</v>
      </c>
      <c r="O482" s="14">
        <f t="shared" si="36"/>
        <v>23454.333739353202</v>
      </c>
      <c r="P482" s="14">
        <f t="shared" si="37"/>
        <v>2251616.0389779075</v>
      </c>
      <c r="Q482" s="14">
        <f t="shared" si="38"/>
        <v>747688.0389779075</v>
      </c>
      <c r="R482" s="11">
        <f t="shared" ca="1" si="39"/>
        <v>7</v>
      </c>
      <c r="S482" s="11" t="str">
        <f t="shared" si="40"/>
        <v>650-699</v>
      </c>
    </row>
    <row r="483" spans="1:19" x14ac:dyDescent="0.3">
      <c r="A483" s="11" t="s">
        <v>495</v>
      </c>
      <c r="B483" s="11" t="s">
        <v>1023</v>
      </c>
      <c r="C483" s="11">
        <v>57</v>
      </c>
      <c r="D483" s="11" t="s">
        <v>1034</v>
      </c>
      <c r="E483" s="11" t="s">
        <v>1038</v>
      </c>
      <c r="F483" s="12">
        <v>795529</v>
      </c>
      <c r="G483" s="12">
        <v>1852541</v>
      </c>
      <c r="H483" s="11">
        <v>11.23</v>
      </c>
      <c r="I483" s="11">
        <v>96</v>
      </c>
      <c r="J483" s="11">
        <v>841</v>
      </c>
      <c r="K483" s="11" t="s">
        <v>1040</v>
      </c>
      <c r="L483" s="11" t="s">
        <v>1044</v>
      </c>
      <c r="M483" s="13">
        <v>44694</v>
      </c>
      <c r="N483" s="11" t="s">
        <v>1047</v>
      </c>
      <c r="O483" s="14">
        <f t="shared" si="36"/>
        <v>29330.814162755079</v>
      </c>
      <c r="P483" s="14">
        <f t="shared" si="37"/>
        <v>2815758.1596244876</v>
      </c>
      <c r="Q483" s="14">
        <f t="shared" si="38"/>
        <v>963217.15962448763</v>
      </c>
      <c r="R483" s="11">
        <f t="shared" ca="1" si="39"/>
        <v>3</v>
      </c>
      <c r="S483" s="11" t="str">
        <f t="shared" si="40"/>
        <v>800-850</v>
      </c>
    </row>
    <row r="484" spans="1:19" x14ac:dyDescent="0.3">
      <c r="A484" s="11" t="s">
        <v>496</v>
      </c>
      <c r="B484" s="11" t="s">
        <v>1017</v>
      </c>
      <c r="C484" s="11">
        <v>28</v>
      </c>
      <c r="D484" s="11" t="s">
        <v>1034</v>
      </c>
      <c r="E484" s="11" t="s">
        <v>1037</v>
      </c>
      <c r="F484" s="12">
        <v>1473929</v>
      </c>
      <c r="G484" s="12">
        <v>516318</v>
      </c>
      <c r="H484" s="11">
        <v>14.13</v>
      </c>
      <c r="I484" s="11">
        <v>60</v>
      </c>
      <c r="J484" s="11">
        <v>817</v>
      </c>
      <c r="K484" s="11" t="s">
        <v>1040</v>
      </c>
      <c r="L484" s="11" t="s">
        <v>1044</v>
      </c>
      <c r="M484" s="13">
        <v>43228</v>
      </c>
      <c r="N484" s="11" t="s">
        <v>1048</v>
      </c>
      <c r="O484" s="14">
        <f t="shared" si="36"/>
        <v>12048.643300707221</v>
      </c>
      <c r="P484" s="14">
        <f t="shared" si="37"/>
        <v>722918.59804243327</v>
      </c>
      <c r="Q484" s="14">
        <f t="shared" si="38"/>
        <v>206600.59804243327</v>
      </c>
      <c r="R484" s="11">
        <f t="shared" ca="1" si="39"/>
        <v>7</v>
      </c>
      <c r="S484" s="11" t="str">
        <f t="shared" si="40"/>
        <v>800-850</v>
      </c>
    </row>
    <row r="485" spans="1:19" x14ac:dyDescent="0.3">
      <c r="A485" s="11" t="s">
        <v>497</v>
      </c>
      <c r="B485" s="11" t="s">
        <v>1026</v>
      </c>
      <c r="C485" s="11">
        <v>38</v>
      </c>
      <c r="D485" s="11" t="s">
        <v>1035</v>
      </c>
      <c r="E485" s="11" t="s">
        <v>1038</v>
      </c>
      <c r="F485" s="12">
        <v>326356</v>
      </c>
      <c r="G485" s="12">
        <v>1071574</v>
      </c>
      <c r="H485" s="11">
        <v>9.59</v>
      </c>
      <c r="I485" s="11">
        <v>60</v>
      </c>
      <c r="J485" s="11">
        <v>708</v>
      </c>
      <c r="K485" s="11" t="s">
        <v>1040</v>
      </c>
      <c r="L485" s="11" t="s">
        <v>1043</v>
      </c>
      <c r="M485" s="13">
        <v>43525</v>
      </c>
      <c r="N485" s="11" t="s">
        <v>1046</v>
      </c>
      <c r="O485" s="14">
        <f t="shared" si="36"/>
        <v>22552.207828190469</v>
      </c>
      <c r="P485" s="14">
        <f t="shared" si="37"/>
        <v>1353132.4696914281</v>
      </c>
      <c r="Q485" s="14">
        <f t="shared" si="38"/>
        <v>281558.46969142812</v>
      </c>
      <c r="R485" s="11">
        <f t="shared" ca="1" si="39"/>
        <v>6</v>
      </c>
      <c r="S485" s="11" t="str">
        <f t="shared" si="40"/>
        <v>700-749</v>
      </c>
    </row>
    <row r="486" spans="1:19" x14ac:dyDescent="0.3">
      <c r="A486" s="11" t="s">
        <v>498</v>
      </c>
      <c r="B486" s="11" t="s">
        <v>1014</v>
      </c>
      <c r="C486" s="11">
        <v>34</v>
      </c>
      <c r="D486" s="11" t="s">
        <v>1035</v>
      </c>
      <c r="E486" s="11" t="s">
        <v>1036</v>
      </c>
      <c r="F486" s="12">
        <v>365911</v>
      </c>
      <c r="G486" s="12">
        <v>1691571</v>
      </c>
      <c r="H486" s="11">
        <v>14.83</v>
      </c>
      <c r="I486" s="11">
        <v>96</v>
      </c>
      <c r="J486" s="11">
        <v>754</v>
      </c>
      <c r="K486" s="11" t="s">
        <v>1039</v>
      </c>
      <c r="L486" s="11" t="s">
        <v>1044</v>
      </c>
      <c r="M486" s="13">
        <v>44350</v>
      </c>
      <c r="N486" s="11" t="s">
        <v>1045</v>
      </c>
      <c r="O486" s="14">
        <f t="shared" si="36"/>
        <v>30189.751694831371</v>
      </c>
      <c r="P486" s="14">
        <f t="shared" si="37"/>
        <v>2898216.1627038117</v>
      </c>
      <c r="Q486" s="14">
        <f t="shared" si="38"/>
        <v>1206645.1627038117</v>
      </c>
      <c r="R486" s="11">
        <f t="shared" ca="1" si="39"/>
        <v>4</v>
      </c>
      <c r="S486" s="11" t="str">
        <f t="shared" si="40"/>
        <v>750-799</v>
      </c>
    </row>
    <row r="487" spans="1:19" x14ac:dyDescent="0.3">
      <c r="A487" s="11" t="s">
        <v>499</v>
      </c>
      <c r="B487" s="11" t="s">
        <v>1028</v>
      </c>
      <c r="C487" s="11">
        <v>46</v>
      </c>
      <c r="D487" s="11" t="s">
        <v>1035</v>
      </c>
      <c r="E487" s="11" t="s">
        <v>1037</v>
      </c>
      <c r="F487" s="12">
        <v>1038028</v>
      </c>
      <c r="G487" s="12">
        <v>1888819</v>
      </c>
      <c r="H487" s="11">
        <v>13.61</v>
      </c>
      <c r="I487" s="11">
        <v>72</v>
      </c>
      <c r="J487" s="11">
        <v>683</v>
      </c>
      <c r="K487" s="11" t="s">
        <v>1041</v>
      </c>
      <c r="L487" s="11" t="s">
        <v>1044</v>
      </c>
      <c r="M487" s="13">
        <v>43460</v>
      </c>
      <c r="N487" s="11" t="s">
        <v>1047</v>
      </c>
      <c r="O487" s="14">
        <f t="shared" si="36"/>
        <v>38527.164347531543</v>
      </c>
      <c r="P487" s="14">
        <f t="shared" si="37"/>
        <v>2773955.8330222713</v>
      </c>
      <c r="Q487" s="14">
        <f t="shared" si="38"/>
        <v>885136.83302227128</v>
      </c>
      <c r="R487" s="11">
        <f t="shared" ca="1" si="39"/>
        <v>7</v>
      </c>
      <c r="S487" s="11" t="str">
        <f t="shared" si="40"/>
        <v>650-699</v>
      </c>
    </row>
    <row r="488" spans="1:19" x14ac:dyDescent="0.3">
      <c r="A488" s="11" t="s">
        <v>500</v>
      </c>
      <c r="B488" s="11" t="s">
        <v>1023</v>
      </c>
      <c r="C488" s="11">
        <v>51</v>
      </c>
      <c r="D488" s="11" t="s">
        <v>1035</v>
      </c>
      <c r="E488" s="11" t="s">
        <v>1037</v>
      </c>
      <c r="F488" s="12">
        <v>1594789</v>
      </c>
      <c r="G488" s="12">
        <v>1209176</v>
      </c>
      <c r="H488" s="11">
        <v>10.11</v>
      </c>
      <c r="I488" s="11">
        <v>120</v>
      </c>
      <c r="J488" s="11">
        <v>688</v>
      </c>
      <c r="K488" s="11" t="s">
        <v>1041</v>
      </c>
      <c r="L488" s="11" t="s">
        <v>1044</v>
      </c>
      <c r="M488" s="13">
        <v>43325</v>
      </c>
      <c r="N488" s="11" t="s">
        <v>1046</v>
      </c>
      <c r="O488" s="14">
        <f t="shared" si="36"/>
        <v>16053.095369678622</v>
      </c>
      <c r="P488" s="14">
        <f t="shared" si="37"/>
        <v>1926371.4443614346</v>
      </c>
      <c r="Q488" s="14">
        <f t="shared" si="38"/>
        <v>717195.44436143455</v>
      </c>
      <c r="R488" s="11">
        <f t="shared" ca="1" si="39"/>
        <v>7</v>
      </c>
      <c r="S488" s="11" t="str">
        <f t="shared" si="40"/>
        <v>650-699</v>
      </c>
    </row>
    <row r="489" spans="1:19" x14ac:dyDescent="0.3">
      <c r="A489" s="11" t="s">
        <v>501</v>
      </c>
      <c r="B489" s="11" t="s">
        <v>1028</v>
      </c>
      <c r="C489" s="11">
        <v>30</v>
      </c>
      <c r="D489" s="11" t="s">
        <v>1034</v>
      </c>
      <c r="E489" s="11" t="s">
        <v>1036</v>
      </c>
      <c r="F489" s="12">
        <v>1441244</v>
      </c>
      <c r="G489" s="12">
        <v>642329</v>
      </c>
      <c r="H489" s="11">
        <v>8.01</v>
      </c>
      <c r="I489" s="11">
        <v>84</v>
      </c>
      <c r="J489" s="11">
        <v>815</v>
      </c>
      <c r="K489" s="11" t="s">
        <v>1042</v>
      </c>
      <c r="L489" s="11" t="s">
        <v>1044</v>
      </c>
      <c r="M489" s="13">
        <v>44483</v>
      </c>
      <c r="N489" s="11" t="s">
        <v>1046</v>
      </c>
      <c r="O489" s="14">
        <f t="shared" si="36"/>
        <v>10014.67797770005</v>
      </c>
      <c r="P489" s="14">
        <f t="shared" si="37"/>
        <v>841232.95012680418</v>
      </c>
      <c r="Q489" s="14">
        <f t="shared" si="38"/>
        <v>198903.95012680418</v>
      </c>
      <c r="R489" s="11">
        <f t="shared" ca="1" si="39"/>
        <v>4</v>
      </c>
      <c r="S489" s="11" t="str">
        <f t="shared" si="40"/>
        <v>800-850</v>
      </c>
    </row>
    <row r="490" spans="1:19" x14ac:dyDescent="0.3">
      <c r="A490" s="11" t="s">
        <v>502</v>
      </c>
      <c r="B490" s="11" t="s">
        <v>1031</v>
      </c>
      <c r="C490" s="11">
        <v>56</v>
      </c>
      <c r="D490" s="11" t="s">
        <v>1034</v>
      </c>
      <c r="E490" s="11" t="s">
        <v>1036</v>
      </c>
      <c r="F490" s="12">
        <v>624635</v>
      </c>
      <c r="G490" s="12">
        <v>421005</v>
      </c>
      <c r="H490" s="11">
        <v>10.28</v>
      </c>
      <c r="I490" s="11">
        <v>96</v>
      </c>
      <c r="J490" s="11">
        <v>605</v>
      </c>
      <c r="K490" s="11" t="s">
        <v>1041</v>
      </c>
      <c r="L490" s="11" t="s">
        <v>1044</v>
      </c>
      <c r="M490" s="13">
        <v>45245</v>
      </c>
      <c r="N490" s="11" t="s">
        <v>1045</v>
      </c>
      <c r="O490" s="14">
        <f t="shared" si="36"/>
        <v>6450.9438947151921</v>
      </c>
      <c r="P490" s="14">
        <f t="shared" si="37"/>
        <v>619290.61389265838</v>
      </c>
      <c r="Q490" s="14">
        <f t="shared" si="38"/>
        <v>198285.61389265838</v>
      </c>
      <c r="R490" s="11">
        <f t="shared" ca="1" si="39"/>
        <v>2</v>
      </c>
      <c r="S490" s="11" t="str">
        <f t="shared" si="40"/>
        <v>600-649</v>
      </c>
    </row>
    <row r="491" spans="1:19" x14ac:dyDescent="0.3">
      <c r="A491" s="11" t="s">
        <v>503</v>
      </c>
      <c r="B491" s="11" t="s">
        <v>1031</v>
      </c>
      <c r="C491" s="11">
        <v>37</v>
      </c>
      <c r="D491" s="11" t="s">
        <v>1035</v>
      </c>
      <c r="E491" s="11" t="s">
        <v>1036</v>
      </c>
      <c r="F491" s="12">
        <v>1436043</v>
      </c>
      <c r="G491" s="12">
        <v>593573</v>
      </c>
      <c r="H491" s="11">
        <v>12.77</v>
      </c>
      <c r="I491" s="11">
        <v>72</v>
      </c>
      <c r="J491" s="11">
        <v>704</v>
      </c>
      <c r="K491" s="11" t="s">
        <v>1039</v>
      </c>
      <c r="L491" s="11" t="s">
        <v>1043</v>
      </c>
      <c r="M491" s="13">
        <v>45111</v>
      </c>
      <c r="N491" s="11" t="s">
        <v>1048</v>
      </c>
      <c r="O491" s="14">
        <f t="shared" si="36"/>
        <v>11843.513781525278</v>
      </c>
      <c r="P491" s="14">
        <f t="shared" si="37"/>
        <v>852732.99226982007</v>
      </c>
      <c r="Q491" s="14">
        <f t="shared" si="38"/>
        <v>259159.99226982007</v>
      </c>
      <c r="R491" s="11">
        <f t="shared" ca="1" si="39"/>
        <v>2</v>
      </c>
      <c r="S491" s="11" t="str">
        <f t="shared" si="40"/>
        <v>700-749</v>
      </c>
    </row>
    <row r="492" spans="1:19" x14ac:dyDescent="0.3">
      <c r="A492" s="11" t="s">
        <v>504</v>
      </c>
      <c r="B492" s="11" t="s">
        <v>1021</v>
      </c>
      <c r="C492" s="11">
        <v>51</v>
      </c>
      <c r="D492" s="11" t="s">
        <v>1035</v>
      </c>
      <c r="E492" s="11" t="s">
        <v>1038</v>
      </c>
      <c r="F492" s="12">
        <v>1776881</v>
      </c>
      <c r="G492" s="12">
        <v>1992320</v>
      </c>
      <c r="H492" s="11">
        <v>13.15</v>
      </c>
      <c r="I492" s="11">
        <v>48</v>
      </c>
      <c r="J492" s="11">
        <v>745</v>
      </c>
      <c r="K492" s="11" t="s">
        <v>1041</v>
      </c>
      <c r="L492" s="11" t="s">
        <v>1043</v>
      </c>
      <c r="M492" s="13">
        <v>45522</v>
      </c>
      <c r="N492" s="11" t="s">
        <v>1047</v>
      </c>
      <c r="O492" s="14">
        <f t="shared" si="36"/>
        <v>53597.401638471601</v>
      </c>
      <c r="P492" s="14">
        <f t="shared" si="37"/>
        <v>2572675.2786466368</v>
      </c>
      <c r="Q492" s="14">
        <f t="shared" si="38"/>
        <v>580355.27864663675</v>
      </c>
      <c r="R492" s="11">
        <f t="shared" ca="1" si="39"/>
        <v>1</v>
      </c>
      <c r="S492" s="11" t="str">
        <f t="shared" si="40"/>
        <v>700-749</v>
      </c>
    </row>
    <row r="493" spans="1:19" x14ac:dyDescent="0.3">
      <c r="A493" s="11" t="s">
        <v>505</v>
      </c>
      <c r="B493" s="11" t="s">
        <v>1024</v>
      </c>
      <c r="C493" s="11">
        <v>39</v>
      </c>
      <c r="D493" s="11" t="s">
        <v>1035</v>
      </c>
      <c r="E493" s="11" t="s">
        <v>1036</v>
      </c>
      <c r="F493" s="12">
        <v>603092</v>
      </c>
      <c r="G493" s="12">
        <v>706087</v>
      </c>
      <c r="H493" s="11">
        <v>9.32</v>
      </c>
      <c r="I493" s="11">
        <v>96</v>
      </c>
      <c r="J493" s="11">
        <v>809</v>
      </c>
      <c r="K493" s="11" t="s">
        <v>1039</v>
      </c>
      <c r="L493" s="11" t="s">
        <v>1044</v>
      </c>
      <c r="M493" s="13">
        <v>45021</v>
      </c>
      <c r="N493" s="11" t="s">
        <v>1047</v>
      </c>
      <c r="O493" s="14">
        <f t="shared" si="36"/>
        <v>10461.908562987754</v>
      </c>
      <c r="P493" s="14">
        <f t="shared" si="37"/>
        <v>1004343.2220468244</v>
      </c>
      <c r="Q493" s="14">
        <f t="shared" si="38"/>
        <v>298256.2220468244</v>
      </c>
      <c r="R493" s="11">
        <f t="shared" ca="1" si="39"/>
        <v>2</v>
      </c>
      <c r="S493" s="11" t="str">
        <f t="shared" si="40"/>
        <v>800-850</v>
      </c>
    </row>
    <row r="494" spans="1:19" x14ac:dyDescent="0.3">
      <c r="A494" s="11" t="s">
        <v>506</v>
      </c>
      <c r="B494" s="11" t="s">
        <v>1016</v>
      </c>
      <c r="C494" s="11">
        <v>38</v>
      </c>
      <c r="D494" s="11" t="s">
        <v>1034</v>
      </c>
      <c r="E494" s="11" t="s">
        <v>1036</v>
      </c>
      <c r="F494" s="12">
        <v>1871569</v>
      </c>
      <c r="G494" s="12">
        <v>783602</v>
      </c>
      <c r="H494" s="11">
        <v>11.02</v>
      </c>
      <c r="I494" s="11">
        <v>72</v>
      </c>
      <c r="J494" s="11">
        <v>687</v>
      </c>
      <c r="K494" s="11" t="s">
        <v>1040</v>
      </c>
      <c r="L494" s="11" t="s">
        <v>1044</v>
      </c>
      <c r="M494" s="13">
        <v>43850</v>
      </c>
      <c r="N494" s="11" t="s">
        <v>1045</v>
      </c>
      <c r="O494" s="14">
        <f t="shared" si="36"/>
        <v>14923.170655754177</v>
      </c>
      <c r="P494" s="14">
        <f t="shared" si="37"/>
        <v>1074468.2872143006</v>
      </c>
      <c r="Q494" s="14">
        <f t="shared" si="38"/>
        <v>290866.2872143006</v>
      </c>
      <c r="R494" s="11">
        <f t="shared" ca="1" si="39"/>
        <v>5</v>
      </c>
      <c r="S494" s="11" t="str">
        <f t="shared" si="40"/>
        <v>650-699</v>
      </c>
    </row>
    <row r="495" spans="1:19" x14ac:dyDescent="0.3">
      <c r="A495" s="11" t="s">
        <v>507</v>
      </c>
      <c r="B495" s="11" t="s">
        <v>1022</v>
      </c>
      <c r="C495" s="11">
        <v>60</v>
      </c>
      <c r="D495" s="11" t="s">
        <v>1034</v>
      </c>
      <c r="E495" s="11" t="s">
        <v>1037</v>
      </c>
      <c r="F495" s="12">
        <v>632522</v>
      </c>
      <c r="G495" s="12">
        <v>1769463</v>
      </c>
      <c r="H495" s="11">
        <v>7.61</v>
      </c>
      <c r="I495" s="11">
        <v>36</v>
      </c>
      <c r="J495" s="11">
        <v>636</v>
      </c>
      <c r="K495" s="11" t="s">
        <v>1039</v>
      </c>
      <c r="L495" s="11" t="s">
        <v>1043</v>
      </c>
      <c r="M495" s="13">
        <v>44223</v>
      </c>
      <c r="N495" s="11" t="s">
        <v>1045</v>
      </c>
      <c r="O495" s="14">
        <f t="shared" si="36"/>
        <v>55130.73858825527</v>
      </c>
      <c r="P495" s="14">
        <f t="shared" si="37"/>
        <v>1984706.5891771896</v>
      </c>
      <c r="Q495" s="14">
        <f t="shared" si="38"/>
        <v>215243.58917718963</v>
      </c>
      <c r="R495" s="11">
        <f t="shared" ca="1" si="39"/>
        <v>4</v>
      </c>
      <c r="S495" s="11" t="str">
        <f t="shared" si="40"/>
        <v>600-649</v>
      </c>
    </row>
    <row r="496" spans="1:19" x14ac:dyDescent="0.3">
      <c r="A496" s="11" t="s">
        <v>508</v>
      </c>
      <c r="B496" s="11" t="s">
        <v>1016</v>
      </c>
      <c r="C496" s="11">
        <v>49</v>
      </c>
      <c r="D496" s="11" t="s">
        <v>1034</v>
      </c>
      <c r="E496" s="11" t="s">
        <v>1037</v>
      </c>
      <c r="F496" s="12">
        <v>831241</v>
      </c>
      <c r="G496" s="12">
        <v>1537761</v>
      </c>
      <c r="H496" s="11">
        <v>9.7100000000000009</v>
      </c>
      <c r="I496" s="11">
        <v>96</v>
      </c>
      <c r="J496" s="11">
        <v>834</v>
      </c>
      <c r="K496" s="11" t="s">
        <v>1041</v>
      </c>
      <c r="L496" s="11" t="s">
        <v>1044</v>
      </c>
      <c r="M496" s="13">
        <v>45236</v>
      </c>
      <c r="N496" s="11" t="s">
        <v>1046</v>
      </c>
      <c r="O496" s="14">
        <f t="shared" si="36"/>
        <v>23098.936756414823</v>
      </c>
      <c r="P496" s="14">
        <f t="shared" si="37"/>
        <v>2217497.9286158229</v>
      </c>
      <c r="Q496" s="14">
        <f t="shared" si="38"/>
        <v>679736.92861582292</v>
      </c>
      <c r="R496" s="11">
        <f t="shared" ca="1" si="39"/>
        <v>2</v>
      </c>
      <c r="S496" s="11" t="str">
        <f t="shared" si="40"/>
        <v>800-850</v>
      </c>
    </row>
    <row r="497" spans="1:19" x14ac:dyDescent="0.3">
      <c r="A497" s="11" t="s">
        <v>509</v>
      </c>
      <c r="B497" s="11" t="s">
        <v>1016</v>
      </c>
      <c r="C497" s="11">
        <v>26</v>
      </c>
      <c r="D497" s="11" t="s">
        <v>1035</v>
      </c>
      <c r="E497" s="11" t="s">
        <v>1036</v>
      </c>
      <c r="F497" s="12">
        <v>1794321</v>
      </c>
      <c r="G497" s="12">
        <v>1297848</v>
      </c>
      <c r="H497" s="11">
        <v>14.95</v>
      </c>
      <c r="I497" s="11">
        <v>36</v>
      </c>
      <c r="J497" s="11">
        <v>831</v>
      </c>
      <c r="K497" s="11" t="s">
        <v>1039</v>
      </c>
      <c r="L497" s="11" t="s">
        <v>1044</v>
      </c>
      <c r="M497" s="13">
        <v>44311</v>
      </c>
      <c r="N497" s="11" t="s">
        <v>1047</v>
      </c>
      <c r="O497" s="14">
        <f t="shared" si="36"/>
        <v>44958.555685151572</v>
      </c>
      <c r="P497" s="14">
        <f t="shared" si="37"/>
        <v>1618508.0046654567</v>
      </c>
      <c r="Q497" s="14">
        <f t="shared" si="38"/>
        <v>320660.00466545671</v>
      </c>
      <c r="R497" s="11">
        <f t="shared" ca="1" si="39"/>
        <v>4</v>
      </c>
      <c r="S497" s="11" t="str">
        <f t="shared" si="40"/>
        <v>800-850</v>
      </c>
    </row>
    <row r="498" spans="1:19" x14ac:dyDescent="0.3">
      <c r="A498" s="11" t="s">
        <v>510</v>
      </c>
      <c r="B498" s="11" t="s">
        <v>1023</v>
      </c>
      <c r="C498" s="11">
        <v>47</v>
      </c>
      <c r="D498" s="11" t="s">
        <v>1034</v>
      </c>
      <c r="E498" s="11" t="s">
        <v>1036</v>
      </c>
      <c r="F498" s="12">
        <v>936518</v>
      </c>
      <c r="G498" s="12">
        <v>968429</v>
      </c>
      <c r="H498" s="11">
        <v>8.6</v>
      </c>
      <c r="I498" s="11">
        <v>84</v>
      </c>
      <c r="J498" s="11">
        <v>746</v>
      </c>
      <c r="K498" s="11" t="s">
        <v>1039</v>
      </c>
      <c r="L498" s="11" t="s">
        <v>1044</v>
      </c>
      <c r="M498" s="13">
        <v>43126</v>
      </c>
      <c r="N498" s="11" t="s">
        <v>1045</v>
      </c>
      <c r="O498" s="14">
        <f t="shared" si="36"/>
        <v>15385.255859354438</v>
      </c>
      <c r="P498" s="14">
        <f t="shared" si="37"/>
        <v>1292361.4921857729</v>
      </c>
      <c r="Q498" s="14">
        <f t="shared" si="38"/>
        <v>323932.49218577286</v>
      </c>
      <c r="R498" s="11">
        <f t="shared" ca="1" si="39"/>
        <v>7</v>
      </c>
      <c r="S498" s="11" t="str">
        <f t="shared" si="40"/>
        <v>700-749</v>
      </c>
    </row>
    <row r="499" spans="1:19" x14ac:dyDescent="0.3">
      <c r="A499" s="11" t="s">
        <v>511</v>
      </c>
      <c r="B499" s="11" t="s">
        <v>1033</v>
      </c>
      <c r="C499" s="11">
        <v>36</v>
      </c>
      <c r="D499" s="11" t="s">
        <v>1035</v>
      </c>
      <c r="E499" s="11" t="s">
        <v>1038</v>
      </c>
      <c r="F499" s="12">
        <v>965638</v>
      </c>
      <c r="G499" s="12">
        <v>1838044</v>
      </c>
      <c r="H499" s="11">
        <v>14.55</v>
      </c>
      <c r="I499" s="11">
        <v>60</v>
      </c>
      <c r="J499" s="11">
        <v>778</v>
      </c>
      <c r="K499" s="11" t="s">
        <v>1041</v>
      </c>
      <c r="L499" s="11" t="s">
        <v>1044</v>
      </c>
      <c r="M499" s="13">
        <v>44294</v>
      </c>
      <c r="N499" s="11" t="s">
        <v>1048</v>
      </c>
      <c r="O499" s="14">
        <f t="shared" si="36"/>
        <v>43293.97442095005</v>
      </c>
      <c r="P499" s="14">
        <f t="shared" si="37"/>
        <v>2597638.465257003</v>
      </c>
      <c r="Q499" s="14">
        <f t="shared" si="38"/>
        <v>759594.46525700297</v>
      </c>
      <c r="R499" s="11">
        <f t="shared" ca="1" si="39"/>
        <v>4</v>
      </c>
      <c r="S499" s="11" t="str">
        <f t="shared" si="40"/>
        <v>750-799</v>
      </c>
    </row>
    <row r="500" spans="1:19" x14ac:dyDescent="0.3">
      <c r="A500" s="11" t="s">
        <v>512</v>
      </c>
      <c r="B500" s="11" t="s">
        <v>1019</v>
      </c>
      <c r="C500" s="11">
        <v>60</v>
      </c>
      <c r="D500" s="11" t="s">
        <v>1034</v>
      </c>
      <c r="E500" s="11" t="s">
        <v>1038</v>
      </c>
      <c r="F500" s="12">
        <v>1409008</v>
      </c>
      <c r="G500" s="12">
        <v>723997</v>
      </c>
      <c r="H500" s="11">
        <v>13.25</v>
      </c>
      <c r="I500" s="11">
        <v>72</v>
      </c>
      <c r="J500" s="11">
        <v>850</v>
      </c>
      <c r="K500" s="11" t="s">
        <v>1040</v>
      </c>
      <c r="L500" s="11" t="s">
        <v>1044</v>
      </c>
      <c r="M500" s="13">
        <v>45042</v>
      </c>
      <c r="N500" s="11" t="s">
        <v>1048</v>
      </c>
      <c r="O500" s="14">
        <f t="shared" si="36"/>
        <v>14629.295518800178</v>
      </c>
      <c r="P500" s="14">
        <f t="shared" si="37"/>
        <v>1053309.2773536127</v>
      </c>
      <c r="Q500" s="14">
        <f t="shared" si="38"/>
        <v>329312.27735361271</v>
      </c>
      <c r="R500" s="11">
        <f t="shared" ca="1" si="39"/>
        <v>2</v>
      </c>
      <c r="S500" s="11" t="str">
        <f t="shared" si="40"/>
        <v>800-850</v>
      </c>
    </row>
    <row r="501" spans="1:19" x14ac:dyDescent="0.3">
      <c r="A501" s="11" t="s">
        <v>513</v>
      </c>
      <c r="B501" s="11" t="s">
        <v>1016</v>
      </c>
      <c r="C501" s="11">
        <v>48</v>
      </c>
      <c r="D501" s="11" t="s">
        <v>1035</v>
      </c>
      <c r="E501" s="11" t="s">
        <v>1036</v>
      </c>
      <c r="F501" s="12">
        <v>1786991</v>
      </c>
      <c r="G501" s="12">
        <v>1194006</v>
      </c>
      <c r="H501" s="11">
        <v>11.02</v>
      </c>
      <c r="I501" s="11">
        <v>60</v>
      </c>
      <c r="J501" s="11">
        <v>647</v>
      </c>
      <c r="K501" s="11" t="s">
        <v>1039</v>
      </c>
      <c r="L501" s="11" t="s">
        <v>1044</v>
      </c>
      <c r="M501" s="13">
        <v>43882</v>
      </c>
      <c r="N501" s="11" t="s">
        <v>1048</v>
      </c>
      <c r="O501" s="14">
        <f t="shared" si="36"/>
        <v>25972.494417184855</v>
      </c>
      <c r="P501" s="14">
        <f t="shared" si="37"/>
        <v>1558349.6650310913</v>
      </c>
      <c r="Q501" s="14">
        <f t="shared" si="38"/>
        <v>364343.66503109131</v>
      </c>
      <c r="R501" s="11">
        <f t="shared" ca="1" si="39"/>
        <v>5</v>
      </c>
      <c r="S501" s="11" t="str">
        <f t="shared" si="40"/>
        <v>600-649</v>
      </c>
    </row>
    <row r="502" spans="1:19" x14ac:dyDescent="0.3">
      <c r="A502" s="11" t="s">
        <v>514</v>
      </c>
      <c r="B502" s="11" t="s">
        <v>1017</v>
      </c>
      <c r="C502" s="11">
        <v>55</v>
      </c>
      <c r="D502" s="11" t="s">
        <v>1035</v>
      </c>
      <c r="E502" s="11" t="s">
        <v>1036</v>
      </c>
      <c r="F502" s="12">
        <v>463624</v>
      </c>
      <c r="G502" s="12">
        <v>977914</v>
      </c>
      <c r="H502" s="11">
        <v>12.98</v>
      </c>
      <c r="I502" s="11">
        <v>72</v>
      </c>
      <c r="J502" s="11">
        <v>828</v>
      </c>
      <c r="K502" s="11" t="s">
        <v>1042</v>
      </c>
      <c r="L502" s="11" t="s">
        <v>1044</v>
      </c>
      <c r="M502" s="13">
        <v>43571</v>
      </c>
      <c r="N502" s="11" t="s">
        <v>1047</v>
      </c>
      <c r="O502" s="14">
        <f t="shared" si="36"/>
        <v>19620.427427255396</v>
      </c>
      <c r="P502" s="14">
        <f t="shared" si="37"/>
        <v>1412670.7747623886</v>
      </c>
      <c r="Q502" s="14">
        <f t="shared" si="38"/>
        <v>434756.77476238855</v>
      </c>
      <c r="R502" s="11">
        <f t="shared" ca="1" si="39"/>
        <v>6</v>
      </c>
      <c r="S502" s="11" t="str">
        <f t="shared" si="40"/>
        <v>800-850</v>
      </c>
    </row>
    <row r="503" spans="1:19" x14ac:dyDescent="0.3">
      <c r="A503" s="11" t="s">
        <v>515</v>
      </c>
      <c r="B503" s="11" t="s">
        <v>1023</v>
      </c>
      <c r="C503" s="11">
        <v>33</v>
      </c>
      <c r="D503" s="11" t="s">
        <v>1035</v>
      </c>
      <c r="E503" s="11" t="s">
        <v>1037</v>
      </c>
      <c r="F503" s="12">
        <v>1775586</v>
      </c>
      <c r="G503" s="12">
        <v>502871</v>
      </c>
      <c r="H503" s="11">
        <v>12.51</v>
      </c>
      <c r="I503" s="11">
        <v>84</v>
      </c>
      <c r="J503" s="11">
        <v>634</v>
      </c>
      <c r="K503" s="11" t="s">
        <v>1040</v>
      </c>
      <c r="L503" s="11" t="s">
        <v>1044</v>
      </c>
      <c r="M503" s="13">
        <v>44096</v>
      </c>
      <c r="N503" s="11" t="s">
        <v>1046</v>
      </c>
      <c r="O503" s="14">
        <f t="shared" si="36"/>
        <v>9014.782970360211</v>
      </c>
      <c r="P503" s="14">
        <f t="shared" si="37"/>
        <v>757241.76951025776</v>
      </c>
      <c r="Q503" s="14">
        <f t="shared" si="38"/>
        <v>254370.76951025776</v>
      </c>
      <c r="R503" s="11">
        <f t="shared" ca="1" si="39"/>
        <v>5</v>
      </c>
      <c r="S503" s="11" t="str">
        <f t="shared" si="40"/>
        <v>600-649</v>
      </c>
    </row>
    <row r="504" spans="1:19" x14ac:dyDescent="0.3">
      <c r="A504" s="11" t="s">
        <v>516</v>
      </c>
      <c r="B504" s="11" t="s">
        <v>1025</v>
      </c>
      <c r="C504" s="11">
        <v>53</v>
      </c>
      <c r="D504" s="11" t="s">
        <v>1035</v>
      </c>
      <c r="E504" s="11" t="s">
        <v>1038</v>
      </c>
      <c r="F504" s="12">
        <v>722689</v>
      </c>
      <c r="G504" s="12">
        <v>407836</v>
      </c>
      <c r="H504" s="11">
        <v>9.1</v>
      </c>
      <c r="I504" s="11">
        <v>96</v>
      </c>
      <c r="J504" s="11">
        <v>633</v>
      </c>
      <c r="K504" s="11" t="s">
        <v>1039</v>
      </c>
      <c r="L504" s="11" t="s">
        <v>1043</v>
      </c>
      <c r="M504" s="13">
        <v>44761</v>
      </c>
      <c r="N504" s="11" t="s">
        <v>1048</v>
      </c>
      <c r="O504" s="14">
        <f t="shared" si="36"/>
        <v>5996.0586494519648</v>
      </c>
      <c r="P504" s="14">
        <f t="shared" si="37"/>
        <v>575621.63034738856</v>
      </c>
      <c r="Q504" s="14">
        <f t="shared" si="38"/>
        <v>167785.63034738856</v>
      </c>
      <c r="R504" s="11">
        <f t="shared" ca="1" si="39"/>
        <v>3</v>
      </c>
      <c r="S504" s="11" t="str">
        <f t="shared" si="40"/>
        <v>600-649</v>
      </c>
    </row>
    <row r="505" spans="1:19" x14ac:dyDescent="0.3">
      <c r="A505" s="11" t="s">
        <v>517</v>
      </c>
      <c r="B505" s="11" t="s">
        <v>1017</v>
      </c>
      <c r="C505" s="11">
        <v>46</v>
      </c>
      <c r="D505" s="11" t="s">
        <v>1034</v>
      </c>
      <c r="E505" s="11" t="s">
        <v>1038</v>
      </c>
      <c r="F505" s="12">
        <v>735990</v>
      </c>
      <c r="G505" s="12">
        <v>288904</v>
      </c>
      <c r="H505" s="11">
        <v>12.45</v>
      </c>
      <c r="I505" s="11">
        <v>48</v>
      </c>
      <c r="J505" s="11">
        <v>812</v>
      </c>
      <c r="K505" s="11" t="s">
        <v>1041</v>
      </c>
      <c r="L505" s="11" t="s">
        <v>1044</v>
      </c>
      <c r="M505" s="13">
        <v>44883</v>
      </c>
      <c r="N505" s="11" t="s">
        <v>1047</v>
      </c>
      <c r="O505" s="14">
        <f t="shared" si="36"/>
        <v>7671.9388856747246</v>
      </c>
      <c r="P505" s="14">
        <f t="shared" si="37"/>
        <v>368253.06651238678</v>
      </c>
      <c r="Q505" s="14">
        <f t="shared" si="38"/>
        <v>79349.06651238678</v>
      </c>
      <c r="R505" s="11">
        <f t="shared" ca="1" si="39"/>
        <v>3</v>
      </c>
      <c r="S505" s="11" t="str">
        <f t="shared" si="40"/>
        <v>800-850</v>
      </c>
    </row>
    <row r="506" spans="1:19" x14ac:dyDescent="0.3">
      <c r="A506" s="11" t="s">
        <v>518</v>
      </c>
      <c r="B506" s="11" t="s">
        <v>1019</v>
      </c>
      <c r="C506" s="11">
        <v>28</v>
      </c>
      <c r="D506" s="11" t="s">
        <v>1035</v>
      </c>
      <c r="E506" s="11" t="s">
        <v>1038</v>
      </c>
      <c r="F506" s="12">
        <v>1979090</v>
      </c>
      <c r="G506" s="12">
        <v>933013</v>
      </c>
      <c r="H506" s="11">
        <v>13.69</v>
      </c>
      <c r="I506" s="11">
        <v>36</v>
      </c>
      <c r="J506" s="11">
        <v>761</v>
      </c>
      <c r="K506" s="11" t="s">
        <v>1041</v>
      </c>
      <c r="L506" s="11" t="s">
        <v>1043</v>
      </c>
      <c r="M506" s="13">
        <v>43759</v>
      </c>
      <c r="N506" s="11" t="s">
        <v>1047</v>
      </c>
      <c r="O506" s="14">
        <f t="shared" si="36"/>
        <v>31747.874922878</v>
      </c>
      <c r="P506" s="14">
        <f t="shared" si="37"/>
        <v>1142923.497223608</v>
      </c>
      <c r="Q506" s="14">
        <f t="shared" si="38"/>
        <v>209910.49722360796</v>
      </c>
      <c r="R506" s="11">
        <f t="shared" ca="1" si="39"/>
        <v>6</v>
      </c>
      <c r="S506" s="11" t="str">
        <f t="shared" si="40"/>
        <v>750-799</v>
      </c>
    </row>
    <row r="507" spans="1:19" x14ac:dyDescent="0.3">
      <c r="A507" s="11" t="s">
        <v>519</v>
      </c>
      <c r="B507" s="11" t="s">
        <v>1023</v>
      </c>
      <c r="C507" s="11">
        <v>31</v>
      </c>
      <c r="D507" s="11" t="s">
        <v>1034</v>
      </c>
      <c r="E507" s="11" t="s">
        <v>1038</v>
      </c>
      <c r="F507" s="12">
        <v>1501177</v>
      </c>
      <c r="G507" s="12">
        <v>230706</v>
      </c>
      <c r="H507" s="11">
        <v>8.75</v>
      </c>
      <c r="I507" s="11">
        <v>72</v>
      </c>
      <c r="J507" s="11">
        <v>742</v>
      </c>
      <c r="K507" s="11" t="s">
        <v>1040</v>
      </c>
      <c r="L507" s="11" t="s">
        <v>1044</v>
      </c>
      <c r="M507" s="13">
        <v>43583</v>
      </c>
      <c r="N507" s="11" t="s">
        <v>1047</v>
      </c>
      <c r="O507" s="14">
        <f t="shared" si="36"/>
        <v>4130.0319722454688</v>
      </c>
      <c r="P507" s="14">
        <f t="shared" si="37"/>
        <v>297362.30200167373</v>
      </c>
      <c r="Q507" s="14">
        <f t="shared" si="38"/>
        <v>66656.302001673728</v>
      </c>
      <c r="R507" s="11">
        <f t="shared" ca="1" si="39"/>
        <v>6</v>
      </c>
      <c r="S507" s="11" t="str">
        <f t="shared" si="40"/>
        <v>700-749</v>
      </c>
    </row>
    <row r="508" spans="1:19" x14ac:dyDescent="0.3">
      <c r="A508" s="11" t="s">
        <v>520</v>
      </c>
      <c r="B508" s="11" t="s">
        <v>1028</v>
      </c>
      <c r="C508" s="11">
        <v>31</v>
      </c>
      <c r="D508" s="11" t="s">
        <v>1034</v>
      </c>
      <c r="E508" s="11" t="s">
        <v>1036</v>
      </c>
      <c r="F508" s="12">
        <v>813461</v>
      </c>
      <c r="G508" s="12">
        <v>1033886</v>
      </c>
      <c r="H508" s="11">
        <v>13.57</v>
      </c>
      <c r="I508" s="11">
        <v>96</v>
      </c>
      <c r="J508" s="11">
        <v>656</v>
      </c>
      <c r="K508" s="11" t="s">
        <v>1039</v>
      </c>
      <c r="L508" s="11" t="s">
        <v>1044</v>
      </c>
      <c r="M508" s="13">
        <v>44322</v>
      </c>
      <c r="N508" s="11" t="s">
        <v>1047</v>
      </c>
      <c r="O508" s="14">
        <f t="shared" si="36"/>
        <v>17708.069901791834</v>
      </c>
      <c r="P508" s="14">
        <f t="shared" si="37"/>
        <v>1699974.710572016</v>
      </c>
      <c r="Q508" s="14">
        <f t="shared" si="38"/>
        <v>666088.71057201596</v>
      </c>
      <c r="R508" s="11">
        <f t="shared" ca="1" si="39"/>
        <v>4</v>
      </c>
      <c r="S508" s="11" t="str">
        <f t="shared" si="40"/>
        <v>650-699</v>
      </c>
    </row>
    <row r="509" spans="1:19" x14ac:dyDescent="0.3">
      <c r="A509" s="11" t="s">
        <v>521</v>
      </c>
      <c r="B509" s="11" t="s">
        <v>1031</v>
      </c>
      <c r="C509" s="11">
        <v>32</v>
      </c>
      <c r="D509" s="11" t="s">
        <v>1034</v>
      </c>
      <c r="E509" s="11" t="s">
        <v>1037</v>
      </c>
      <c r="F509" s="12">
        <v>315875</v>
      </c>
      <c r="G509" s="12">
        <v>1980101</v>
      </c>
      <c r="H509" s="11">
        <v>7.75</v>
      </c>
      <c r="I509" s="11">
        <v>96</v>
      </c>
      <c r="J509" s="11">
        <v>832</v>
      </c>
      <c r="K509" s="11" t="s">
        <v>1041</v>
      </c>
      <c r="L509" s="11" t="s">
        <v>1044</v>
      </c>
      <c r="M509" s="13">
        <v>43888</v>
      </c>
      <c r="N509" s="11" t="s">
        <v>1046</v>
      </c>
      <c r="O509" s="14">
        <f t="shared" si="36"/>
        <v>27741.103934435563</v>
      </c>
      <c r="P509" s="14">
        <f t="shared" si="37"/>
        <v>2663145.9777058139</v>
      </c>
      <c r="Q509" s="14">
        <f t="shared" si="38"/>
        <v>683044.97770581394</v>
      </c>
      <c r="R509" s="11">
        <f t="shared" ca="1" si="39"/>
        <v>5</v>
      </c>
      <c r="S509" s="11" t="str">
        <f t="shared" si="40"/>
        <v>800-850</v>
      </c>
    </row>
    <row r="510" spans="1:19" x14ac:dyDescent="0.3">
      <c r="A510" s="11" t="s">
        <v>522</v>
      </c>
      <c r="B510" s="11" t="s">
        <v>1024</v>
      </c>
      <c r="C510" s="11">
        <v>30</v>
      </c>
      <c r="D510" s="11" t="s">
        <v>1034</v>
      </c>
      <c r="E510" s="11" t="s">
        <v>1036</v>
      </c>
      <c r="F510" s="12">
        <v>1861064</v>
      </c>
      <c r="G510" s="12">
        <v>1703927</v>
      </c>
      <c r="H510" s="11">
        <v>8.58</v>
      </c>
      <c r="I510" s="11">
        <v>96</v>
      </c>
      <c r="J510" s="11">
        <v>683</v>
      </c>
      <c r="K510" s="11" t="s">
        <v>1039</v>
      </c>
      <c r="L510" s="11" t="s">
        <v>1043</v>
      </c>
      <c r="M510" s="13">
        <v>45587</v>
      </c>
      <c r="N510" s="11" t="s">
        <v>1047</v>
      </c>
      <c r="O510" s="14">
        <f t="shared" si="36"/>
        <v>24593.195029304279</v>
      </c>
      <c r="P510" s="14">
        <f t="shared" si="37"/>
        <v>2360946.7228132109</v>
      </c>
      <c r="Q510" s="14">
        <f t="shared" si="38"/>
        <v>657019.72281321092</v>
      </c>
      <c r="R510" s="11">
        <f t="shared" ca="1" si="39"/>
        <v>1</v>
      </c>
      <c r="S510" s="11" t="str">
        <f t="shared" si="40"/>
        <v>650-699</v>
      </c>
    </row>
    <row r="511" spans="1:19" x14ac:dyDescent="0.3">
      <c r="A511" s="11" t="s">
        <v>523</v>
      </c>
      <c r="B511" s="11" t="s">
        <v>1019</v>
      </c>
      <c r="C511" s="11">
        <v>53</v>
      </c>
      <c r="D511" s="11" t="s">
        <v>1035</v>
      </c>
      <c r="E511" s="11" t="s">
        <v>1038</v>
      </c>
      <c r="F511" s="12">
        <v>1768396</v>
      </c>
      <c r="G511" s="12">
        <v>837217</v>
      </c>
      <c r="H511" s="11">
        <v>9.69</v>
      </c>
      <c r="I511" s="11">
        <v>96</v>
      </c>
      <c r="J511" s="11">
        <v>714</v>
      </c>
      <c r="K511" s="11" t="s">
        <v>1040</v>
      </c>
      <c r="L511" s="11" t="s">
        <v>1044</v>
      </c>
      <c r="M511" s="13">
        <v>44532</v>
      </c>
      <c r="N511" s="11" t="s">
        <v>1046</v>
      </c>
      <c r="O511" s="14">
        <f t="shared" si="36"/>
        <v>12567.152952817838</v>
      </c>
      <c r="P511" s="14">
        <f t="shared" si="37"/>
        <v>1206446.6834705125</v>
      </c>
      <c r="Q511" s="14">
        <f t="shared" si="38"/>
        <v>369229.68347051251</v>
      </c>
      <c r="R511" s="11">
        <f t="shared" ca="1" si="39"/>
        <v>4</v>
      </c>
      <c r="S511" s="11" t="str">
        <f t="shared" si="40"/>
        <v>700-749</v>
      </c>
    </row>
    <row r="512" spans="1:19" x14ac:dyDescent="0.3">
      <c r="A512" s="11" t="s">
        <v>524</v>
      </c>
      <c r="B512" s="11" t="s">
        <v>1015</v>
      </c>
      <c r="C512" s="11">
        <v>50</v>
      </c>
      <c r="D512" s="11" t="s">
        <v>1035</v>
      </c>
      <c r="E512" s="11" t="s">
        <v>1038</v>
      </c>
      <c r="F512" s="12">
        <v>995576</v>
      </c>
      <c r="G512" s="12">
        <v>1130048</v>
      </c>
      <c r="H512" s="11">
        <v>7.56</v>
      </c>
      <c r="I512" s="11">
        <v>84</v>
      </c>
      <c r="J512" s="11">
        <v>803</v>
      </c>
      <c r="K512" s="11" t="s">
        <v>1040</v>
      </c>
      <c r="L512" s="11" t="s">
        <v>1044</v>
      </c>
      <c r="M512" s="13">
        <v>45105</v>
      </c>
      <c r="N512" s="11" t="s">
        <v>1046</v>
      </c>
      <c r="O512" s="14">
        <f t="shared" si="36"/>
        <v>17366.470288953493</v>
      </c>
      <c r="P512" s="14">
        <f t="shared" si="37"/>
        <v>1458783.5042720933</v>
      </c>
      <c r="Q512" s="14">
        <f t="shared" si="38"/>
        <v>328735.5042720933</v>
      </c>
      <c r="R512" s="11">
        <f t="shared" ca="1" si="39"/>
        <v>2</v>
      </c>
      <c r="S512" s="11" t="str">
        <f t="shared" si="40"/>
        <v>800-850</v>
      </c>
    </row>
    <row r="513" spans="1:19" x14ac:dyDescent="0.3">
      <c r="A513" s="11" t="s">
        <v>525</v>
      </c>
      <c r="B513" s="11" t="s">
        <v>1025</v>
      </c>
      <c r="C513" s="11">
        <v>30</v>
      </c>
      <c r="D513" s="11" t="s">
        <v>1034</v>
      </c>
      <c r="E513" s="11" t="s">
        <v>1038</v>
      </c>
      <c r="F513" s="12">
        <v>531941</v>
      </c>
      <c r="G513" s="12">
        <v>940228</v>
      </c>
      <c r="H513" s="11">
        <v>8.57</v>
      </c>
      <c r="I513" s="11">
        <v>96</v>
      </c>
      <c r="J513" s="11">
        <v>600</v>
      </c>
      <c r="K513" s="11" t="s">
        <v>1042</v>
      </c>
      <c r="L513" s="11" t="s">
        <v>1044</v>
      </c>
      <c r="M513" s="13">
        <v>44690</v>
      </c>
      <c r="N513" s="11" t="s">
        <v>1048</v>
      </c>
      <c r="O513" s="14">
        <f t="shared" si="36"/>
        <v>13565.704877494698</v>
      </c>
      <c r="P513" s="14">
        <f t="shared" si="37"/>
        <v>1302307.6682394911</v>
      </c>
      <c r="Q513" s="14">
        <f t="shared" si="38"/>
        <v>362079.66823949106</v>
      </c>
      <c r="R513" s="11">
        <f t="shared" ca="1" si="39"/>
        <v>3</v>
      </c>
      <c r="S513" s="11" t="str">
        <f t="shared" si="40"/>
        <v>600-649</v>
      </c>
    </row>
    <row r="514" spans="1:19" x14ac:dyDescent="0.3">
      <c r="A514" s="11" t="s">
        <v>526</v>
      </c>
      <c r="B514" s="11" t="s">
        <v>1028</v>
      </c>
      <c r="C514" s="11">
        <v>57</v>
      </c>
      <c r="D514" s="11" t="s">
        <v>1034</v>
      </c>
      <c r="E514" s="11" t="s">
        <v>1038</v>
      </c>
      <c r="F514" s="12">
        <v>1491229</v>
      </c>
      <c r="G514" s="12">
        <v>1611643</v>
      </c>
      <c r="H514" s="11">
        <v>7.74</v>
      </c>
      <c r="I514" s="11">
        <v>96</v>
      </c>
      <c r="J514" s="11">
        <v>724</v>
      </c>
      <c r="K514" s="11" t="s">
        <v>1041</v>
      </c>
      <c r="L514" s="11" t="s">
        <v>1043</v>
      </c>
      <c r="M514" s="13">
        <v>44485</v>
      </c>
      <c r="N514" s="11" t="s">
        <v>1048</v>
      </c>
      <c r="O514" s="14">
        <f t="shared" si="36"/>
        <v>22570.880110453909</v>
      </c>
      <c r="P514" s="14">
        <f t="shared" si="37"/>
        <v>2166804.4906035755</v>
      </c>
      <c r="Q514" s="14">
        <f t="shared" si="38"/>
        <v>555161.49060357548</v>
      </c>
      <c r="R514" s="11">
        <f t="shared" ca="1" si="39"/>
        <v>4</v>
      </c>
      <c r="S514" s="11" t="str">
        <f t="shared" si="40"/>
        <v>700-749</v>
      </c>
    </row>
    <row r="515" spans="1:19" x14ac:dyDescent="0.3">
      <c r="A515" s="11" t="s">
        <v>527</v>
      </c>
      <c r="B515" s="11" t="s">
        <v>1022</v>
      </c>
      <c r="C515" s="11">
        <v>26</v>
      </c>
      <c r="D515" s="11" t="s">
        <v>1034</v>
      </c>
      <c r="E515" s="11" t="s">
        <v>1037</v>
      </c>
      <c r="F515" s="12">
        <v>545153</v>
      </c>
      <c r="G515" s="12">
        <v>1596986</v>
      </c>
      <c r="H515" s="11">
        <v>9.99</v>
      </c>
      <c r="I515" s="11">
        <v>72</v>
      </c>
      <c r="J515" s="11">
        <v>624</v>
      </c>
      <c r="K515" s="11" t="s">
        <v>1040</v>
      </c>
      <c r="L515" s="11" t="s">
        <v>1044</v>
      </c>
      <c r="M515" s="13">
        <v>44210</v>
      </c>
      <c r="N515" s="11" t="s">
        <v>1045</v>
      </c>
      <c r="O515" s="14">
        <f t="shared" ref="O515:O578" si="41">PMT(H515/1200,I515,-G515)</f>
        <v>29577.450888888739</v>
      </c>
      <c r="P515" s="14">
        <f t="shared" ref="P515:P578" si="42">O515*I515</f>
        <v>2129576.4639999894</v>
      </c>
      <c r="Q515" s="14">
        <f t="shared" ref="Q515:Q578" si="43">P515-G515</f>
        <v>532590.46399998944</v>
      </c>
      <c r="R515" s="11">
        <f t="shared" ref="R515:R578" ca="1" si="44">(YEAR(TODAY())-YEAR(M515))</f>
        <v>4</v>
      </c>
      <c r="S515" s="11" t="str">
        <f t="shared" ref="S515:S578" si="45">IF(J515&lt;650,"600-649",
IF(J515&lt;700,"650-699",
IF(J515&lt;750,"700-749",
IF(J515&lt;800,"750-799","800-850"))))</f>
        <v>600-649</v>
      </c>
    </row>
    <row r="516" spans="1:19" x14ac:dyDescent="0.3">
      <c r="A516" s="11" t="s">
        <v>528</v>
      </c>
      <c r="B516" s="11" t="s">
        <v>1025</v>
      </c>
      <c r="C516" s="11">
        <v>45</v>
      </c>
      <c r="D516" s="11" t="s">
        <v>1034</v>
      </c>
      <c r="E516" s="11" t="s">
        <v>1038</v>
      </c>
      <c r="F516" s="12">
        <v>1233182</v>
      </c>
      <c r="G516" s="12">
        <v>1734860</v>
      </c>
      <c r="H516" s="11">
        <v>8.11</v>
      </c>
      <c r="I516" s="11">
        <v>60</v>
      </c>
      <c r="J516" s="11">
        <v>842</v>
      </c>
      <c r="K516" s="11" t="s">
        <v>1042</v>
      </c>
      <c r="L516" s="11" t="s">
        <v>1043</v>
      </c>
      <c r="M516" s="13">
        <v>43231</v>
      </c>
      <c r="N516" s="11" t="s">
        <v>1048</v>
      </c>
      <c r="O516" s="14">
        <f t="shared" si="41"/>
        <v>35268.106814436302</v>
      </c>
      <c r="P516" s="14">
        <f t="shared" si="42"/>
        <v>2116086.4088661782</v>
      </c>
      <c r="Q516" s="14">
        <f t="shared" si="43"/>
        <v>381226.40886617824</v>
      </c>
      <c r="R516" s="11">
        <f t="shared" ca="1" si="44"/>
        <v>7</v>
      </c>
      <c r="S516" s="11" t="str">
        <f t="shared" si="45"/>
        <v>800-850</v>
      </c>
    </row>
    <row r="517" spans="1:19" x14ac:dyDescent="0.3">
      <c r="A517" s="11" t="s">
        <v>529</v>
      </c>
      <c r="B517" s="11" t="s">
        <v>1030</v>
      </c>
      <c r="C517" s="11">
        <v>39</v>
      </c>
      <c r="D517" s="11" t="s">
        <v>1034</v>
      </c>
      <c r="E517" s="11" t="s">
        <v>1036</v>
      </c>
      <c r="F517" s="12">
        <v>1816534</v>
      </c>
      <c r="G517" s="12">
        <v>1926760</v>
      </c>
      <c r="H517" s="11">
        <v>7.52</v>
      </c>
      <c r="I517" s="11">
        <v>36</v>
      </c>
      <c r="J517" s="11">
        <v>620</v>
      </c>
      <c r="K517" s="11" t="s">
        <v>1041</v>
      </c>
      <c r="L517" s="11" t="s">
        <v>1043</v>
      </c>
      <c r="M517" s="13">
        <v>44350</v>
      </c>
      <c r="N517" s="11" t="s">
        <v>1045</v>
      </c>
      <c r="O517" s="14">
        <f t="shared" si="41"/>
        <v>59951.91650888935</v>
      </c>
      <c r="P517" s="14">
        <f t="shared" si="42"/>
        <v>2158268.9943200164</v>
      </c>
      <c r="Q517" s="14">
        <f t="shared" si="43"/>
        <v>231508.99432001635</v>
      </c>
      <c r="R517" s="11">
        <f t="shared" ca="1" si="44"/>
        <v>4</v>
      </c>
      <c r="S517" s="11" t="str">
        <f t="shared" si="45"/>
        <v>600-649</v>
      </c>
    </row>
    <row r="518" spans="1:19" x14ac:dyDescent="0.3">
      <c r="A518" s="11" t="s">
        <v>530</v>
      </c>
      <c r="B518" s="11" t="s">
        <v>1025</v>
      </c>
      <c r="C518" s="11">
        <v>52</v>
      </c>
      <c r="D518" s="11" t="s">
        <v>1035</v>
      </c>
      <c r="E518" s="11" t="s">
        <v>1036</v>
      </c>
      <c r="F518" s="12">
        <v>1281118</v>
      </c>
      <c r="G518" s="12">
        <v>373045</v>
      </c>
      <c r="H518" s="11">
        <v>7.96</v>
      </c>
      <c r="I518" s="11">
        <v>48</v>
      </c>
      <c r="J518" s="11">
        <v>830</v>
      </c>
      <c r="K518" s="11" t="s">
        <v>1040</v>
      </c>
      <c r="L518" s="11" t="s">
        <v>1044</v>
      </c>
      <c r="M518" s="13">
        <v>44712</v>
      </c>
      <c r="N518" s="11" t="s">
        <v>1047</v>
      </c>
      <c r="O518" s="14">
        <f t="shared" si="41"/>
        <v>9100.1159123155539</v>
      </c>
      <c r="P518" s="14">
        <f t="shared" si="42"/>
        <v>436805.56379114662</v>
      </c>
      <c r="Q518" s="14">
        <f t="shared" si="43"/>
        <v>63760.563791146618</v>
      </c>
      <c r="R518" s="11">
        <f t="shared" ca="1" si="44"/>
        <v>3</v>
      </c>
      <c r="S518" s="11" t="str">
        <f t="shared" si="45"/>
        <v>800-850</v>
      </c>
    </row>
    <row r="519" spans="1:19" x14ac:dyDescent="0.3">
      <c r="A519" s="11" t="s">
        <v>531</v>
      </c>
      <c r="B519" s="11" t="s">
        <v>1026</v>
      </c>
      <c r="C519" s="11">
        <v>36</v>
      </c>
      <c r="D519" s="11" t="s">
        <v>1034</v>
      </c>
      <c r="E519" s="11" t="s">
        <v>1038</v>
      </c>
      <c r="F519" s="12">
        <v>1061800</v>
      </c>
      <c r="G519" s="12">
        <v>1341845</v>
      </c>
      <c r="H519" s="11">
        <v>10.85</v>
      </c>
      <c r="I519" s="11">
        <v>72</v>
      </c>
      <c r="J519" s="11">
        <v>651</v>
      </c>
      <c r="K519" s="11" t="s">
        <v>1040</v>
      </c>
      <c r="L519" s="11" t="s">
        <v>1044</v>
      </c>
      <c r="M519" s="13">
        <v>44423</v>
      </c>
      <c r="N519" s="11" t="s">
        <v>1045</v>
      </c>
      <c r="O519" s="14">
        <f t="shared" si="41"/>
        <v>25437.810865605086</v>
      </c>
      <c r="P519" s="14">
        <f t="shared" si="42"/>
        <v>1831522.3823235661</v>
      </c>
      <c r="Q519" s="14">
        <f t="shared" si="43"/>
        <v>489677.38232356613</v>
      </c>
      <c r="R519" s="11">
        <f t="shared" ca="1" si="44"/>
        <v>4</v>
      </c>
      <c r="S519" s="11" t="str">
        <f t="shared" si="45"/>
        <v>650-699</v>
      </c>
    </row>
    <row r="520" spans="1:19" x14ac:dyDescent="0.3">
      <c r="A520" s="11" t="s">
        <v>532</v>
      </c>
      <c r="B520" s="11" t="s">
        <v>1018</v>
      </c>
      <c r="C520" s="11">
        <v>29</v>
      </c>
      <c r="D520" s="11" t="s">
        <v>1034</v>
      </c>
      <c r="E520" s="11" t="s">
        <v>1038</v>
      </c>
      <c r="F520" s="12">
        <v>325439</v>
      </c>
      <c r="G520" s="12">
        <v>520913</v>
      </c>
      <c r="H520" s="11">
        <v>13.23</v>
      </c>
      <c r="I520" s="11">
        <v>48</v>
      </c>
      <c r="J520" s="11">
        <v>795</v>
      </c>
      <c r="K520" s="11" t="s">
        <v>1041</v>
      </c>
      <c r="L520" s="11" t="s">
        <v>1044</v>
      </c>
      <c r="M520" s="13">
        <v>44847</v>
      </c>
      <c r="N520" s="11" t="s">
        <v>1046</v>
      </c>
      <c r="O520" s="14">
        <f t="shared" si="41"/>
        <v>14034.32936381513</v>
      </c>
      <c r="P520" s="14">
        <f t="shared" si="42"/>
        <v>673647.80946312624</v>
      </c>
      <c r="Q520" s="14">
        <f t="shared" si="43"/>
        <v>152734.80946312624</v>
      </c>
      <c r="R520" s="11">
        <f t="shared" ca="1" si="44"/>
        <v>3</v>
      </c>
      <c r="S520" s="11" t="str">
        <f t="shared" si="45"/>
        <v>750-799</v>
      </c>
    </row>
    <row r="521" spans="1:19" x14ac:dyDescent="0.3">
      <c r="A521" s="11" t="s">
        <v>533</v>
      </c>
      <c r="B521" s="11" t="s">
        <v>1027</v>
      </c>
      <c r="C521" s="11">
        <v>51</v>
      </c>
      <c r="D521" s="11" t="s">
        <v>1035</v>
      </c>
      <c r="E521" s="11" t="s">
        <v>1038</v>
      </c>
      <c r="F521" s="12">
        <v>540010</v>
      </c>
      <c r="G521" s="12">
        <v>1372618</v>
      </c>
      <c r="H521" s="11">
        <v>13.39</v>
      </c>
      <c r="I521" s="11">
        <v>120</v>
      </c>
      <c r="J521" s="11">
        <v>713</v>
      </c>
      <c r="K521" s="11" t="s">
        <v>1042</v>
      </c>
      <c r="L521" s="11" t="s">
        <v>1044</v>
      </c>
      <c r="M521" s="13">
        <v>45302</v>
      </c>
      <c r="N521" s="11" t="s">
        <v>1045</v>
      </c>
      <c r="O521" s="14">
        <f t="shared" si="41"/>
        <v>20811.61233091816</v>
      </c>
      <c r="P521" s="14">
        <f t="shared" si="42"/>
        <v>2497393.4797101794</v>
      </c>
      <c r="Q521" s="14">
        <f t="shared" si="43"/>
        <v>1124775.4797101794</v>
      </c>
      <c r="R521" s="11">
        <f t="shared" ca="1" si="44"/>
        <v>1</v>
      </c>
      <c r="S521" s="11" t="str">
        <f t="shared" si="45"/>
        <v>700-749</v>
      </c>
    </row>
    <row r="522" spans="1:19" x14ac:dyDescent="0.3">
      <c r="A522" s="11" t="s">
        <v>534</v>
      </c>
      <c r="B522" s="11" t="s">
        <v>1030</v>
      </c>
      <c r="C522" s="11">
        <v>32</v>
      </c>
      <c r="D522" s="11" t="s">
        <v>1035</v>
      </c>
      <c r="E522" s="11" t="s">
        <v>1038</v>
      </c>
      <c r="F522" s="12">
        <v>624279</v>
      </c>
      <c r="G522" s="12">
        <v>781808</v>
      </c>
      <c r="H522" s="11">
        <v>14.35</v>
      </c>
      <c r="I522" s="11">
        <v>84</v>
      </c>
      <c r="J522" s="11">
        <v>827</v>
      </c>
      <c r="K522" s="11" t="s">
        <v>1040</v>
      </c>
      <c r="L522" s="11" t="s">
        <v>1044</v>
      </c>
      <c r="M522" s="13">
        <v>44955</v>
      </c>
      <c r="N522" s="11" t="s">
        <v>1046</v>
      </c>
      <c r="O522" s="14">
        <f t="shared" si="41"/>
        <v>14802.665992804434</v>
      </c>
      <c r="P522" s="14">
        <f t="shared" si="42"/>
        <v>1243423.9433955725</v>
      </c>
      <c r="Q522" s="14">
        <f t="shared" si="43"/>
        <v>461615.94339557248</v>
      </c>
      <c r="R522" s="11">
        <f t="shared" ca="1" si="44"/>
        <v>2</v>
      </c>
      <c r="S522" s="11" t="str">
        <f t="shared" si="45"/>
        <v>800-850</v>
      </c>
    </row>
    <row r="523" spans="1:19" x14ac:dyDescent="0.3">
      <c r="A523" s="11" t="s">
        <v>535</v>
      </c>
      <c r="B523" s="11" t="s">
        <v>1029</v>
      </c>
      <c r="C523" s="11">
        <v>27</v>
      </c>
      <c r="D523" s="11" t="s">
        <v>1035</v>
      </c>
      <c r="E523" s="11" t="s">
        <v>1037</v>
      </c>
      <c r="F523" s="12">
        <v>1734333</v>
      </c>
      <c r="G523" s="12">
        <v>1295926</v>
      </c>
      <c r="H523" s="11">
        <v>12.07</v>
      </c>
      <c r="I523" s="11">
        <v>36</v>
      </c>
      <c r="J523" s="11">
        <v>706</v>
      </c>
      <c r="K523" s="11" t="s">
        <v>1041</v>
      </c>
      <c r="L523" s="11" t="s">
        <v>1044</v>
      </c>
      <c r="M523" s="13">
        <v>44828</v>
      </c>
      <c r="N523" s="11" t="s">
        <v>1046</v>
      </c>
      <c r="O523" s="14">
        <f t="shared" si="41"/>
        <v>43086.627701009849</v>
      </c>
      <c r="P523" s="14">
        <f t="shared" si="42"/>
        <v>1551118.5972363546</v>
      </c>
      <c r="Q523" s="14">
        <f t="shared" si="43"/>
        <v>255192.5972363546</v>
      </c>
      <c r="R523" s="11">
        <f t="shared" ca="1" si="44"/>
        <v>3</v>
      </c>
      <c r="S523" s="11" t="str">
        <f t="shared" si="45"/>
        <v>700-749</v>
      </c>
    </row>
    <row r="524" spans="1:19" x14ac:dyDescent="0.3">
      <c r="A524" s="11" t="s">
        <v>536</v>
      </c>
      <c r="B524" s="11" t="s">
        <v>1031</v>
      </c>
      <c r="C524" s="11">
        <v>30</v>
      </c>
      <c r="D524" s="11" t="s">
        <v>1035</v>
      </c>
      <c r="E524" s="11" t="s">
        <v>1036</v>
      </c>
      <c r="F524" s="12">
        <v>1205066</v>
      </c>
      <c r="G524" s="12">
        <v>672204</v>
      </c>
      <c r="H524" s="11">
        <v>7.63</v>
      </c>
      <c r="I524" s="11">
        <v>72</v>
      </c>
      <c r="J524" s="11">
        <v>705</v>
      </c>
      <c r="K524" s="11" t="s">
        <v>1040</v>
      </c>
      <c r="L524" s="11" t="s">
        <v>1044</v>
      </c>
      <c r="M524" s="13">
        <v>45402</v>
      </c>
      <c r="N524" s="11" t="s">
        <v>1048</v>
      </c>
      <c r="O524" s="14">
        <f t="shared" si="41"/>
        <v>11664.844314197118</v>
      </c>
      <c r="P524" s="14">
        <f t="shared" si="42"/>
        <v>839868.79062219255</v>
      </c>
      <c r="Q524" s="14">
        <f t="shared" si="43"/>
        <v>167664.79062219255</v>
      </c>
      <c r="R524" s="11">
        <f t="shared" ca="1" si="44"/>
        <v>1</v>
      </c>
      <c r="S524" s="11" t="str">
        <f t="shared" si="45"/>
        <v>700-749</v>
      </c>
    </row>
    <row r="525" spans="1:19" x14ac:dyDescent="0.3">
      <c r="A525" s="11" t="s">
        <v>537</v>
      </c>
      <c r="B525" s="11" t="s">
        <v>1028</v>
      </c>
      <c r="C525" s="11">
        <v>49</v>
      </c>
      <c r="D525" s="11" t="s">
        <v>1034</v>
      </c>
      <c r="E525" s="11" t="s">
        <v>1038</v>
      </c>
      <c r="F525" s="12">
        <v>995603</v>
      </c>
      <c r="G525" s="12">
        <v>1821210</v>
      </c>
      <c r="H525" s="11">
        <v>14.55</v>
      </c>
      <c r="I525" s="11">
        <v>60</v>
      </c>
      <c r="J525" s="11">
        <v>654</v>
      </c>
      <c r="K525" s="11" t="s">
        <v>1039</v>
      </c>
      <c r="L525" s="11" t="s">
        <v>1044</v>
      </c>
      <c r="M525" s="13">
        <v>44776</v>
      </c>
      <c r="N525" s="11" t="s">
        <v>1045</v>
      </c>
      <c r="O525" s="14">
        <f t="shared" si="41"/>
        <v>42897.460101705088</v>
      </c>
      <c r="P525" s="14">
        <f t="shared" si="42"/>
        <v>2573847.6061023055</v>
      </c>
      <c r="Q525" s="14">
        <f t="shared" si="43"/>
        <v>752637.60610230546</v>
      </c>
      <c r="R525" s="11">
        <f t="shared" ca="1" si="44"/>
        <v>3</v>
      </c>
      <c r="S525" s="11" t="str">
        <f t="shared" si="45"/>
        <v>650-699</v>
      </c>
    </row>
    <row r="526" spans="1:19" x14ac:dyDescent="0.3">
      <c r="A526" s="11" t="s">
        <v>538</v>
      </c>
      <c r="B526" s="11" t="s">
        <v>1032</v>
      </c>
      <c r="C526" s="11">
        <v>36</v>
      </c>
      <c r="D526" s="11" t="s">
        <v>1034</v>
      </c>
      <c r="E526" s="11" t="s">
        <v>1036</v>
      </c>
      <c r="F526" s="12">
        <v>677840</v>
      </c>
      <c r="G526" s="12">
        <v>1134686</v>
      </c>
      <c r="H526" s="11">
        <v>10.25</v>
      </c>
      <c r="I526" s="11">
        <v>72</v>
      </c>
      <c r="J526" s="11">
        <v>762</v>
      </c>
      <c r="K526" s="11" t="s">
        <v>1041</v>
      </c>
      <c r="L526" s="11" t="s">
        <v>1044</v>
      </c>
      <c r="M526" s="13">
        <v>44138</v>
      </c>
      <c r="N526" s="11" t="s">
        <v>1047</v>
      </c>
      <c r="O526" s="14">
        <f t="shared" si="41"/>
        <v>21164.340550914731</v>
      </c>
      <c r="P526" s="14">
        <f t="shared" si="42"/>
        <v>1523832.5196658606</v>
      </c>
      <c r="Q526" s="14">
        <f t="shared" si="43"/>
        <v>389146.51966586057</v>
      </c>
      <c r="R526" s="11">
        <f t="shared" ca="1" si="44"/>
        <v>5</v>
      </c>
      <c r="S526" s="11" t="str">
        <f t="shared" si="45"/>
        <v>750-799</v>
      </c>
    </row>
    <row r="527" spans="1:19" x14ac:dyDescent="0.3">
      <c r="A527" s="11" t="s">
        <v>539</v>
      </c>
      <c r="B527" s="11" t="s">
        <v>1017</v>
      </c>
      <c r="C527" s="11">
        <v>28</v>
      </c>
      <c r="D527" s="11" t="s">
        <v>1035</v>
      </c>
      <c r="E527" s="11" t="s">
        <v>1038</v>
      </c>
      <c r="F527" s="12">
        <v>514097</v>
      </c>
      <c r="G527" s="12">
        <v>1610099</v>
      </c>
      <c r="H527" s="11">
        <v>13.26</v>
      </c>
      <c r="I527" s="11">
        <v>96</v>
      </c>
      <c r="J527" s="11">
        <v>721</v>
      </c>
      <c r="K527" s="11" t="s">
        <v>1040</v>
      </c>
      <c r="L527" s="11" t="s">
        <v>1044</v>
      </c>
      <c r="M527" s="13">
        <v>43823</v>
      </c>
      <c r="N527" s="11" t="s">
        <v>1047</v>
      </c>
      <c r="O527" s="14">
        <f t="shared" si="41"/>
        <v>27296.040606213843</v>
      </c>
      <c r="P527" s="14">
        <f t="shared" si="42"/>
        <v>2620419.8981965287</v>
      </c>
      <c r="Q527" s="14">
        <f t="shared" si="43"/>
        <v>1010320.8981965287</v>
      </c>
      <c r="R527" s="11">
        <f t="shared" ca="1" si="44"/>
        <v>6</v>
      </c>
      <c r="S527" s="11" t="str">
        <f t="shared" si="45"/>
        <v>700-749</v>
      </c>
    </row>
    <row r="528" spans="1:19" x14ac:dyDescent="0.3">
      <c r="A528" s="11" t="s">
        <v>540</v>
      </c>
      <c r="B528" s="11" t="s">
        <v>1020</v>
      </c>
      <c r="C528" s="11">
        <v>58</v>
      </c>
      <c r="D528" s="11" t="s">
        <v>1035</v>
      </c>
      <c r="E528" s="11" t="s">
        <v>1036</v>
      </c>
      <c r="F528" s="12">
        <v>1116816</v>
      </c>
      <c r="G528" s="12">
        <v>1075512</v>
      </c>
      <c r="H528" s="11">
        <v>8.39</v>
      </c>
      <c r="I528" s="11">
        <v>60</v>
      </c>
      <c r="J528" s="11">
        <v>699</v>
      </c>
      <c r="K528" s="11" t="s">
        <v>1041</v>
      </c>
      <c r="L528" s="11" t="s">
        <v>1044</v>
      </c>
      <c r="M528" s="13">
        <v>44115</v>
      </c>
      <c r="N528" s="11" t="s">
        <v>1046</v>
      </c>
      <c r="O528" s="14">
        <f t="shared" si="41"/>
        <v>22008.800348722354</v>
      </c>
      <c r="P528" s="14">
        <f t="shared" si="42"/>
        <v>1320528.0209233412</v>
      </c>
      <c r="Q528" s="14">
        <f t="shared" si="43"/>
        <v>245016.02092334116</v>
      </c>
      <c r="R528" s="11">
        <f t="shared" ca="1" si="44"/>
        <v>5</v>
      </c>
      <c r="S528" s="11" t="str">
        <f t="shared" si="45"/>
        <v>650-699</v>
      </c>
    </row>
    <row r="529" spans="1:19" x14ac:dyDescent="0.3">
      <c r="A529" s="11" t="s">
        <v>541</v>
      </c>
      <c r="B529" s="11" t="s">
        <v>1015</v>
      </c>
      <c r="C529" s="11">
        <v>34</v>
      </c>
      <c r="D529" s="11" t="s">
        <v>1035</v>
      </c>
      <c r="E529" s="11" t="s">
        <v>1037</v>
      </c>
      <c r="F529" s="12">
        <v>410032</v>
      </c>
      <c r="G529" s="12">
        <v>228565</v>
      </c>
      <c r="H529" s="11">
        <v>9.02</v>
      </c>
      <c r="I529" s="11">
        <v>36</v>
      </c>
      <c r="J529" s="11">
        <v>721</v>
      </c>
      <c r="K529" s="11" t="s">
        <v>1040</v>
      </c>
      <c r="L529" s="11" t="s">
        <v>1044</v>
      </c>
      <c r="M529" s="13">
        <v>44661</v>
      </c>
      <c r="N529" s="11" t="s">
        <v>1046</v>
      </c>
      <c r="O529" s="14">
        <f t="shared" si="41"/>
        <v>7270.4336237995794</v>
      </c>
      <c r="P529" s="14">
        <f t="shared" si="42"/>
        <v>261735.61045678487</v>
      </c>
      <c r="Q529" s="14">
        <f t="shared" si="43"/>
        <v>33170.610456784867</v>
      </c>
      <c r="R529" s="11">
        <f t="shared" ca="1" si="44"/>
        <v>3</v>
      </c>
      <c r="S529" s="11" t="str">
        <f t="shared" si="45"/>
        <v>700-749</v>
      </c>
    </row>
    <row r="530" spans="1:19" x14ac:dyDescent="0.3">
      <c r="A530" s="11" t="s">
        <v>542</v>
      </c>
      <c r="B530" s="11" t="s">
        <v>1021</v>
      </c>
      <c r="C530" s="11">
        <v>40</v>
      </c>
      <c r="D530" s="11" t="s">
        <v>1035</v>
      </c>
      <c r="E530" s="11" t="s">
        <v>1037</v>
      </c>
      <c r="F530" s="12">
        <v>1947537</v>
      </c>
      <c r="G530" s="12">
        <v>792992</v>
      </c>
      <c r="H530" s="11">
        <v>8.36</v>
      </c>
      <c r="I530" s="11">
        <v>36</v>
      </c>
      <c r="J530" s="11">
        <v>792</v>
      </c>
      <c r="K530" s="11" t="s">
        <v>1042</v>
      </c>
      <c r="L530" s="11" t="s">
        <v>1044</v>
      </c>
      <c r="M530" s="13">
        <v>43264</v>
      </c>
      <c r="N530" s="11" t="s">
        <v>1045</v>
      </c>
      <c r="O530" s="14">
        <f t="shared" si="41"/>
        <v>24981.393890012801</v>
      </c>
      <c r="P530" s="14">
        <f t="shared" si="42"/>
        <v>899330.18004046089</v>
      </c>
      <c r="Q530" s="14">
        <f t="shared" si="43"/>
        <v>106338.18004046089</v>
      </c>
      <c r="R530" s="11">
        <f t="shared" ca="1" si="44"/>
        <v>7</v>
      </c>
      <c r="S530" s="11" t="str">
        <f t="shared" si="45"/>
        <v>750-799</v>
      </c>
    </row>
    <row r="531" spans="1:19" x14ac:dyDescent="0.3">
      <c r="A531" s="11" t="s">
        <v>543</v>
      </c>
      <c r="B531" s="11" t="s">
        <v>1014</v>
      </c>
      <c r="C531" s="11">
        <v>39</v>
      </c>
      <c r="D531" s="11" t="s">
        <v>1035</v>
      </c>
      <c r="E531" s="11" t="s">
        <v>1036</v>
      </c>
      <c r="F531" s="12">
        <v>533014</v>
      </c>
      <c r="G531" s="12">
        <v>1757115</v>
      </c>
      <c r="H531" s="11">
        <v>12.86</v>
      </c>
      <c r="I531" s="11">
        <v>36</v>
      </c>
      <c r="J531" s="11">
        <v>778</v>
      </c>
      <c r="K531" s="11" t="s">
        <v>1041</v>
      </c>
      <c r="L531" s="11" t="s">
        <v>1043</v>
      </c>
      <c r="M531" s="13">
        <v>45454</v>
      </c>
      <c r="N531" s="11" t="s">
        <v>1045</v>
      </c>
      <c r="O531" s="14">
        <f t="shared" si="41"/>
        <v>59085.730918769375</v>
      </c>
      <c r="P531" s="14">
        <f t="shared" si="42"/>
        <v>2127086.3130756975</v>
      </c>
      <c r="Q531" s="14">
        <f t="shared" si="43"/>
        <v>369971.31307569752</v>
      </c>
      <c r="R531" s="11">
        <f t="shared" ca="1" si="44"/>
        <v>1</v>
      </c>
      <c r="S531" s="11" t="str">
        <f t="shared" si="45"/>
        <v>750-799</v>
      </c>
    </row>
    <row r="532" spans="1:19" x14ac:dyDescent="0.3">
      <c r="A532" s="11" t="s">
        <v>544</v>
      </c>
      <c r="B532" s="11" t="s">
        <v>1021</v>
      </c>
      <c r="C532" s="11">
        <v>39</v>
      </c>
      <c r="D532" s="11" t="s">
        <v>1035</v>
      </c>
      <c r="E532" s="11" t="s">
        <v>1037</v>
      </c>
      <c r="F532" s="12">
        <v>1097834</v>
      </c>
      <c r="G532" s="12">
        <v>359168</v>
      </c>
      <c r="H532" s="11">
        <v>8.39</v>
      </c>
      <c r="I532" s="11">
        <v>36</v>
      </c>
      <c r="J532" s="11">
        <v>648</v>
      </c>
      <c r="K532" s="11" t="s">
        <v>1039</v>
      </c>
      <c r="L532" s="11" t="s">
        <v>1043</v>
      </c>
      <c r="M532" s="13">
        <v>44053</v>
      </c>
      <c r="N532" s="11" t="s">
        <v>1046</v>
      </c>
      <c r="O532" s="14">
        <f t="shared" si="41"/>
        <v>11319.7512241896</v>
      </c>
      <c r="P532" s="14">
        <f t="shared" si="42"/>
        <v>407511.04407082562</v>
      </c>
      <c r="Q532" s="14">
        <f t="shared" si="43"/>
        <v>48343.044070825621</v>
      </c>
      <c r="R532" s="11">
        <f t="shared" ca="1" si="44"/>
        <v>5</v>
      </c>
      <c r="S532" s="11" t="str">
        <f t="shared" si="45"/>
        <v>600-649</v>
      </c>
    </row>
    <row r="533" spans="1:19" x14ac:dyDescent="0.3">
      <c r="A533" s="11" t="s">
        <v>545</v>
      </c>
      <c r="B533" s="11" t="s">
        <v>1029</v>
      </c>
      <c r="C533" s="11">
        <v>48</v>
      </c>
      <c r="D533" s="11" t="s">
        <v>1035</v>
      </c>
      <c r="E533" s="11" t="s">
        <v>1036</v>
      </c>
      <c r="F533" s="12">
        <v>1842882</v>
      </c>
      <c r="G533" s="12">
        <v>751473</v>
      </c>
      <c r="H533" s="11">
        <v>7.91</v>
      </c>
      <c r="I533" s="11">
        <v>72</v>
      </c>
      <c r="J533" s="11">
        <v>637</v>
      </c>
      <c r="K533" s="11" t="s">
        <v>1039</v>
      </c>
      <c r="L533" s="11" t="s">
        <v>1044</v>
      </c>
      <c r="M533" s="13">
        <v>44540</v>
      </c>
      <c r="N533" s="11" t="s">
        <v>1047</v>
      </c>
      <c r="O533" s="14">
        <f t="shared" si="41"/>
        <v>13142.758197336934</v>
      </c>
      <c r="P533" s="14">
        <f t="shared" si="42"/>
        <v>946278.59020825929</v>
      </c>
      <c r="Q533" s="14">
        <f t="shared" si="43"/>
        <v>194805.59020825929</v>
      </c>
      <c r="R533" s="11">
        <f t="shared" ca="1" si="44"/>
        <v>4</v>
      </c>
      <c r="S533" s="11" t="str">
        <f t="shared" si="45"/>
        <v>600-649</v>
      </c>
    </row>
    <row r="534" spans="1:19" x14ac:dyDescent="0.3">
      <c r="A534" s="11" t="s">
        <v>546</v>
      </c>
      <c r="B534" s="11" t="s">
        <v>1020</v>
      </c>
      <c r="C534" s="11">
        <v>41</v>
      </c>
      <c r="D534" s="11" t="s">
        <v>1034</v>
      </c>
      <c r="E534" s="11" t="s">
        <v>1036</v>
      </c>
      <c r="F534" s="12">
        <v>714272</v>
      </c>
      <c r="G534" s="12">
        <v>1889958</v>
      </c>
      <c r="H534" s="11">
        <v>12.63</v>
      </c>
      <c r="I534" s="11">
        <v>72</v>
      </c>
      <c r="J534" s="11">
        <v>713</v>
      </c>
      <c r="K534" s="11" t="s">
        <v>1042</v>
      </c>
      <c r="L534" s="11" t="s">
        <v>1043</v>
      </c>
      <c r="M534" s="13">
        <v>45503</v>
      </c>
      <c r="N534" s="11" t="s">
        <v>1046</v>
      </c>
      <c r="O534" s="14">
        <f t="shared" si="41"/>
        <v>37571.142857774947</v>
      </c>
      <c r="P534" s="14">
        <f t="shared" si="42"/>
        <v>2705122.2857597964</v>
      </c>
      <c r="Q534" s="14">
        <f t="shared" si="43"/>
        <v>815164.28575979639</v>
      </c>
      <c r="R534" s="11">
        <f t="shared" ca="1" si="44"/>
        <v>1</v>
      </c>
      <c r="S534" s="11" t="str">
        <f t="shared" si="45"/>
        <v>700-749</v>
      </c>
    </row>
    <row r="535" spans="1:19" x14ac:dyDescent="0.3">
      <c r="A535" s="11" t="s">
        <v>547</v>
      </c>
      <c r="B535" s="11" t="s">
        <v>1017</v>
      </c>
      <c r="C535" s="11">
        <v>40</v>
      </c>
      <c r="D535" s="11" t="s">
        <v>1034</v>
      </c>
      <c r="E535" s="11" t="s">
        <v>1036</v>
      </c>
      <c r="F535" s="12">
        <v>1637279</v>
      </c>
      <c r="G535" s="12">
        <v>1528074</v>
      </c>
      <c r="H535" s="11">
        <v>10.71</v>
      </c>
      <c r="I535" s="11">
        <v>120</v>
      </c>
      <c r="J535" s="11">
        <v>611</v>
      </c>
      <c r="K535" s="11" t="s">
        <v>1040</v>
      </c>
      <c r="L535" s="11" t="s">
        <v>1043</v>
      </c>
      <c r="M535" s="13">
        <v>43374</v>
      </c>
      <c r="N535" s="11" t="s">
        <v>1045</v>
      </c>
      <c r="O535" s="14">
        <f t="shared" si="41"/>
        <v>20799.161672066337</v>
      </c>
      <c r="P535" s="14">
        <f t="shared" si="42"/>
        <v>2495899.4006479606</v>
      </c>
      <c r="Q535" s="14">
        <f t="shared" si="43"/>
        <v>967825.4006479606</v>
      </c>
      <c r="R535" s="11">
        <f t="shared" ca="1" si="44"/>
        <v>7</v>
      </c>
      <c r="S535" s="11" t="str">
        <f t="shared" si="45"/>
        <v>600-649</v>
      </c>
    </row>
    <row r="536" spans="1:19" x14ac:dyDescent="0.3">
      <c r="A536" s="11" t="s">
        <v>548</v>
      </c>
      <c r="B536" s="11" t="s">
        <v>1026</v>
      </c>
      <c r="C536" s="11">
        <v>27</v>
      </c>
      <c r="D536" s="11" t="s">
        <v>1035</v>
      </c>
      <c r="E536" s="11" t="s">
        <v>1037</v>
      </c>
      <c r="F536" s="12">
        <v>1605940</v>
      </c>
      <c r="G536" s="12">
        <v>876720</v>
      </c>
      <c r="H536" s="11">
        <v>7.53</v>
      </c>
      <c r="I536" s="11">
        <v>120</v>
      </c>
      <c r="J536" s="11">
        <v>757</v>
      </c>
      <c r="K536" s="11" t="s">
        <v>1042</v>
      </c>
      <c r="L536" s="11" t="s">
        <v>1043</v>
      </c>
      <c r="M536" s="13">
        <v>44650</v>
      </c>
      <c r="N536" s="11" t="s">
        <v>1045</v>
      </c>
      <c r="O536" s="14">
        <f t="shared" si="41"/>
        <v>10420.553972704864</v>
      </c>
      <c r="P536" s="14">
        <f t="shared" si="42"/>
        <v>1250466.4767245837</v>
      </c>
      <c r="Q536" s="14">
        <f t="shared" si="43"/>
        <v>373746.47672458366</v>
      </c>
      <c r="R536" s="11">
        <f t="shared" ca="1" si="44"/>
        <v>3</v>
      </c>
      <c r="S536" s="11" t="str">
        <f t="shared" si="45"/>
        <v>750-799</v>
      </c>
    </row>
    <row r="537" spans="1:19" x14ac:dyDescent="0.3">
      <c r="A537" s="11" t="s">
        <v>549</v>
      </c>
      <c r="B537" s="11" t="s">
        <v>1027</v>
      </c>
      <c r="C537" s="11">
        <v>39</v>
      </c>
      <c r="D537" s="11" t="s">
        <v>1035</v>
      </c>
      <c r="E537" s="11" t="s">
        <v>1037</v>
      </c>
      <c r="F537" s="12">
        <v>961227</v>
      </c>
      <c r="G537" s="12">
        <v>988303</v>
      </c>
      <c r="H537" s="11">
        <v>9.66</v>
      </c>
      <c r="I537" s="11">
        <v>36</v>
      </c>
      <c r="J537" s="11">
        <v>709</v>
      </c>
      <c r="K537" s="11" t="s">
        <v>1042</v>
      </c>
      <c r="L537" s="11" t="s">
        <v>1044</v>
      </c>
      <c r="M537" s="13">
        <v>44193</v>
      </c>
      <c r="N537" s="11" t="s">
        <v>1048</v>
      </c>
      <c r="O537" s="14">
        <f t="shared" si="41"/>
        <v>31732.229905363041</v>
      </c>
      <c r="P537" s="14">
        <f t="shared" si="42"/>
        <v>1142360.2765930695</v>
      </c>
      <c r="Q537" s="14">
        <f t="shared" si="43"/>
        <v>154057.27659306955</v>
      </c>
      <c r="R537" s="11">
        <f t="shared" ca="1" si="44"/>
        <v>5</v>
      </c>
      <c r="S537" s="11" t="str">
        <f t="shared" si="45"/>
        <v>700-749</v>
      </c>
    </row>
    <row r="538" spans="1:19" x14ac:dyDescent="0.3">
      <c r="A538" s="11" t="s">
        <v>550</v>
      </c>
      <c r="B538" s="11" t="s">
        <v>1024</v>
      </c>
      <c r="C538" s="11">
        <v>45</v>
      </c>
      <c r="D538" s="11" t="s">
        <v>1034</v>
      </c>
      <c r="E538" s="11" t="s">
        <v>1038</v>
      </c>
      <c r="F538" s="12">
        <v>604893</v>
      </c>
      <c r="G538" s="12">
        <v>557664</v>
      </c>
      <c r="H538" s="11">
        <v>11.13</v>
      </c>
      <c r="I538" s="11">
        <v>84</v>
      </c>
      <c r="J538" s="11">
        <v>727</v>
      </c>
      <c r="K538" s="11" t="s">
        <v>1039</v>
      </c>
      <c r="L538" s="11" t="s">
        <v>1044</v>
      </c>
      <c r="M538" s="13">
        <v>43762</v>
      </c>
      <c r="N538" s="11" t="s">
        <v>1046</v>
      </c>
      <c r="O538" s="14">
        <f t="shared" si="41"/>
        <v>9586.7269829382676</v>
      </c>
      <c r="P538" s="14">
        <f t="shared" si="42"/>
        <v>805285.06656681444</v>
      </c>
      <c r="Q538" s="14">
        <f t="shared" si="43"/>
        <v>247621.06656681444</v>
      </c>
      <c r="R538" s="11">
        <f t="shared" ca="1" si="44"/>
        <v>6</v>
      </c>
      <c r="S538" s="11" t="str">
        <f t="shared" si="45"/>
        <v>700-749</v>
      </c>
    </row>
    <row r="539" spans="1:19" x14ac:dyDescent="0.3">
      <c r="A539" s="11" t="s">
        <v>551</v>
      </c>
      <c r="B539" s="11" t="s">
        <v>1021</v>
      </c>
      <c r="C539" s="11">
        <v>33</v>
      </c>
      <c r="D539" s="11" t="s">
        <v>1034</v>
      </c>
      <c r="E539" s="11" t="s">
        <v>1036</v>
      </c>
      <c r="F539" s="12">
        <v>594891</v>
      </c>
      <c r="G539" s="12">
        <v>1592601</v>
      </c>
      <c r="H539" s="11">
        <v>11.8</v>
      </c>
      <c r="I539" s="11">
        <v>48</v>
      </c>
      <c r="J539" s="11">
        <v>653</v>
      </c>
      <c r="K539" s="11" t="s">
        <v>1042</v>
      </c>
      <c r="L539" s="11" t="s">
        <v>1044</v>
      </c>
      <c r="M539" s="13">
        <v>45207</v>
      </c>
      <c r="N539" s="11" t="s">
        <v>1046</v>
      </c>
      <c r="O539" s="14">
        <f t="shared" si="41"/>
        <v>41783.072452892149</v>
      </c>
      <c r="P539" s="14">
        <f t="shared" si="42"/>
        <v>2005587.4777388233</v>
      </c>
      <c r="Q539" s="14">
        <f t="shared" si="43"/>
        <v>412986.47773882328</v>
      </c>
      <c r="R539" s="11">
        <f t="shared" ca="1" si="44"/>
        <v>2</v>
      </c>
      <c r="S539" s="11" t="str">
        <f t="shared" si="45"/>
        <v>650-699</v>
      </c>
    </row>
    <row r="540" spans="1:19" x14ac:dyDescent="0.3">
      <c r="A540" s="11" t="s">
        <v>552</v>
      </c>
      <c r="B540" s="11" t="s">
        <v>1024</v>
      </c>
      <c r="C540" s="11">
        <v>48</v>
      </c>
      <c r="D540" s="11" t="s">
        <v>1035</v>
      </c>
      <c r="E540" s="11" t="s">
        <v>1037</v>
      </c>
      <c r="F540" s="12">
        <v>1813400</v>
      </c>
      <c r="G540" s="12">
        <v>562738</v>
      </c>
      <c r="H540" s="11">
        <v>10.29</v>
      </c>
      <c r="I540" s="11">
        <v>96</v>
      </c>
      <c r="J540" s="11">
        <v>608</v>
      </c>
      <c r="K540" s="11" t="s">
        <v>1042</v>
      </c>
      <c r="L540" s="11" t="s">
        <v>1044</v>
      </c>
      <c r="M540" s="13">
        <v>43329</v>
      </c>
      <c r="N540" s="11" t="s">
        <v>1047</v>
      </c>
      <c r="O540" s="14">
        <f t="shared" si="41"/>
        <v>8625.6738275776988</v>
      </c>
      <c r="P540" s="14">
        <f t="shared" si="42"/>
        <v>828064.68744745909</v>
      </c>
      <c r="Q540" s="14">
        <f t="shared" si="43"/>
        <v>265326.68744745909</v>
      </c>
      <c r="R540" s="11">
        <f t="shared" ca="1" si="44"/>
        <v>7</v>
      </c>
      <c r="S540" s="11" t="str">
        <f t="shared" si="45"/>
        <v>600-649</v>
      </c>
    </row>
    <row r="541" spans="1:19" x14ac:dyDescent="0.3">
      <c r="A541" s="11" t="s">
        <v>553</v>
      </c>
      <c r="B541" s="11" t="s">
        <v>1027</v>
      </c>
      <c r="C541" s="11">
        <v>40</v>
      </c>
      <c r="D541" s="11" t="s">
        <v>1035</v>
      </c>
      <c r="E541" s="11" t="s">
        <v>1036</v>
      </c>
      <c r="F541" s="12">
        <v>1588282</v>
      </c>
      <c r="G541" s="12">
        <v>1290545</v>
      </c>
      <c r="H541" s="11">
        <v>11.59</v>
      </c>
      <c r="I541" s="11">
        <v>84</v>
      </c>
      <c r="J541" s="11">
        <v>697</v>
      </c>
      <c r="K541" s="11" t="s">
        <v>1040</v>
      </c>
      <c r="L541" s="11" t="s">
        <v>1044</v>
      </c>
      <c r="M541" s="13">
        <v>45206</v>
      </c>
      <c r="N541" s="11" t="s">
        <v>1047</v>
      </c>
      <c r="O541" s="14">
        <f t="shared" si="41"/>
        <v>22499.651002867722</v>
      </c>
      <c r="P541" s="14">
        <f t="shared" si="42"/>
        <v>1889970.6842408886</v>
      </c>
      <c r="Q541" s="14">
        <f t="shared" si="43"/>
        <v>599425.68424088857</v>
      </c>
      <c r="R541" s="11">
        <f t="shared" ca="1" si="44"/>
        <v>2</v>
      </c>
      <c r="S541" s="11" t="str">
        <f t="shared" si="45"/>
        <v>650-699</v>
      </c>
    </row>
    <row r="542" spans="1:19" x14ac:dyDescent="0.3">
      <c r="A542" s="11" t="s">
        <v>554</v>
      </c>
      <c r="B542" s="11" t="s">
        <v>1033</v>
      </c>
      <c r="C542" s="11">
        <v>33</v>
      </c>
      <c r="D542" s="11" t="s">
        <v>1035</v>
      </c>
      <c r="E542" s="11" t="s">
        <v>1036</v>
      </c>
      <c r="F542" s="12">
        <v>1286985</v>
      </c>
      <c r="G542" s="12">
        <v>267961</v>
      </c>
      <c r="H542" s="11">
        <v>14.25</v>
      </c>
      <c r="I542" s="11">
        <v>96</v>
      </c>
      <c r="J542" s="11">
        <v>603</v>
      </c>
      <c r="K542" s="11" t="s">
        <v>1040</v>
      </c>
      <c r="L542" s="11" t="s">
        <v>1044</v>
      </c>
      <c r="M542" s="13">
        <v>44244</v>
      </c>
      <c r="N542" s="11" t="s">
        <v>1045</v>
      </c>
      <c r="O542" s="14">
        <f t="shared" si="41"/>
        <v>4693.0900210421478</v>
      </c>
      <c r="P542" s="14">
        <f t="shared" si="42"/>
        <v>450536.64202004619</v>
      </c>
      <c r="Q542" s="14">
        <f t="shared" si="43"/>
        <v>182575.64202004619</v>
      </c>
      <c r="R542" s="11">
        <f t="shared" ca="1" si="44"/>
        <v>4</v>
      </c>
      <c r="S542" s="11" t="str">
        <f t="shared" si="45"/>
        <v>600-649</v>
      </c>
    </row>
    <row r="543" spans="1:19" x14ac:dyDescent="0.3">
      <c r="A543" s="11" t="s">
        <v>555</v>
      </c>
      <c r="B543" s="11" t="s">
        <v>1019</v>
      </c>
      <c r="C543" s="11">
        <v>27</v>
      </c>
      <c r="D543" s="11" t="s">
        <v>1034</v>
      </c>
      <c r="E543" s="11" t="s">
        <v>1036</v>
      </c>
      <c r="F543" s="12">
        <v>1924743</v>
      </c>
      <c r="G543" s="12">
        <v>1080016</v>
      </c>
      <c r="H543" s="11">
        <v>13.81</v>
      </c>
      <c r="I543" s="11">
        <v>60</v>
      </c>
      <c r="J543" s="11">
        <v>838</v>
      </c>
      <c r="K543" s="11" t="s">
        <v>1040</v>
      </c>
      <c r="L543" s="11" t="s">
        <v>1043</v>
      </c>
      <c r="M543" s="13">
        <v>44271</v>
      </c>
      <c r="N543" s="11" t="s">
        <v>1045</v>
      </c>
      <c r="O543" s="14">
        <f t="shared" si="41"/>
        <v>25023.825120134876</v>
      </c>
      <c r="P543" s="14">
        <f t="shared" si="42"/>
        <v>1501429.5072080926</v>
      </c>
      <c r="Q543" s="14">
        <f t="shared" si="43"/>
        <v>421413.5072080926</v>
      </c>
      <c r="R543" s="11">
        <f t="shared" ca="1" si="44"/>
        <v>4</v>
      </c>
      <c r="S543" s="11" t="str">
        <f t="shared" si="45"/>
        <v>800-850</v>
      </c>
    </row>
    <row r="544" spans="1:19" x14ac:dyDescent="0.3">
      <c r="A544" s="11" t="s">
        <v>556</v>
      </c>
      <c r="B544" s="11" t="s">
        <v>1021</v>
      </c>
      <c r="C544" s="11">
        <v>31</v>
      </c>
      <c r="D544" s="11" t="s">
        <v>1035</v>
      </c>
      <c r="E544" s="11" t="s">
        <v>1038</v>
      </c>
      <c r="F544" s="12">
        <v>1497200</v>
      </c>
      <c r="G544" s="12">
        <v>755827</v>
      </c>
      <c r="H544" s="11">
        <v>14.65</v>
      </c>
      <c r="I544" s="11">
        <v>120</v>
      </c>
      <c r="J544" s="11">
        <v>809</v>
      </c>
      <c r="K544" s="11" t="s">
        <v>1042</v>
      </c>
      <c r="L544" s="11" t="s">
        <v>1044</v>
      </c>
      <c r="M544" s="13">
        <v>43330</v>
      </c>
      <c r="N544" s="11" t="s">
        <v>1046</v>
      </c>
      <c r="O544" s="14">
        <f t="shared" si="41"/>
        <v>12032.640179968814</v>
      </c>
      <c r="P544" s="14">
        <f t="shared" si="42"/>
        <v>1443916.8215962576</v>
      </c>
      <c r="Q544" s="14">
        <f t="shared" si="43"/>
        <v>688089.82159625762</v>
      </c>
      <c r="R544" s="11">
        <f t="shared" ca="1" si="44"/>
        <v>7</v>
      </c>
      <c r="S544" s="11" t="str">
        <f t="shared" si="45"/>
        <v>800-850</v>
      </c>
    </row>
    <row r="545" spans="1:19" x14ac:dyDescent="0.3">
      <c r="A545" s="11" t="s">
        <v>557</v>
      </c>
      <c r="B545" s="11" t="s">
        <v>1026</v>
      </c>
      <c r="C545" s="11">
        <v>48</v>
      </c>
      <c r="D545" s="11" t="s">
        <v>1035</v>
      </c>
      <c r="E545" s="11" t="s">
        <v>1037</v>
      </c>
      <c r="F545" s="12">
        <v>708864</v>
      </c>
      <c r="G545" s="12">
        <v>1855830</v>
      </c>
      <c r="H545" s="11">
        <v>13.1</v>
      </c>
      <c r="I545" s="11">
        <v>96</v>
      </c>
      <c r="J545" s="11">
        <v>705</v>
      </c>
      <c r="K545" s="11" t="s">
        <v>1039</v>
      </c>
      <c r="L545" s="11" t="s">
        <v>1044</v>
      </c>
      <c r="M545" s="13">
        <v>43947</v>
      </c>
      <c r="N545" s="11" t="s">
        <v>1048</v>
      </c>
      <c r="O545" s="14">
        <f t="shared" si="41"/>
        <v>31295.306715817227</v>
      </c>
      <c r="P545" s="14">
        <f t="shared" si="42"/>
        <v>3004349.444718454</v>
      </c>
      <c r="Q545" s="14">
        <f t="shared" si="43"/>
        <v>1148519.444718454</v>
      </c>
      <c r="R545" s="11">
        <f t="shared" ca="1" si="44"/>
        <v>5</v>
      </c>
      <c r="S545" s="11" t="str">
        <f t="shared" si="45"/>
        <v>700-749</v>
      </c>
    </row>
    <row r="546" spans="1:19" x14ac:dyDescent="0.3">
      <c r="A546" s="11" t="s">
        <v>558</v>
      </c>
      <c r="B546" s="11" t="s">
        <v>1030</v>
      </c>
      <c r="C546" s="11">
        <v>28</v>
      </c>
      <c r="D546" s="11" t="s">
        <v>1034</v>
      </c>
      <c r="E546" s="11" t="s">
        <v>1036</v>
      </c>
      <c r="F546" s="12">
        <v>1966476</v>
      </c>
      <c r="G546" s="12">
        <v>1573366</v>
      </c>
      <c r="H546" s="11">
        <v>9.33</v>
      </c>
      <c r="I546" s="11">
        <v>36</v>
      </c>
      <c r="J546" s="11">
        <v>765</v>
      </c>
      <c r="K546" s="11" t="s">
        <v>1039</v>
      </c>
      <c r="L546" s="11" t="s">
        <v>1044</v>
      </c>
      <c r="M546" s="13">
        <v>45402</v>
      </c>
      <c r="N546" s="11" t="s">
        <v>1047</v>
      </c>
      <c r="O546" s="14">
        <f t="shared" si="41"/>
        <v>50274.615575667747</v>
      </c>
      <c r="P546" s="14">
        <f t="shared" si="42"/>
        <v>1809886.160724039</v>
      </c>
      <c r="Q546" s="14">
        <f t="shared" si="43"/>
        <v>236520.16072403896</v>
      </c>
      <c r="R546" s="11">
        <f t="shared" ca="1" si="44"/>
        <v>1</v>
      </c>
      <c r="S546" s="11" t="str">
        <f t="shared" si="45"/>
        <v>750-799</v>
      </c>
    </row>
    <row r="547" spans="1:19" x14ac:dyDescent="0.3">
      <c r="A547" s="11" t="s">
        <v>559</v>
      </c>
      <c r="B547" s="11" t="s">
        <v>1022</v>
      </c>
      <c r="C547" s="11">
        <v>43</v>
      </c>
      <c r="D547" s="11" t="s">
        <v>1034</v>
      </c>
      <c r="E547" s="11" t="s">
        <v>1036</v>
      </c>
      <c r="F547" s="12">
        <v>684353</v>
      </c>
      <c r="G547" s="12">
        <v>914725</v>
      </c>
      <c r="H547" s="11">
        <v>8.41</v>
      </c>
      <c r="I547" s="11">
        <v>60</v>
      </c>
      <c r="J547" s="11">
        <v>608</v>
      </c>
      <c r="K547" s="11" t="s">
        <v>1042</v>
      </c>
      <c r="L547" s="11" t="s">
        <v>1044</v>
      </c>
      <c r="M547" s="13">
        <v>44793</v>
      </c>
      <c r="N547" s="11" t="s">
        <v>1048</v>
      </c>
      <c r="O547" s="14">
        <f t="shared" si="41"/>
        <v>18727.331438834164</v>
      </c>
      <c r="P547" s="14">
        <f t="shared" si="42"/>
        <v>1123639.88633005</v>
      </c>
      <c r="Q547" s="14">
        <f t="shared" si="43"/>
        <v>208914.88633004995</v>
      </c>
      <c r="R547" s="11">
        <f t="shared" ca="1" si="44"/>
        <v>3</v>
      </c>
      <c r="S547" s="11" t="str">
        <f t="shared" si="45"/>
        <v>600-649</v>
      </c>
    </row>
    <row r="548" spans="1:19" x14ac:dyDescent="0.3">
      <c r="A548" s="11" t="s">
        <v>560</v>
      </c>
      <c r="B548" s="11" t="s">
        <v>1021</v>
      </c>
      <c r="C548" s="11">
        <v>41</v>
      </c>
      <c r="D548" s="11" t="s">
        <v>1034</v>
      </c>
      <c r="E548" s="11" t="s">
        <v>1036</v>
      </c>
      <c r="F548" s="12">
        <v>1136388</v>
      </c>
      <c r="G548" s="12">
        <v>1104693</v>
      </c>
      <c r="H548" s="11">
        <v>10.11</v>
      </c>
      <c r="I548" s="11">
        <v>96</v>
      </c>
      <c r="J548" s="11">
        <v>769</v>
      </c>
      <c r="K548" s="11" t="s">
        <v>1039</v>
      </c>
      <c r="L548" s="11" t="s">
        <v>1044</v>
      </c>
      <c r="M548" s="13">
        <v>45120</v>
      </c>
      <c r="N548" s="11" t="s">
        <v>1047</v>
      </c>
      <c r="O548" s="14">
        <f t="shared" si="41"/>
        <v>16827.160135794547</v>
      </c>
      <c r="P548" s="14">
        <f t="shared" si="42"/>
        <v>1615407.3730362765</v>
      </c>
      <c r="Q548" s="14">
        <f t="shared" si="43"/>
        <v>510714.37303627655</v>
      </c>
      <c r="R548" s="11">
        <f t="shared" ca="1" si="44"/>
        <v>2</v>
      </c>
      <c r="S548" s="11" t="str">
        <f t="shared" si="45"/>
        <v>750-799</v>
      </c>
    </row>
    <row r="549" spans="1:19" x14ac:dyDescent="0.3">
      <c r="A549" s="11" t="s">
        <v>561</v>
      </c>
      <c r="B549" s="11" t="s">
        <v>1015</v>
      </c>
      <c r="C549" s="11">
        <v>48</v>
      </c>
      <c r="D549" s="11" t="s">
        <v>1035</v>
      </c>
      <c r="E549" s="11" t="s">
        <v>1037</v>
      </c>
      <c r="F549" s="12">
        <v>1852709</v>
      </c>
      <c r="G549" s="12">
        <v>1650559</v>
      </c>
      <c r="H549" s="11">
        <v>10.02</v>
      </c>
      <c r="I549" s="11">
        <v>60</v>
      </c>
      <c r="J549" s="11">
        <v>621</v>
      </c>
      <c r="K549" s="11" t="s">
        <v>1041</v>
      </c>
      <c r="L549" s="11" t="s">
        <v>1044</v>
      </c>
      <c r="M549" s="13">
        <v>43423</v>
      </c>
      <c r="N549" s="11" t="s">
        <v>1048</v>
      </c>
      <c r="O549" s="14">
        <f t="shared" si="41"/>
        <v>35085.74592653018</v>
      </c>
      <c r="P549" s="14">
        <f t="shared" si="42"/>
        <v>2105144.7555918107</v>
      </c>
      <c r="Q549" s="14">
        <f t="shared" si="43"/>
        <v>454585.75559181068</v>
      </c>
      <c r="R549" s="11">
        <f t="shared" ca="1" si="44"/>
        <v>7</v>
      </c>
      <c r="S549" s="11" t="str">
        <f t="shared" si="45"/>
        <v>600-649</v>
      </c>
    </row>
    <row r="550" spans="1:19" x14ac:dyDescent="0.3">
      <c r="A550" s="11" t="s">
        <v>562</v>
      </c>
      <c r="B550" s="11" t="s">
        <v>1020</v>
      </c>
      <c r="C550" s="11">
        <v>59</v>
      </c>
      <c r="D550" s="11" t="s">
        <v>1034</v>
      </c>
      <c r="E550" s="11" t="s">
        <v>1037</v>
      </c>
      <c r="F550" s="12">
        <v>817559</v>
      </c>
      <c r="G550" s="12">
        <v>1401290</v>
      </c>
      <c r="H550" s="11">
        <v>13.81</v>
      </c>
      <c r="I550" s="11">
        <v>36</v>
      </c>
      <c r="J550" s="11">
        <v>795</v>
      </c>
      <c r="K550" s="11" t="s">
        <v>1040</v>
      </c>
      <c r="L550" s="11" t="s">
        <v>1044</v>
      </c>
      <c r="M550" s="13">
        <v>44677</v>
      </c>
      <c r="N550" s="11" t="s">
        <v>1047</v>
      </c>
      <c r="O550" s="14">
        <f t="shared" si="41"/>
        <v>47763.559755250324</v>
      </c>
      <c r="P550" s="14">
        <f t="shared" si="42"/>
        <v>1719488.1511890118</v>
      </c>
      <c r="Q550" s="14">
        <f t="shared" si="43"/>
        <v>318198.15118901175</v>
      </c>
      <c r="R550" s="11">
        <f t="shared" ca="1" si="44"/>
        <v>3</v>
      </c>
      <c r="S550" s="11" t="str">
        <f t="shared" si="45"/>
        <v>750-799</v>
      </c>
    </row>
    <row r="551" spans="1:19" x14ac:dyDescent="0.3">
      <c r="A551" s="11" t="s">
        <v>563</v>
      </c>
      <c r="B551" s="11" t="s">
        <v>1015</v>
      </c>
      <c r="C551" s="11">
        <v>41</v>
      </c>
      <c r="D551" s="11" t="s">
        <v>1034</v>
      </c>
      <c r="E551" s="11" t="s">
        <v>1036</v>
      </c>
      <c r="F551" s="12">
        <v>1827755</v>
      </c>
      <c r="G551" s="12">
        <v>1185869</v>
      </c>
      <c r="H551" s="11">
        <v>10.84</v>
      </c>
      <c r="I551" s="11">
        <v>60</v>
      </c>
      <c r="J551" s="11">
        <v>696</v>
      </c>
      <c r="K551" s="11" t="s">
        <v>1039</v>
      </c>
      <c r="L551" s="11" t="s">
        <v>1044</v>
      </c>
      <c r="M551" s="13">
        <v>43739</v>
      </c>
      <c r="N551" s="11" t="s">
        <v>1047</v>
      </c>
      <c r="O551" s="14">
        <f t="shared" si="41"/>
        <v>25689.141894910543</v>
      </c>
      <c r="P551" s="14">
        <f t="shared" si="42"/>
        <v>1541348.5136946326</v>
      </c>
      <c r="Q551" s="14">
        <f t="shared" si="43"/>
        <v>355479.51369463257</v>
      </c>
      <c r="R551" s="11">
        <f t="shared" ca="1" si="44"/>
        <v>6</v>
      </c>
      <c r="S551" s="11" t="str">
        <f t="shared" si="45"/>
        <v>650-699</v>
      </c>
    </row>
    <row r="552" spans="1:19" x14ac:dyDescent="0.3">
      <c r="A552" s="11" t="s">
        <v>564</v>
      </c>
      <c r="B552" s="11" t="s">
        <v>1017</v>
      </c>
      <c r="C552" s="11">
        <v>43</v>
      </c>
      <c r="D552" s="11" t="s">
        <v>1035</v>
      </c>
      <c r="E552" s="11" t="s">
        <v>1037</v>
      </c>
      <c r="F552" s="12">
        <v>1417387</v>
      </c>
      <c r="G552" s="12">
        <v>940555</v>
      </c>
      <c r="H552" s="11">
        <v>10.1</v>
      </c>
      <c r="I552" s="11">
        <v>84</v>
      </c>
      <c r="J552" s="11">
        <v>813</v>
      </c>
      <c r="K552" s="11" t="s">
        <v>1039</v>
      </c>
      <c r="L552" s="11" t="s">
        <v>1044</v>
      </c>
      <c r="M552" s="13">
        <v>43923</v>
      </c>
      <c r="N552" s="11" t="s">
        <v>1048</v>
      </c>
      <c r="O552" s="14">
        <f t="shared" si="41"/>
        <v>15662.967706868141</v>
      </c>
      <c r="P552" s="14">
        <f t="shared" si="42"/>
        <v>1315689.287376924</v>
      </c>
      <c r="Q552" s="14">
        <f t="shared" si="43"/>
        <v>375134.28737692395</v>
      </c>
      <c r="R552" s="11">
        <f t="shared" ca="1" si="44"/>
        <v>5</v>
      </c>
      <c r="S552" s="11" t="str">
        <f t="shared" si="45"/>
        <v>800-850</v>
      </c>
    </row>
    <row r="553" spans="1:19" x14ac:dyDescent="0.3">
      <c r="A553" s="11" t="s">
        <v>565</v>
      </c>
      <c r="B553" s="11" t="s">
        <v>1032</v>
      </c>
      <c r="C553" s="11">
        <v>57</v>
      </c>
      <c r="D553" s="11" t="s">
        <v>1035</v>
      </c>
      <c r="E553" s="11" t="s">
        <v>1038</v>
      </c>
      <c r="F553" s="12">
        <v>1100317</v>
      </c>
      <c r="G553" s="12">
        <v>1160846</v>
      </c>
      <c r="H553" s="11">
        <v>13.67</v>
      </c>
      <c r="I553" s="11">
        <v>120</v>
      </c>
      <c r="J553" s="11">
        <v>689</v>
      </c>
      <c r="K553" s="11" t="s">
        <v>1039</v>
      </c>
      <c r="L553" s="11" t="s">
        <v>1044</v>
      </c>
      <c r="M553" s="13">
        <v>45008</v>
      </c>
      <c r="N553" s="11" t="s">
        <v>1046</v>
      </c>
      <c r="O553" s="14">
        <f t="shared" si="41"/>
        <v>17794.426021588002</v>
      </c>
      <c r="P553" s="14">
        <f t="shared" si="42"/>
        <v>2135331.1225905605</v>
      </c>
      <c r="Q553" s="14">
        <f t="shared" si="43"/>
        <v>974485.12259056047</v>
      </c>
      <c r="R553" s="11">
        <f t="shared" ca="1" si="44"/>
        <v>2</v>
      </c>
      <c r="S553" s="11" t="str">
        <f t="shared" si="45"/>
        <v>650-699</v>
      </c>
    </row>
    <row r="554" spans="1:19" x14ac:dyDescent="0.3">
      <c r="A554" s="11" t="s">
        <v>566</v>
      </c>
      <c r="B554" s="11" t="s">
        <v>1021</v>
      </c>
      <c r="C554" s="11">
        <v>36</v>
      </c>
      <c r="D554" s="11" t="s">
        <v>1035</v>
      </c>
      <c r="E554" s="11" t="s">
        <v>1038</v>
      </c>
      <c r="F554" s="12">
        <v>1696873</v>
      </c>
      <c r="G554" s="12">
        <v>850956</v>
      </c>
      <c r="H554" s="11">
        <v>10.65</v>
      </c>
      <c r="I554" s="11">
        <v>72</v>
      </c>
      <c r="J554" s="11">
        <v>801</v>
      </c>
      <c r="K554" s="11" t="s">
        <v>1041</v>
      </c>
      <c r="L554" s="11" t="s">
        <v>1043</v>
      </c>
      <c r="M554" s="13">
        <v>45282</v>
      </c>
      <c r="N554" s="11" t="s">
        <v>1048</v>
      </c>
      <c r="O554" s="14">
        <f t="shared" si="41"/>
        <v>16045.026837981111</v>
      </c>
      <c r="P554" s="14">
        <f t="shared" si="42"/>
        <v>1155241.9323346401</v>
      </c>
      <c r="Q554" s="14">
        <f t="shared" si="43"/>
        <v>304285.93233464006</v>
      </c>
      <c r="R554" s="11">
        <f t="shared" ca="1" si="44"/>
        <v>2</v>
      </c>
      <c r="S554" s="11" t="str">
        <f t="shared" si="45"/>
        <v>800-850</v>
      </c>
    </row>
    <row r="555" spans="1:19" x14ac:dyDescent="0.3">
      <c r="A555" s="11" t="s">
        <v>567</v>
      </c>
      <c r="B555" s="11" t="s">
        <v>1028</v>
      </c>
      <c r="C555" s="11">
        <v>42</v>
      </c>
      <c r="D555" s="11" t="s">
        <v>1035</v>
      </c>
      <c r="E555" s="11" t="s">
        <v>1036</v>
      </c>
      <c r="F555" s="12">
        <v>677323</v>
      </c>
      <c r="G555" s="12">
        <v>1575607</v>
      </c>
      <c r="H555" s="11">
        <v>11.37</v>
      </c>
      <c r="I555" s="11">
        <v>96</v>
      </c>
      <c r="J555" s="11">
        <v>602</v>
      </c>
      <c r="K555" s="11" t="s">
        <v>1041</v>
      </c>
      <c r="L555" s="11" t="s">
        <v>1044</v>
      </c>
      <c r="M555" s="13">
        <v>44519</v>
      </c>
      <c r="N555" s="11" t="s">
        <v>1046</v>
      </c>
      <c r="O555" s="14">
        <f t="shared" si="41"/>
        <v>25065.83407770349</v>
      </c>
      <c r="P555" s="14">
        <f t="shared" si="42"/>
        <v>2406320.071459535</v>
      </c>
      <c r="Q555" s="14">
        <f t="shared" si="43"/>
        <v>830713.07145953504</v>
      </c>
      <c r="R555" s="11">
        <f t="shared" ca="1" si="44"/>
        <v>4</v>
      </c>
      <c r="S555" s="11" t="str">
        <f t="shared" si="45"/>
        <v>600-649</v>
      </c>
    </row>
    <row r="556" spans="1:19" x14ac:dyDescent="0.3">
      <c r="A556" s="11" t="s">
        <v>568</v>
      </c>
      <c r="B556" s="11" t="s">
        <v>1015</v>
      </c>
      <c r="C556" s="11">
        <v>59</v>
      </c>
      <c r="D556" s="11" t="s">
        <v>1034</v>
      </c>
      <c r="E556" s="11" t="s">
        <v>1036</v>
      </c>
      <c r="F556" s="12">
        <v>409655</v>
      </c>
      <c r="G556" s="12">
        <v>619137</v>
      </c>
      <c r="H556" s="11">
        <v>14.68</v>
      </c>
      <c r="I556" s="11">
        <v>96</v>
      </c>
      <c r="J556" s="11">
        <v>756</v>
      </c>
      <c r="K556" s="11" t="s">
        <v>1041</v>
      </c>
      <c r="L556" s="11" t="s">
        <v>1044</v>
      </c>
      <c r="M556" s="13">
        <v>43731</v>
      </c>
      <c r="N556" s="11" t="s">
        <v>1045</v>
      </c>
      <c r="O556" s="14">
        <f t="shared" si="41"/>
        <v>10996.316455152912</v>
      </c>
      <c r="P556" s="14">
        <f t="shared" si="42"/>
        <v>1055646.3796946795</v>
      </c>
      <c r="Q556" s="14">
        <f t="shared" si="43"/>
        <v>436509.37969467952</v>
      </c>
      <c r="R556" s="11">
        <f t="shared" ca="1" si="44"/>
        <v>6</v>
      </c>
      <c r="S556" s="11" t="str">
        <f t="shared" si="45"/>
        <v>750-799</v>
      </c>
    </row>
    <row r="557" spans="1:19" x14ac:dyDescent="0.3">
      <c r="A557" s="11" t="s">
        <v>569</v>
      </c>
      <c r="B557" s="11" t="s">
        <v>1029</v>
      </c>
      <c r="C557" s="11">
        <v>33</v>
      </c>
      <c r="D557" s="11" t="s">
        <v>1035</v>
      </c>
      <c r="E557" s="11" t="s">
        <v>1036</v>
      </c>
      <c r="F557" s="12">
        <v>1828497</v>
      </c>
      <c r="G557" s="12">
        <v>815527</v>
      </c>
      <c r="H557" s="11">
        <v>10.42</v>
      </c>
      <c r="I557" s="11">
        <v>96</v>
      </c>
      <c r="J557" s="11">
        <v>805</v>
      </c>
      <c r="K557" s="11" t="s">
        <v>1039</v>
      </c>
      <c r="L557" s="11" t="s">
        <v>1044</v>
      </c>
      <c r="M557" s="13">
        <v>43822</v>
      </c>
      <c r="N557" s="11" t="s">
        <v>1046</v>
      </c>
      <c r="O557" s="14">
        <f t="shared" si="41"/>
        <v>12556.920024773653</v>
      </c>
      <c r="P557" s="14">
        <f t="shared" si="42"/>
        <v>1205464.3223782708</v>
      </c>
      <c r="Q557" s="14">
        <f t="shared" si="43"/>
        <v>389937.32237827079</v>
      </c>
      <c r="R557" s="11">
        <f t="shared" ca="1" si="44"/>
        <v>6</v>
      </c>
      <c r="S557" s="11" t="str">
        <f t="shared" si="45"/>
        <v>800-850</v>
      </c>
    </row>
    <row r="558" spans="1:19" x14ac:dyDescent="0.3">
      <c r="A558" s="11" t="s">
        <v>570</v>
      </c>
      <c r="B558" s="11" t="s">
        <v>1026</v>
      </c>
      <c r="C558" s="11">
        <v>52</v>
      </c>
      <c r="D558" s="11" t="s">
        <v>1035</v>
      </c>
      <c r="E558" s="11" t="s">
        <v>1036</v>
      </c>
      <c r="F558" s="12">
        <v>450978</v>
      </c>
      <c r="G558" s="12">
        <v>805319</v>
      </c>
      <c r="H558" s="11">
        <v>12.98</v>
      </c>
      <c r="I558" s="11">
        <v>120</v>
      </c>
      <c r="J558" s="11">
        <v>717</v>
      </c>
      <c r="K558" s="11" t="s">
        <v>1039</v>
      </c>
      <c r="L558" s="11" t="s">
        <v>1044</v>
      </c>
      <c r="M558" s="13">
        <v>44440</v>
      </c>
      <c r="N558" s="11" t="s">
        <v>1048</v>
      </c>
      <c r="O558" s="14">
        <f t="shared" si="41"/>
        <v>12014.779508608981</v>
      </c>
      <c r="P558" s="14">
        <f t="shared" si="42"/>
        <v>1441773.5410330778</v>
      </c>
      <c r="Q558" s="14">
        <f t="shared" si="43"/>
        <v>636454.54103307775</v>
      </c>
      <c r="R558" s="11">
        <f t="shared" ca="1" si="44"/>
        <v>4</v>
      </c>
      <c r="S558" s="11" t="str">
        <f t="shared" si="45"/>
        <v>700-749</v>
      </c>
    </row>
    <row r="559" spans="1:19" x14ac:dyDescent="0.3">
      <c r="A559" s="11" t="s">
        <v>571</v>
      </c>
      <c r="B559" s="11" t="s">
        <v>1025</v>
      </c>
      <c r="C559" s="11">
        <v>43</v>
      </c>
      <c r="D559" s="11" t="s">
        <v>1034</v>
      </c>
      <c r="E559" s="11" t="s">
        <v>1037</v>
      </c>
      <c r="F559" s="12">
        <v>1402375</v>
      </c>
      <c r="G559" s="12">
        <v>827916</v>
      </c>
      <c r="H559" s="11">
        <v>7.64</v>
      </c>
      <c r="I559" s="11">
        <v>72</v>
      </c>
      <c r="J559" s="11">
        <v>691</v>
      </c>
      <c r="K559" s="11" t="s">
        <v>1042</v>
      </c>
      <c r="L559" s="11" t="s">
        <v>1044</v>
      </c>
      <c r="M559" s="13">
        <v>43157</v>
      </c>
      <c r="N559" s="11" t="s">
        <v>1046</v>
      </c>
      <c r="O559" s="14">
        <f t="shared" si="41"/>
        <v>14370.953213285529</v>
      </c>
      <c r="P559" s="14">
        <f t="shared" si="42"/>
        <v>1034708.6313565581</v>
      </c>
      <c r="Q559" s="14">
        <f t="shared" si="43"/>
        <v>206792.63135655806</v>
      </c>
      <c r="R559" s="11">
        <f t="shared" ca="1" si="44"/>
        <v>7</v>
      </c>
      <c r="S559" s="11" t="str">
        <f t="shared" si="45"/>
        <v>650-699</v>
      </c>
    </row>
    <row r="560" spans="1:19" x14ac:dyDescent="0.3">
      <c r="A560" s="11" t="s">
        <v>572</v>
      </c>
      <c r="B560" s="11" t="s">
        <v>1022</v>
      </c>
      <c r="C560" s="11">
        <v>36</v>
      </c>
      <c r="D560" s="11" t="s">
        <v>1035</v>
      </c>
      <c r="E560" s="11" t="s">
        <v>1038</v>
      </c>
      <c r="F560" s="12">
        <v>1826589</v>
      </c>
      <c r="G560" s="12">
        <v>1961682</v>
      </c>
      <c r="H560" s="11">
        <v>12.11</v>
      </c>
      <c r="I560" s="11">
        <v>36</v>
      </c>
      <c r="J560" s="11">
        <v>681</v>
      </c>
      <c r="K560" s="11" t="s">
        <v>1041</v>
      </c>
      <c r="L560" s="11" t="s">
        <v>1044</v>
      </c>
      <c r="M560" s="13">
        <v>44008</v>
      </c>
      <c r="N560" s="11" t="s">
        <v>1046</v>
      </c>
      <c r="O560" s="14">
        <f t="shared" si="41"/>
        <v>65259.024935977781</v>
      </c>
      <c r="P560" s="14">
        <f t="shared" si="42"/>
        <v>2349324.8976952001</v>
      </c>
      <c r="Q560" s="14">
        <f t="shared" si="43"/>
        <v>387642.89769520005</v>
      </c>
      <c r="R560" s="11">
        <f t="shared" ca="1" si="44"/>
        <v>5</v>
      </c>
      <c r="S560" s="11" t="str">
        <f t="shared" si="45"/>
        <v>650-699</v>
      </c>
    </row>
    <row r="561" spans="1:19" x14ac:dyDescent="0.3">
      <c r="A561" s="11" t="s">
        <v>573</v>
      </c>
      <c r="B561" s="11" t="s">
        <v>1029</v>
      </c>
      <c r="C561" s="11">
        <v>43</v>
      </c>
      <c r="D561" s="11" t="s">
        <v>1035</v>
      </c>
      <c r="E561" s="11" t="s">
        <v>1038</v>
      </c>
      <c r="F561" s="12">
        <v>1919613</v>
      </c>
      <c r="G561" s="12">
        <v>230448</v>
      </c>
      <c r="H561" s="11">
        <v>11.27</v>
      </c>
      <c r="I561" s="11">
        <v>120</v>
      </c>
      <c r="J561" s="11">
        <v>723</v>
      </c>
      <c r="K561" s="11" t="s">
        <v>1039</v>
      </c>
      <c r="L561" s="11" t="s">
        <v>1044</v>
      </c>
      <c r="M561" s="13">
        <v>44472</v>
      </c>
      <c r="N561" s="11" t="s">
        <v>1048</v>
      </c>
      <c r="O561" s="14">
        <f t="shared" si="41"/>
        <v>3209.7440128888838</v>
      </c>
      <c r="P561" s="14">
        <f t="shared" si="42"/>
        <v>385169.28154666605</v>
      </c>
      <c r="Q561" s="14">
        <f t="shared" si="43"/>
        <v>154721.28154666605</v>
      </c>
      <c r="R561" s="11">
        <f t="shared" ca="1" si="44"/>
        <v>4</v>
      </c>
      <c r="S561" s="11" t="str">
        <f t="shared" si="45"/>
        <v>700-749</v>
      </c>
    </row>
    <row r="562" spans="1:19" x14ac:dyDescent="0.3">
      <c r="A562" s="11" t="s">
        <v>574</v>
      </c>
      <c r="B562" s="11" t="s">
        <v>1023</v>
      </c>
      <c r="C562" s="11">
        <v>44</v>
      </c>
      <c r="D562" s="11" t="s">
        <v>1035</v>
      </c>
      <c r="E562" s="11" t="s">
        <v>1038</v>
      </c>
      <c r="F562" s="12">
        <v>919530</v>
      </c>
      <c r="G562" s="12">
        <v>287107</v>
      </c>
      <c r="H562" s="11">
        <v>10.49</v>
      </c>
      <c r="I562" s="11">
        <v>60</v>
      </c>
      <c r="J562" s="11">
        <v>737</v>
      </c>
      <c r="K562" s="11" t="s">
        <v>1039</v>
      </c>
      <c r="L562" s="11" t="s">
        <v>1044</v>
      </c>
      <c r="M562" s="13">
        <v>44638</v>
      </c>
      <c r="N562" s="11" t="s">
        <v>1045</v>
      </c>
      <c r="O562" s="14">
        <f t="shared" si="41"/>
        <v>6169.6270805339091</v>
      </c>
      <c r="P562" s="14">
        <f t="shared" si="42"/>
        <v>370177.62483203452</v>
      </c>
      <c r="Q562" s="14">
        <f t="shared" si="43"/>
        <v>83070.624832034518</v>
      </c>
      <c r="R562" s="11">
        <f t="shared" ca="1" si="44"/>
        <v>3</v>
      </c>
      <c r="S562" s="11" t="str">
        <f t="shared" si="45"/>
        <v>700-749</v>
      </c>
    </row>
    <row r="563" spans="1:19" x14ac:dyDescent="0.3">
      <c r="A563" s="11" t="s">
        <v>575</v>
      </c>
      <c r="B563" s="11" t="s">
        <v>1021</v>
      </c>
      <c r="C563" s="11">
        <v>58</v>
      </c>
      <c r="D563" s="11" t="s">
        <v>1034</v>
      </c>
      <c r="E563" s="11" t="s">
        <v>1036</v>
      </c>
      <c r="F563" s="12">
        <v>896440</v>
      </c>
      <c r="G563" s="12">
        <v>1268125</v>
      </c>
      <c r="H563" s="11">
        <v>10.23</v>
      </c>
      <c r="I563" s="11">
        <v>72</v>
      </c>
      <c r="J563" s="11">
        <v>617</v>
      </c>
      <c r="K563" s="11" t="s">
        <v>1039</v>
      </c>
      <c r="L563" s="11" t="s">
        <v>1044</v>
      </c>
      <c r="M563" s="13">
        <v>44712</v>
      </c>
      <c r="N563" s="11" t="s">
        <v>1045</v>
      </c>
      <c r="O563" s="14">
        <f t="shared" si="41"/>
        <v>23640.427488583515</v>
      </c>
      <c r="P563" s="14">
        <f t="shared" si="42"/>
        <v>1702110.7791780131</v>
      </c>
      <c r="Q563" s="14">
        <f t="shared" si="43"/>
        <v>433985.77917801309</v>
      </c>
      <c r="R563" s="11">
        <f t="shared" ca="1" si="44"/>
        <v>3</v>
      </c>
      <c r="S563" s="11" t="str">
        <f t="shared" si="45"/>
        <v>600-649</v>
      </c>
    </row>
    <row r="564" spans="1:19" x14ac:dyDescent="0.3">
      <c r="A564" s="11" t="s">
        <v>576</v>
      </c>
      <c r="B564" s="11" t="s">
        <v>1033</v>
      </c>
      <c r="C564" s="11">
        <v>47</v>
      </c>
      <c r="D564" s="11" t="s">
        <v>1035</v>
      </c>
      <c r="E564" s="11" t="s">
        <v>1037</v>
      </c>
      <c r="F564" s="12">
        <v>1373837</v>
      </c>
      <c r="G564" s="12">
        <v>813669</v>
      </c>
      <c r="H564" s="11">
        <v>11.44</v>
      </c>
      <c r="I564" s="11">
        <v>96</v>
      </c>
      <c r="J564" s="11">
        <v>670</v>
      </c>
      <c r="K564" s="11" t="s">
        <v>1041</v>
      </c>
      <c r="L564" s="11" t="s">
        <v>1044</v>
      </c>
      <c r="M564" s="13">
        <v>43189</v>
      </c>
      <c r="N564" s="11" t="s">
        <v>1045</v>
      </c>
      <c r="O564" s="14">
        <f t="shared" si="41"/>
        <v>12975.357102887823</v>
      </c>
      <c r="P564" s="14">
        <f t="shared" si="42"/>
        <v>1245634.2818772311</v>
      </c>
      <c r="Q564" s="14">
        <f t="shared" si="43"/>
        <v>431965.28187723109</v>
      </c>
      <c r="R564" s="11">
        <f t="shared" ca="1" si="44"/>
        <v>7</v>
      </c>
      <c r="S564" s="11" t="str">
        <f t="shared" si="45"/>
        <v>650-699</v>
      </c>
    </row>
    <row r="565" spans="1:19" x14ac:dyDescent="0.3">
      <c r="A565" s="11" t="s">
        <v>577</v>
      </c>
      <c r="B565" s="11" t="s">
        <v>1032</v>
      </c>
      <c r="C565" s="11">
        <v>31</v>
      </c>
      <c r="D565" s="11" t="s">
        <v>1034</v>
      </c>
      <c r="E565" s="11" t="s">
        <v>1038</v>
      </c>
      <c r="F565" s="12">
        <v>1077781</v>
      </c>
      <c r="G565" s="12">
        <v>766453</v>
      </c>
      <c r="H565" s="11">
        <v>8.23</v>
      </c>
      <c r="I565" s="11">
        <v>36</v>
      </c>
      <c r="J565" s="11">
        <v>820</v>
      </c>
      <c r="K565" s="11" t="s">
        <v>1041</v>
      </c>
      <c r="L565" s="11" t="s">
        <v>1044</v>
      </c>
      <c r="M565" s="13">
        <v>43533</v>
      </c>
      <c r="N565" s="11" t="s">
        <v>1048</v>
      </c>
      <c r="O565" s="14">
        <f t="shared" si="41"/>
        <v>24099.257763632984</v>
      </c>
      <c r="P565" s="14">
        <f t="shared" si="42"/>
        <v>867573.27949078742</v>
      </c>
      <c r="Q565" s="14">
        <f t="shared" si="43"/>
        <v>101120.27949078742</v>
      </c>
      <c r="R565" s="11">
        <f t="shared" ca="1" si="44"/>
        <v>6</v>
      </c>
      <c r="S565" s="11" t="str">
        <f t="shared" si="45"/>
        <v>800-850</v>
      </c>
    </row>
    <row r="566" spans="1:19" x14ac:dyDescent="0.3">
      <c r="A566" s="11" t="s">
        <v>578</v>
      </c>
      <c r="B566" s="11" t="s">
        <v>1026</v>
      </c>
      <c r="C566" s="11">
        <v>38</v>
      </c>
      <c r="D566" s="11" t="s">
        <v>1034</v>
      </c>
      <c r="E566" s="11" t="s">
        <v>1037</v>
      </c>
      <c r="F566" s="12">
        <v>1062346</v>
      </c>
      <c r="G566" s="12">
        <v>1300028</v>
      </c>
      <c r="H566" s="11">
        <v>9.41</v>
      </c>
      <c r="I566" s="11">
        <v>36</v>
      </c>
      <c r="J566" s="11">
        <v>733</v>
      </c>
      <c r="K566" s="11" t="s">
        <v>1041</v>
      </c>
      <c r="L566" s="11" t="s">
        <v>1044</v>
      </c>
      <c r="M566" s="13">
        <v>44341</v>
      </c>
      <c r="N566" s="11" t="s">
        <v>1045</v>
      </c>
      <c r="O566" s="14">
        <f t="shared" si="41"/>
        <v>41589.059660374704</v>
      </c>
      <c r="P566" s="14">
        <f t="shared" si="42"/>
        <v>1497206.1477734894</v>
      </c>
      <c r="Q566" s="14">
        <f t="shared" si="43"/>
        <v>197178.14777348936</v>
      </c>
      <c r="R566" s="11">
        <f t="shared" ca="1" si="44"/>
        <v>4</v>
      </c>
      <c r="S566" s="11" t="str">
        <f t="shared" si="45"/>
        <v>700-749</v>
      </c>
    </row>
    <row r="567" spans="1:19" x14ac:dyDescent="0.3">
      <c r="A567" s="11" t="s">
        <v>579</v>
      </c>
      <c r="B567" s="11" t="s">
        <v>1027</v>
      </c>
      <c r="C567" s="11">
        <v>59</v>
      </c>
      <c r="D567" s="11" t="s">
        <v>1034</v>
      </c>
      <c r="E567" s="11" t="s">
        <v>1036</v>
      </c>
      <c r="F567" s="12">
        <v>1574081</v>
      </c>
      <c r="G567" s="12">
        <v>282217</v>
      </c>
      <c r="H567" s="11">
        <v>10.41</v>
      </c>
      <c r="I567" s="11">
        <v>48</v>
      </c>
      <c r="J567" s="11">
        <v>641</v>
      </c>
      <c r="K567" s="11" t="s">
        <v>1042</v>
      </c>
      <c r="L567" s="11" t="s">
        <v>1043</v>
      </c>
      <c r="M567" s="13">
        <v>45164</v>
      </c>
      <c r="N567" s="11" t="s">
        <v>1046</v>
      </c>
      <c r="O567" s="14">
        <f t="shared" si="41"/>
        <v>7213.4487265862736</v>
      </c>
      <c r="P567" s="14">
        <f t="shared" si="42"/>
        <v>346245.53887614113</v>
      </c>
      <c r="Q567" s="14">
        <f t="shared" si="43"/>
        <v>64028.53887614113</v>
      </c>
      <c r="R567" s="11">
        <f t="shared" ca="1" si="44"/>
        <v>2</v>
      </c>
      <c r="S567" s="11" t="str">
        <f t="shared" si="45"/>
        <v>600-649</v>
      </c>
    </row>
    <row r="568" spans="1:19" x14ac:dyDescent="0.3">
      <c r="A568" s="11" t="s">
        <v>580</v>
      </c>
      <c r="B568" s="11" t="s">
        <v>1030</v>
      </c>
      <c r="C568" s="11">
        <v>45</v>
      </c>
      <c r="D568" s="11" t="s">
        <v>1034</v>
      </c>
      <c r="E568" s="11" t="s">
        <v>1036</v>
      </c>
      <c r="F568" s="12">
        <v>968174</v>
      </c>
      <c r="G568" s="12">
        <v>209122</v>
      </c>
      <c r="H568" s="11">
        <v>14.27</v>
      </c>
      <c r="I568" s="11">
        <v>60</v>
      </c>
      <c r="J568" s="11">
        <v>782</v>
      </c>
      <c r="K568" s="11" t="s">
        <v>1040</v>
      </c>
      <c r="L568" s="11" t="s">
        <v>1044</v>
      </c>
      <c r="M568" s="13">
        <v>44978</v>
      </c>
      <c r="N568" s="11" t="s">
        <v>1045</v>
      </c>
      <c r="O568" s="14">
        <f t="shared" si="41"/>
        <v>4895.2251679683495</v>
      </c>
      <c r="P568" s="14">
        <f t="shared" si="42"/>
        <v>293713.51007810095</v>
      </c>
      <c r="Q568" s="14">
        <f t="shared" si="43"/>
        <v>84591.510078100953</v>
      </c>
      <c r="R568" s="11">
        <f t="shared" ca="1" si="44"/>
        <v>2</v>
      </c>
      <c r="S568" s="11" t="str">
        <f t="shared" si="45"/>
        <v>750-799</v>
      </c>
    </row>
    <row r="569" spans="1:19" x14ac:dyDescent="0.3">
      <c r="A569" s="11" t="s">
        <v>581</v>
      </c>
      <c r="B569" s="11" t="s">
        <v>1018</v>
      </c>
      <c r="C569" s="11">
        <v>56</v>
      </c>
      <c r="D569" s="11" t="s">
        <v>1035</v>
      </c>
      <c r="E569" s="11" t="s">
        <v>1038</v>
      </c>
      <c r="F569" s="12">
        <v>1275864</v>
      </c>
      <c r="G569" s="12">
        <v>378351</v>
      </c>
      <c r="H569" s="11">
        <v>8.0399999999999991</v>
      </c>
      <c r="I569" s="11">
        <v>60</v>
      </c>
      <c r="J569" s="11">
        <v>749</v>
      </c>
      <c r="K569" s="11" t="s">
        <v>1042</v>
      </c>
      <c r="L569" s="11" t="s">
        <v>1044</v>
      </c>
      <c r="M569" s="13">
        <v>43730</v>
      </c>
      <c r="N569" s="11" t="s">
        <v>1045</v>
      </c>
      <c r="O569" s="14">
        <f t="shared" si="41"/>
        <v>7678.8390153859682</v>
      </c>
      <c r="P569" s="14">
        <f t="shared" si="42"/>
        <v>460730.3409231581</v>
      </c>
      <c r="Q569" s="14">
        <f t="shared" si="43"/>
        <v>82379.340923158103</v>
      </c>
      <c r="R569" s="11">
        <f t="shared" ca="1" si="44"/>
        <v>6</v>
      </c>
      <c r="S569" s="11" t="str">
        <f t="shared" si="45"/>
        <v>700-749</v>
      </c>
    </row>
    <row r="570" spans="1:19" x14ac:dyDescent="0.3">
      <c r="A570" s="11" t="s">
        <v>582</v>
      </c>
      <c r="B570" s="11" t="s">
        <v>1033</v>
      </c>
      <c r="C570" s="11">
        <v>41</v>
      </c>
      <c r="D570" s="11" t="s">
        <v>1035</v>
      </c>
      <c r="E570" s="11" t="s">
        <v>1037</v>
      </c>
      <c r="F570" s="12">
        <v>1582421</v>
      </c>
      <c r="G570" s="12">
        <v>286543</v>
      </c>
      <c r="H570" s="11">
        <v>12.54</v>
      </c>
      <c r="I570" s="11">
        <v>36</v>
      </c>
      <c r="J570" s="11">
        <v>792</v>
      </c>
      <c r="K570" s="11" t="s">
        <v>1042</v>
      </c>
      <c r="L570" s="11" t="s">
        <v>1044</v>
      </c>
      <c r="M570" s="13">
        <v>45366</v>
      </c>
      <c r="N570" s="11" t="s">
        <v>1045</v>
      </c>
      <c r="O570" s="14">
        <f t="shared" si="41"/>
        <v>9591.4006914444672</v>
      </c>
      <c r="P570" s="14">
        <f t="shared" si="42"/>
        <v>345290.4248920008</v>
      </c>
      <c r="Q570" s="14">
        <f t="shared" si="43"/>
        <v>58747.424892000796</v>
      </c>
      <c r="R570" s="11">
        <f t="shared" ca="1" si="44"/>
        <v>1</v>
      </c>
      <c r="S570" s="11" t="str">
        <f t="shared" si="45"/>
        <v>750-799</v>
      </c>
    </row>
    <row r="571" spans="1:19" x14ac:dyDescent="0.3">
      <c r="A571" s="11" t="s">
        <v>583</v>
      </c>
      <c r="B571" s="11" t="s">
        <v>1018</v>
      </c>
      <c r="C571" s="11">
        <v>32</v>
      </c>
      <c r="D571" s="11" t="s">
        <v>1035</v>
      </c>
      <c r="E571" s="11" t="s">
        <v>1036</v>
      </c>
      <c r="F571" s="12">
        <v>1463439</v>
      </c>
      <c r="G571" s="12">
        <v>1312851</v>
      </c>
      <c r="H571" s="11">
        <v>9.6300000000000008</v>
      </c>
      <c r="I571" s="11">
        <v>72</v>
      </c>
      <c r="J571" s="11">
        <v>635</v>
      </c>
      <c r="K571" s="11" t="s">
        <v>1039</v>
      </c>
      <c r="L571" s="11" t="s">
        <v>1043</v>
      </c>
      <c r="M571" s="13">
        <v>43716</v>
      </c>
      <c r="N571" s="11" t="s">
        <v>1045</v>
      </c>
      <c r="O571" s="14">
        <f t="shared" si="41"/>
        <v>24077.421602775274</v>
      </c>
      <c r="P571" s="14">
        <f t="shared" si="42"/>
        <v>1733574.3553998198</v>
      </c>
      <c r="Q571" s="14">
        <f t="shared" si="43"/>
        <v>420723.35539981979</v>
      </c>
      <c r="R571" s="11">
        <f t="shared" ca="1" si="44"/>
        <v>6</v>
      </c>
      <c r="S571" s="11" t="str">
        <f t="shared" si="45"/>
        <v>600-649</v>
      </c>
    </row>
    <row r="572" spans="1:19" x14ac:dyDescent="0.3">
      <c r="A572" s="11" t="s">
        <v>584</v>
      </c>
      <c r="B572" s="11" t="s">
        <v>1026</v>
      </c>
      <c r="C572" s="11">
        <v>29</v>
      </c>
      <c r="D572" s="11" t="s">
        <v>1034</v>
      </c>
      <c r="E572" s="11" t="s">
        <v>1037</v>
      </c>
      <c r="F572" s="12">
        <v>1563551</v>
      </c>
      <c r="G572" s="12">
        <v>546903</v>
      </c>
      <c r="H572" s="11">
        <v>10.29</v>
      </c>
      <c r="I572" s="11">
        <v>84</v>
      </c>
      <c r="J572" s="11">
        <v>680</v>
      </c>
      <c r="K572" s="11" t="s">
        <v>1040</v>
      </c>
      <c r="L572" s="11" t="s">
        <v>1044</v>
      </c>
      <c r="M572" s="13">
        <v>44599</v>
      </c>
      <c r="N572" s="11" t="s">
        <v>1048</v>
      </c>
      <c r="O572" s="14">
        <f t="shared" si="41"/>
        <v>9161.3963760055885</v>
      </c>
      <c r="P572" s="14">
        <f t="shared" si="42"/>
        <v>769557.29558446945</v>
      </c>
      <c r="Q572" s="14">
        <f t="shared" si="43"/>
        <v>222654.29558446945</v>
      </c>
      <c r="R572" s="11">
        <f t="shared" ca="1" si="44"/>
        <v>3</v>
      </c>
      <c r="S572" s="11" t="str">
        <f t="shared" si="45"/>
        <v>650-699</v>
      </c>
    </row>
    <row r="573" spans="1:19" x14ac:dyDescent="0.3">
      <c r="A573" s="11" t="s">
        <v>585</v>
      </c>
      <c r="B573" s="11" t="s">
        <v>1030</v>
      </c>
      <c r="C573" s="11">
        <v>37</v>
      </c>
      <c r="D573" s="11" t="s">
        <v>1035</v>
      </c>
      <c r="E573" s="11" t="s">
        <v>1038</v>
      </c>
      <c r="F573" s="12">
        <v>1088910</v>
      </c>
      <c r="G573" s="12">
        <v>1406059</v>
      </c>
      <c r="H573" s="11">
        <v>14.91</v>
      </c>
      <c r="I573" s="11">
        <v>96</v>
      </c>
      <c r="J573" s="11">
        <v>629</v>
      </c>
      <c r="K573" s="11" t="s">
        <v>1042</v>
      </c>
      <c r="L573" s="11" t="s">
        <v>1044</v>
      </c>
      <c r="M573" s="13">
        <v>44486</v>
      </c>
      <c r="N573" s="11" t="s">
        <v>1048</v>
      </c>
      <c r="O573" s="14">
        <f t="shared" si="41"/>
        <v>25159.124238100096</v>
      </c>
      <c r="P573" s="14">
        <f t="shared" si="42"/>
        <v>2415275.9268576093</v>
      </c>
      <c r="Q573" s="14">
        <f t="shared" si="43"/>
        <v>1009216.9268576093</v>
      </c>
      <c r="R573" s="11">
        <f t="shared" ca="1" si="44"/>
        <v>4</v>
      </c>
      <c r="S573" s="11" t="str">
        <f t="shared" si="45"/>
        <v>600-649</v>
      </c>
    </row>
    <row r="574" spans="1:19" x14ac:dyDescent="0.3">
      <c r="A574" s="11" t="s">
        <v>586</v>
      </c>
      <c r="B574" s="11" t="s">
        <v>1032</v>
      </c>
      <c r="C574" s="11">
        <v>25</v>
      </c>
      <c r="D574" s="11" t="s">
        <v>1034</v>
      </c>
      <c r="E574" s="11" t="s">
        <v>1037</v>
      </c>
      <c r="F574" s="12">
        <v>1585909</v>
      </c>
      <c r="G574" s="12">
        <v>556614</v>
      </c>
      <c r="H574" s="11">
        <v>10.33</v>
      </c>
      <c r="I574" s="11">
        <v>48</v>
      </c>
      <c r="J574" s="11">
        <v>629</v>
      </c>
      <c r="K574" s="11" t="s">
        <v>1041</v>
      </c>
      <c r="L574" s="11" t="s">
        <v>1043</v>
      </c>
      <c r="M574" s="13">
        <v>43458</v>
      </c>
      <c r="N574" s="11" t="s">
        <v>1045</v>
      </c>
      <c r="O574" s="14">
        <f t="shared" si="41"/>
        <v>14205.545033289678</v>
      </c>
      <c r="P574" s="14">
        <f t="shared" si="42"/>
        <v>681866.16159790452</v>
      </c>
      <c r="Q574" s="14">
        <f t="shared" si="43"/>
        <v>125252.16159790452</v>
      </c>
      <c r="R574" s="11">
        <f t="shared" ca="1" si="44"/>
        <v>7</v>
      </c>
      <c r="S574" s="11" t="str">
        <f t="shared" si="45"/>
        <v>600-649</v>
      </c>
    </row>
    <row r="575" spans="1:19" x14ac:dyDescent="0.3">
      <c r="A575" s="11" t="s">
        <v>587</v>
      </c>
      <c r="B575" s="11" t="s">
        <v>1021</v>
      </c>
      <c r="C575" s="11">
        <v>57</v>
      </c>
      <c r="D575" s="11" t="s">
        <v>1034</v>
      </c>
      <c r="E575" s="11" t="s">
        <v>1038</v>
      </c>
      <c r="F575" s="12">
        <v>544554</v>
      </c>
      <c r="G575" s="12">
        <v>1786855</v>
      </c>
      <c r="H575" s="11">
        <v>8.58</v>
      </c>
      <c r="I575" s="11">
        <v>96</v>
      </c>
      <c r="J575" s="11">
        <v>761</v>
      </c>
      <c r="K575" s="11" t="s">
        <v>1039</v>
      </c>
      <c r="L575" s="11" t="s">
        <v>1044</v>
      </c>
      <c r="M575" s="13">
        <v>43948</v>
      </c>
      <c r="N575" s="11" t="s">
        <v>1045</v>
      </c>
      <c r="O575" s="14">
        <f t="shared" si="41"/>
        <v>25790.115130570437</v>
      </c>
      <c r="P575" s="14">
        <f t="shared" si="42"/>
        <v>2475851.0525347618</v>
      </c>
      <c r="Q575" s="14">
        <f t="shared" si="43"/>
        <v>688996.05253476184</v>
      </c>
      <c r="R575" s="11">
        <f t="shared" ca="1" si="44"/>
        <v>5</v>
      </c>
      <c r="S575" s="11" t="str">
        <f t="shared" si="45"/>
        <v>750-799</v>
      </c>
    </row>
    <row r="576" spans="1:19" x14ac:dyDescent="0.3">
      <c r="A576" s="11" t="s">
        <v>588</v>
      </c>
      <c r="B576" s="11" t="s">
        <v>1025</v>
      </c>
      <c r="C576" s="11">
        <v>35</v>
      </c>
      <c r="D576" s="11" t="s">
        <v>1035</v>
      </c>
      <c r="E576" s="11" t="s">
        <v>1037</v>
      </c>
      <c r="F576" s="12">
        <v>852146</v>
      </c>
      <c r="G576" s="12">
        <v>926482</v>
      </c>
      <c r="H576" s="11">
        <v>8.86</v>
      </c>
      <c r="I576" s="11">
        <v>60</v>
      </c>
      <c r="J576" s="11">
        <v>662</v>
      </c>
      <c r="K576" s="11" t="s">
        <v>1041</v>
      </c>
      <c r="L576" s="11" t="s">
        <v>1044</v>
      </c>
      <c r="M576" s="13">
        <v>45316</v>
      </c>
      <c r="N576" s="11" t="s">
        <v>1047</v>
      </c>
      <c r="O576" s="14">
        <f t="shared" si="41"/>
        <v>19169.352441917908</v>
      </c>
      <c r="P576" s="14">
        <f t="shared" si="42"/>
        <v>1150161.1465150744</v>
      </c>
      <c r="Q576" s="14">
        <f t="shared" si="43"/>
        <v>223679.14651507442</v>
      </c>
      <c r="R576" s="11">
        <f t="shared" ca="1" si="44"/>
        <v>1</v>
      </c>
      <c r="S576" s="11" t="str">
        <f t="shared" si="45"/>
        <v>650-699</v>
      </c>
    </row>
    <row r="577" spans="1:19" x14ac:dyDescent="0.3">
      <c r="A577" s="11" t="s">
        <v>589</v>
      </c>
      <c r="B577" s="11" t="s">
        <v>1014</v>
      </c>
      <c r="C577" s="11">
        <v>44</v>
      </c>
      <c r="D577" s="11" t="s">
        <v>1034</v>
      </c>
      <c r="E577" s="11" t="s">
        <v>1038</v>
      </c>
      <c r="F577" s="12">
        <v>837783</v>
      </c>
      <c r="G577" s="12">
        <v>1694695</v>
      </c>
      <c r="H577" s="11">
        <v>8.3000000000000007</v>
      </c>
      <c r="I577" s="11">
        <v>60</v>
      </c>
      <c r="J577" s="11">
        <v>665</v>
      </c>
      <c r="K577" s="11" t="s">
        <v>1039</v>
      </c>
      <c r="L577" s="11" t="s">
        <v>1044</v>
      </c>
      <c r="M577" s="13">
        <v>44715</v>
      </c>
      <c r="N577" s="11" t="s">
        <v>1045</v>
      </c>
      <c r="O577" s="14">
        <f t="shared" si="41"/>
        <v>34606.135963137101</v>
      </c>
      <c r="P577" s="14">
        <f t="shared" si="42"/>
        <v>2076368.1577882261</v>
      </c>
      <c r="Q577" s="14">
        <f t="shared" si="43"/>
        <v>381673.15778822615</v>
      </c>
      <c r="R577" s="11">
        <f t="shared" ca="1" si="44"/>
        <v>3</v>
      </c>
      <c r="S577" s="11" t="str">
        <f t="shared" si="45"/>
        <v>650-699</v>
      </c>
    </row>
    <row r="578" spans="1:19" x14ac:dyDescent="0.3">
      <c r="A578" s="11" t="s">
        <v>590</v>
      </c>
      <c r="B578" s="11" t="s">
        <v>1024</v>
      </c>
      <c r="C578" s="11">
        <v>44</v>
      </c>
      <c r="D578" s="11" t="s">
        <v>1034</v>
      </c>
      <c r="E578" s="11" t="s">
        <v>1037</v>
      </c>
      <c r="F578" s="12">
        <v>1068786</v>
      </c>
      <c r="G578" s="12">
        <v>1530668</v>
      </c>
      <c r="H578" s="11">
        <v>9.9</v>
      </c>
      <c r="I578" s="11">
        <v>120</v>
      </c>
      <c r="J578" s="11">
        <v>625</v>
      </c>
      <c r="K578" s="11" t="s">
        <v>1039</v>
      </c>
      <c r="L578" s="11" t="s">
        <v>1044</v>
      </c>
      <c r="M578" s="13">
        <v>43630</v>
      </c>
      <c r="N578" s="11" t="s">
        <v>1046</v>
      </c>
      <c r="O578" s="14">
        <f t="shared" si="41"/>
        <v>20143.224182757756</v>
      </c>
      <c r="P578" s="14">
        <f t="shared" si="42"/>
        <v>2417186.9019309306</v>
      </c>
      <c r="Q578" s="14">
        <f t="shared" si="43"/>
        <v>886518.90193093056</v>
      </c>
      <c r="R578" s="11">
        <f t="shared" ca="1" si="44"/>
        <v>6</v>
      </c>
      <c r="S578" s="11" t="str">
        <f t="shared" si="45"/>
        <v>600-649</v>
      </c>
    </row>
    <row r="579" spans="1:19" x14ac:dyDescent="0.3">
      <c r="A579" s="11" t="s">
        <v>591</v>
      </c>
      <c r="B579" s="11" t="s">
        <v>1022</v>
      </c>
      <c r="C579" s="11">
        <v>33</v>
      </c>
      <c r="D579" s="11" t="s">
        <v>1035</v>
      </c>
      <c r="E579" s="11" t="s">
        <v>1037</v>
      </c>
      <c r="F579" s="12">
        <v>466822</v>
      </c>
      <c r="G579" s="12">
        <v>388036</v>
      </c>
      <c r="H579" s="11">
        <v>9.2200000000000006</v>
      </c>
      <c r="I579" s="11">
        <v>48</v>
      </c>
      <c r="J579" s="11">
        <v>651</v>
      </c>
      <c r="K579" s="11" t="s">
        <v>1042</v>
      </c>
      <c r="L579" s="11" t="s">
        <v>1044</v>
      </c>
      <c r="M579" s="13">
        <v>43804</v>
      </c>
      <c r="N579" s="11" t="s">
        <v>1048</v>
      </c>
      <c r="O579" s="14">
        <f t="shared" ref="O579:O642" si="46">PMT(H579/1200,I579,-G579)</f>
        <v>9696.8788054686447</v>
      </c>
      <c r="P579" s="14">
        <f t="shared" ref="P579:P642" si="47">O579*I579</f>
        <v>465450.18266249495</v>
      </c>
      <c r="Q579" s="14">
        <f t="shared" ref="Q579:Q642" si="48">P579-G579</f>
        <v>77414.182662494946</v>
      </c>
      <c r="R579" s="11">
        <f t="shared" ref="R579:R642" ca="1" si="49">(YEAR(TODAY())-YEAR(M579))</f>
        <v>6</v>
      </c>
      <c r="S579" s="11" t="str">
        <f t="shared" ref="S579:S642" si="50">IF(J579&lt;650,"600-649",
IF(J579&lt;700,"650-699",
IF(J579&lt;750,"700-749",
IF(J579&lt;800,"750-799","800-850"))))</f>
        <v>650-699</v>
      </c>
    </row>
    <row r="580" spans="1:19" x14ac:dyDescent="0.3">
      <c r="A580" s="11" t="s">
        <v>592</v>
      </c>
      <c r="B580" s="11" t="s">
        <v>1014</v>
      </c>
      <c r="C580" s="11">
        <v>40</v>
      </c>
      <c r="D580" s="11" t="s">
        <v>1035</v>
      </c>
      <c r="E580" s="11" t="s">
        <v>1036</v>
      </c>
      <c r="F580" s="12">
        <v>1695820</v>
      </c>
      <c r="G580" s="12">
        <v>350238</v>
      </c>
      <c r="H580" s="11">
        <v>12.41</v>
      </c>
      <c r="I580" s="11">
        <v>96</v>
      </c>
      <c r="J580" s="11">
        <v>641</v>
      </c>
      <c r="K580" s="11" t="s">
        <v>1041</v>
      </c>
      <c r="L580" s="11" t="s">
        <v>1043</v>
      </c>
      <c r="M580" s="13">
        <v>43866</v>
      </c>
      <c r="N580" s="11" t="s">
        <v>1045</v>
      </c>
      <c r="O580" s="14">
        <f t="shared" si="46"/>
        <v>5771.5548350956951</v>
      </c>
      <c r="P580" s="14">
        <f t="shared" si="47"/>
        <v>554069.2641691867</v>
      </c>
      <c r="Q580" s="14">
        <f t="shared" si="48"/>
        <v>203831.2641691867</v>
      </c>
      <c r="R580" s="11">
        <f t="shared" ca="1" si="49"/>
        <v>5</v>
      </c>
      <c r="S580" s="11" t="str">
        <f t="shared" si="50"/>
        <v>600-649</v>
      </c>
    </row>
    <row r="581" spans="1:19" x14ac:dyDescent="0.3">
      <c r="A581" s="11" t="s">
        <v>593</v>
      </c>
      <c r="B581" s="11" t="s">
        <v>1017</v>
      </c>
      <c r="C581" s="11">
        <v>43</v>
      </c>
      <c r="D581" s="11" t="s">
        <v>1034</v>
      </c>
      <c r="E581" s="11" t="s">
        <v>1036</v>
      </c>
      <c r="F581" s="12">
        <v>1382704</v>
      </c>
      <c r="G581" s="12">
        <v>1297152</v>
      </c>
      <c r="H581" s="11">
        <v>12.49</v>
      </c>
      <c r="I581" s="11">
        <v>120</v>
      </c>
      <c r="J581" s="11">
        <v>619</v>
      </c>
      <c r="K581" s="11" t="s">
        <v>1041</v>
      </c>
      <c r="L581" s="11" t="s">
        <v>1044</v>
      </c>
      <c r="M581" s="13">
        <v>43291</v>
      </c>
      <c r="N581" s="11" t="s">
        <v>1048</v>
      </c>
      <c r="O581" s="14">
        <f t="shared" si="46"/>
        <v>18979.639499270379</v>
      </c>
      <c r="P581" s="14">
        <f t="shared" si="47"/>
        <v>2277556.7399124457</v>
      </c>
      <c r="Q581" s="14">
        <f t="shared" si="48"/>
        <v>980404.73991244566</v>
      </c>
      <c r="R581" s="11">
        <f t="shared" ca="1" si="49"/>
        <v>7</v>
      </c>
      <c r="S581" s="11" t="str">
        <f t="shared" si="50"/>
        <v>600-649</v>
      </c>
    </row>
    <row r="582" spans="1:19" x14ac:dyDescent="0.3">
      <c r="A582" s="11" t="s">
        <v>594</v>
      </c>
      <c r="B582" s="11" t="s">
        <v>1033</v>
      </c>
      <c r="C582" s="11">
        <v>44</v>
      </c>
      <c r="D582" s="11" t="s">
        <v>1034</v>
      </c>
      <c r="E582" s="11" t="s">
        <v>1038</v>
      </c>
      <c r="F582" s="12">
        <v>853719</v>
      </c>
      <c r="G582" s="12">
        <v>312665</v>
      </c>
      <c r="H582" s="11">
        <v>10.199999999999999</v>
      </c>
      <c r="I582" s="11">
        <v>120</v>
      </c>
      <c r="J582" s="11">
        <v>767</v>
      </c>
      <c r="K582" s="11" t="s">
        <v>1040</v>
      </c>
      <c r="L582" s="11" t="s">
        <v>1044</v>
      </c>
      <c r="M582" s="13">
        <v>43291</v>
      </c>
      <c r="N582" s="11" t="s">
        <v>1048</v>
      </c>
      <c r="O582" s="14">
        <f t="shared" si="46"/>
        <v>4166.5965889852405</v>
      </c>
      <c r="P582" s="14">
        <f t="shared" si="47"/>
        <v>499991.59067822888</v>
      </c>
      <c r="Q582" s="14">
        <f t="shared" si="48"/>
        <v>187326.59067822888</v>
      </c>
      <c r="R582" s="11">
        <f t="shared" ca="1" si="49"/>
        <v>7</v>
      </c>
      <c r="S582" s="11" t="str">
        <f t="shared" si="50"/>
        <v>750-799</v>
      </c>
    </row>
    <row r="583" spans="1:19" x14ac:dyDescent="0.3">
      <c r="A583" s="11" t="s">
        <v>595</v>
      </c>
      <c r="B583" s="11" t="s">
        <v>1029</v>
      </c>
      <c r="C583" s="11">
        <v>59</v>
      </c>
      <c r="D583" s="11" t="s">
        <v>1035</v>
      </c>
      <c r="E583" s="11" t="s">
        <v>1038</v>
      </c>
      <c r="F583" s="12">
        <v>1748967</v>
      </c>
      <c r="G583" s="12">
        <v>372501</v>
      </c>
      <c r="H583" s="11">
        <v>11.08</v>
      </c>
      <c r="I583" s="11">
        <v>36</v>
      </c>
      <c r="J583" s="11">
        <v>847</v>
      </c>
      <c r="K583" s="11" t="s">
        <v>1039</v>
      </c>
      <c r="L583" s="11" t="s">
        <v>1044</v>
      </c>
      <c r="M583" s="13">
        <v>44875</v>
      </c>
      <c r="N583" s="11" t="s">
        <v>1047</v>
      </c>
      <c r="O583" s="14">
        <f t="shared" si="46"/>
        <v>12209.321936514651</v>
      </c>
      <c r="P583" s="14">
        <f t="shared" si="47"/>
        <v>439535.58971452742</v>
      </c>
      <c r="Q583" s="14">
        <f t="shared" si="48"/>
        <v>67034.589714527421</v>
      </c>
      <c r="R583" s="11">
        <f t="shared" ca="1" si="49"/>
        <v>3</v>
      </c>
      <c r="S583" s="11" t="str">
        <f t="shared" si="50"/>
        <v>800-850</v>
      </c>
    </row>
    <row r="584" spans="1:19" x14ac:dyDescent="0.3">
      <c r="A584" s="11" t="s">
        <v>596</v>
      </c>
      <c r="B584" s="11" t="s">
        <v>1023</v>
      </c>
      <c r="C584" s="11">
        <v>38</v>
      </c>
      <c r="D584" s="11" t="s">
        <v>1034</v>
      </c>
      <c r="E584" s="11" t="s">
        <v>1036</v>
      </c>
      <c r="F584" s="12">
        <v>462515</v>
      </c>
      <c r="G584" s="12">
        <v>1592866</v>
      </c>
      <c r="H584" s="11">
        <v>14.35</v>
      </c>
      <c r="I584" s="11">
        <v>36</v>
      </c>
      <c r="J584" s="11">
        <v>693</v>
      </c>
      <c r="K584" s="11" t="s">
        <v>1040</v>
      </c>
      <c r="L584" s="11" t="s">
        <v>1044</v>
      </c>
      <c r="M584" s="13">
        <v>44006</v>
      </c>
      <c r="N584" s="11" t="s">
        <v>1046</v>
      </c>
      <c r="O584" s="14">
        <f t="shared" si="46"/>
        <v>54711.55062622363</v>
      </c>
      <c r="P584" s="14">
        <f t="shared" si="47"/>
        <v>1969615.8225440506</v>
      </c>
      <c r="Q584" s="14">
        <f t="shared" si="48"/>
        <v>376749.82254405064</v>
      </c>
      <c r="R584" s="11">
        <f t="shared" ca="1" si="49"/>
        <v>5</v>
      </c>
      <c r="S584" s="11" t="str">
        <f t="shared" si="50"/>
        <v>650-699</v>
      </c>
    </row>
    <row r="585" spans="1:19" x14ac:dyDescent="0.3">
      <c r="A585" s="11" t="s">
        <v>597</v>
      </c>
      <c r="B585" s="11" t="s">
        <v>1022</v>
      </c>
      <c r="C585" s="11">
        <v>42</v>
      </c>
      <c r="D585" s="11" t="s">
        <v>1034</v>
      </c>
      <c r="E585" s="11" t="s">
        <v>1038</v>
      </c>
      <c r="F585" s="12">
        <v>1675948</v>
      </c>
      <c r="G585" s="12">
        <v>1074246</v>
      </c>
      <c r="H585" s="11">
        <v>14.79</v>
      </c>
      <c r="I585" s="11">
        <v>96</v>
      </c>
      <c r="J585" s="11">
        <v>729</v>
      </c>
      <c r="K585" s="11" t="s">
        <v>1041</v>
      </c>
      <c r="L585" s="11" t="s">
        <v>1044</v>
      </c>
      <c r="M585" s="13">
        <v>44107</v>
      </c>
      <c r="N585" s="11" t="s">
        <v>1047</v>
      </c>
      <c r="O585" s="14">
        <f t="shared" si="46"/>
        <v>19147.460768555953</v>
      </c>
      <c r="P585" s="14">
        <f t="shared" si="47"/>
        <v>1838156.2337813715</v>
      </c>
      <c r="Q585" s="14">
        <f t="shared" si="48"/>
        <v>763910.2337813715</v>
      </c>
      <c r="R585" s="11">
        <f t="shared" ca="1" si="49"/>
        <v>5</v>
      </c>
      <c r="S585" s="11" t="str">
        <f t="shared" si="50"/>
        <v>700-749</v>
      </c>
    </row>
    <row r="586" spans="1:19" x14ac:dyDescent="0.3">
      <c r="A586" s="11" t="s">
        <v>598</v>
      </c>
      <c r="B586" s="11" t="s">
        <v>1022</v>
      </c>
      <c r="C586" s="11">
        <v>36</v>
      </c>
      <c r="D586" s="11" t="s">
        <v>1034</v>
      </c>
      <c r="E586" s="11" t="s">
        <v>1038</v>
      </c>
      <c r="F586" s="12">
        <v>1243579</v>
      </c>
      <c r="G586" s="12">
        <v>865028</v>
      </c>
      <c r="H586" s="11">
        <v>9.1999999999999993</v>
      </c>
      <c r="I586" s="11">
        <v>120</v>
      </c>
      <c r="J586" s="11">
        <v>740</v>
      </c>
      <c r="K586" s="11" t="s">
        <v>1042</v>
      </c>
      <c r="L586" s="11" t="s">
        <v>1044</v>
      </c>
      <c r="M586" s="13">
        <v>44780</v>
      </c>
      <c r="N586" s="11" t="s">
        <v>1048</v>
      </c>
      <c r="O586" s="14">
        <f t="shared" si="46"/>
        <v>11051.658291239466</v>
      </c>
      <c r="P586" s="14">
        <f t="shared" si="47"/>
        <v>1326198.9949487359</v>
      </c>
      <c r="Q586" s="14">
        <f t="shared" si="48"/>
        <v>461170.99494873593</v>
      </c>
      <c r="R586" s="11">
        <f t="shared" ca="1" si="49"/>
        <v>3</v>
      </c>
      <c r="S586" s="11" t="str">
        <f t="shared" si="50"/>
        <v>700-749</v>
      </c>
    </row>
    <row r="587" spans="1:19" x14ac:dyDescent="0.3">
      <c r="A587" s="11" t="s">
        <v>599</v>
      </c>
      <c r="B587" s="11" t="s">
        <v>1017</v>
      </c>
      <c r="C587" s="11">
        <v>57</v>
      </c>
      <c r="D587" s="11" t="s">
        <v>1034</v>
      </c>
      <c r="E587" s="11" t="s">
        <v>1037</v>
      </c>
      <c r="F587" s="12">
        <v>1523038</v>
      </c>
      <c r="G587" s="12">
        <v>560284</v>
      </c>
      <c r="H587" s="11">
        <v>10.66</v>
      </c>
      <c r="I587" s="11">
        <v>84</v>
      </c>
      <c r="J587" s="11">
        <v>749</v>
      </c>
      <c r="K587" s="11" t="s">
        <v>1041</v>
      </c>
      <c r="L587" s="11" t="s">
        <v>1044</v>
      </c>
      <c r="M587" s="13">
        <v>43516</v>
      </c>
      <c r="N587" s="11" t="s">
        <v>1048</v>
      </c>
      <c r="O587" s="14">
        <f t="shared" si="46"/>
        <v>9493.5588792151666</v>
      </c>
      <c r="P587" s="14">
        <f t="shared" si="47"/>
        <v>797458.94585407397</v>
      </c>
      <c r="Q587" s="14">
        <f t="shared" si="48"/>
        <v>237174.94585407397</v>
      </c>
      <c r="R587" s="11">
        <f t="shared" ca="1" si="49"/>
        <v>6</v>
      </c>
      <c r="S587" s="11" t="str">
        <f t="shared" si="50"/>
        <v>700-749</v>
      </c>
    </row>
    <row r="588" spans="1:19" x14ac:dyDescent="0.3">
      <c r="A588" s="11" t="s">
        <v>600</v>
      </c>
      <c r="B588" s="11" t="s">
        <v>1022</v>
      </c>
      <c r="C588" s="11">
        <v>31</v>
      </c>
      <c r="D588" s="11" t="s">
        <v>1035</v>
      </c>
      <c r="E588" s="11" t="s">
        <v>1038</v>
      </c>
      <c r="F588" s="12">
        <v>1684853</v>
      </c>
      <c r="G588" s="12">
        <v>797609</v>
      </c>
      <c r="H588" s="11">
        <v>8.2200000000000006</v>
      </c>
      <c r="I588" s="11">
        <v>48</v>
      </c>
      <c r="J588" s="11">
        <v>822</v>
      </c>
      <c r="K588" s="11" t="s">
        <v>1041</v>
      </c>
      <c r="L588" s="11" t="s">
        <v>1044</v>
      </c>
      <c r="M588" s="13">
        <v>45385</v>
      </c>
      <c r="N588" s="11" t="s">
        <v>1046</v>
      </c>
      <c r="O588" s="14">
        <f t="shared" si="46"/>
        <v>19554.439483996059</v>
      </c>
      <c r="P588" s="14">
        <f t="shared" si="47"/>
        <v>938613.09523181082</v>
      </c>
      <c r="Q588" s="14">
        <f t="shared" si="48"/>
        <v>141004.09523181082</v>
      </c>
      <c r="R588" s="11">
        <f t="shared" ca="1" si="49"/>
        <v>1</v>
      </c>
      <c r="S588" s="11" t="str">
        <f t="shared" si="50"/>
        <v>800-850</v>
      </c>
    </row>
    <row r="589" spans="1:19" x14ac:dyDescent="0.3">
      <c r="A589" s="11" t="s">
        <v>601</v>
      </c>
      <c r="B589" s="11" t="s">
        <v>1024</v>
      </c>
      <c r="C589" s="11">
        <v>49</v>
      </c>
      <c r="D589" s="11" t="s">
        <v>1034</v>
      </c>
      <c r="E589" s="11" t="s">
        <v>1036</v>
      </c>
      <c r="F589" s="12">
        <v>1073994</v>
      </c>
      <c r="G589" s="12">
        <v>333117</v>
      </c>
      <c r="H589" s="11">
        <v>12.3</v>
      </c>
      <c r="I589" s="11">
        <v>72</v>
      </c>
      <c r="J589" s="11">
        <v>603</v>
      </c>
      <c r="K589" s="11" t="s">
        <v>1040</v>
      </c>
      <c r="L589" s="11" t="s">
        <v>1044</v>
      </c>
      <c r="M589" s="13">
        <v>44867</v>
      </c>
      <c r="N589" s="11" t="s">
        <v>1046</v>
      </c>
      <c r="O589" s="14">
        <f t="shared" si="46"/>
        <v>6564.5870972890316</v>
      </c>
      <c r="P589" s="14">
        <f t="shared" si="47"/>
        <v>472650.27100481029</v>
      </c>
      <c r="Q589" s="14">
        <f t="shared" si="48"/>
        <v>139533.27100481029</v>
      </c>
      <c r="R589" s="11">
        <f t="shared" ca="1" si="49"/>
        <v>3</v>
      </c>
      <c r="S589" s="11" t="str">
        <f t="shared" si="50"/>
        <v>600-649</v>
      </c>
    </row>
    <row r="590" spans="1:19" x14ac:dyDescent="0.3">
      <c r="A590" s="11" t="s">
        <v>602</v>
      </c>
      <c r="B590" s="11" t="s">
        <v>1029</v>
      </c>
      <c r="C590" s="11">
        <v>35</v>
      </c>
      <c r="D590" s="11" t="s">
        <v>1035</v>
      </c>
      <c r="E590" s="11" t="s">
        <v>1036</v>
      </c>
      <c r="F590" s="12">
        <v>1532742</v>
      </c>
      <c r="G590" s="12">
        <v>632542</v>
      </c>
      <c r="H590" s="11">
        <v>13.97</v>
      </c>
      <c r="I590" s="11">
        <v>120</v>
      </c>
      <c r="J590" s="11">
        <v>845</v>
      </c>
      <c r="K590" s="11" t="s">
        <v>1041</v>
      </c>
      <c r="L590" s="11" t="s">
        <v>1043</v>
      </c>
      <c r="M590" s="13">
        <v>45195</v>
      </c>
      <c r="N590" s="11" t="s">
        <v>1045</v>
      </c>
      <c r="O590" s="14">
        <f t="shared" si="46"/>
        <v>9809.8476233419133</v>
      </c>
      <c r="P590" s="14">
        <f t="shared" si="47"/>
        <v>1177181.7148010295</v>
      </c>
      <c r="Q590" s="14">
        <f t="shared" si="48"/>
        <v>544639.71480102954</v>
      </c>
      <c r="R590" s="11">
        <f t="shared" ca="1" si="49"/>
        <v>2</v>
      </c>
      <c r="S590" s="11" t="str">
        <f t="shared" si="50"/>
        <v>800-850</v>
      </c>
    </row>
    <row r="591" spans="1:19" x14ac:dyDescent="0.3">
      <c r="A591" s="11" t="s">
        <v>603</v>
      </c>
      <c r="B591" s="11" t="s">
        <v>1015</v>
      </c>
      <c r="C591" s="11">
        <v>34</v>
      </c>
      <c r="D591" s="11" t="s">
        <v>1034</v>
      </c>
      <c r="E591" s="11" t="s">
        <v>1038</v>
      </c>
      <c r="F591" s="12">
        <v>1966683</v>
      </c>
      <c r="G591" s="12">
        <v>390499</v>
      </c>
      <c r="H591" s="11">
        <v>9.11</v>
      </c>
      <c r="I591" s="11">
        <v>48</v>
      </c>
      <c r="J591" s="11">
        <v>836</v>
      </c>
      <c r="K591" s="11" t="s">
        <v>1042</v>
      </c>
      <c r="L591" s="11" t="s">
        <v>1044</v>
      </c>
      <c r="M591" s="13">
        <v>44292</v>
      </c>
      <c r="N591" s="11" t="s">
        <v>1046</v>
      </c>
      <c r="O591" s="14">
        <f t="shared" si="46"/>
        <v>9737.9934199423224</v>
      </c>
      <c r="P591" s="14">
        <f t="shared" si="47"/>
        <v>467423.68415723147</v>
      </c>
      <c r="Q591" s="14">
        <f t="shared" si="48"/>
        <v>76924.684157231473</v>
      </c>
      <c r="R591" s="11">
        <f t="shared" ca="1" si="49"/>
        <v>4</v>
      </c>
      <c r="S591" s="11" t="str">
        <f t="shared" si="50"/>
        <v>800-850</v>
      </c>
    </row>
    <row r="592" spans="1:19" x14ac:dyDescent="0.3">
      <c r="A592" s="11" t="s">
        <v>604</v>
      </c>
      <c r="B592" s="11" t="s">
        <v>1020</v>
      </c>
      <c r="C592" s="11">
        <v>34</v>
      </c>
      <c r="D592" s="11" t="s">
        <v>1034</v>
      </c>
      <c r="E592" s="11" t="s">
        <v>1036</v>
      </c>
      <c r="F592" s="12">
        <v>1934440</v>
      </c>
      <c r="G592" s="12">
        <v>519852</v>
      </c>
      <c r="H592" s="11">
        <v>7.92</v>
      </c>
      <c r="I592" s="11">
        <v>120</v>
      </c>
      <c r="J592" s="11">
        <v>842</v>
      </c>
      <c r="K592" s="11" t="s">
        <v>1040</v>
      </c>
      <c r="L592" s="11" t="s">
        <v>1044</v>
      </c>
      <c r="M592" s="13">
        <v>45433</v>
      </c>
      <c r="N592" s="11" t="s">
        <v>1047</v>
      </c>
      <c r="O592" s="14">
        <f t="shared" si="46"/>
        <v>6285.2855129886257</v>
      </c>
      <c r="P592" s="14">
        <f t="shared" si="47"/>
        <v>754234.26155863504</v>
      </c>
      <c r="Q592" s="14">
        <f t="shared" si="48"/>
        <v>234382.26155863504</v>
      </c>
      <c r="R592" s="11">
        <f t="shared" ca="1" si="49"/>
        <v>1</v>
      </c>
      <c r="S592" s="11" t="str">
        <f t="shared" si="50"/>
        <v>800-850</v>
      </c>
    </row>
    <row r="593" spans="1:19" x14ac:dyDescent="0.3">
      <c r="A593" s="11" t="s">
        <v>605</v>
      </c>
      <c r="B593" s="11" t="s">
        <v>1025</v>
      </c>
      <c r="C593" s="11">
        <v>28</v>
      </c>
      <c r="D593" s="11" t="s">
        <v>1035</v>
      </c>
      <c r="E593" s="11" t="s">
        <v>1036</v>
      </c>
      <c r="F593" s="12">
        <v>1835876</v>
      </c>
      <c r="G593" s="12">
        <v>454872</v>
      </c>
      <c r="H593" s="11">
        <v>14.61</v>
      </c>
      <c r="I593" s="11">
        <v>96</v>
      </c>
      <c r="J593" s="11">
        <v>717</v>
      </c>
      <c r="K593" s="11" t="s">
        <v>1039</v>
      </c>
      <c r="L593" s="11" t="s">
        <v>1043</v>
      </c>
      <c r="M593" s="13">
        <v>44369</v>
      </c>
      <c r="N593" s="11" t="s">
        <v>1047</v>
      </c>
      <c r="O593" s="14">
        <f t="shared" si="46"/>
        <v>8060.5343654867411</v>
      </c>
      <c r="P593" s="14">
        <f t="shared" si="47"/>
        <v>773811.2990867272</v>
      </c>
      <c r="Q593" s="14">
        <f t="shared" si="48"/>
        <v>318939.2990867272</v>
      </c>
      <c r="R593" s="11">
        <f t="shared" ca="1" si="49"/>
        <v>4</v>
      </c>
      <c r="S593" s="11" t="str">
        <f t="shared" si="50"/>
        <v>700-749</v>
      </c>
    </row>
    <row r="594" spans="1:19" x14ac:dyDescent="0.3">
      <c r="A594" s="11" t="s">
        <v>606</v>
      </c>
      <c r="B594" s="11" t="s">
        <v>1021</v>
      </c>
      <c r="C594" s="11">
        <v>26</v>
      </c>
      <c r="D594" s="11" t="s">
        <v>1035</v>
      </c>
      <c r="E594" s="11" t="s">
        <v>1037</v>
      </c>
      <c r="F594" s="12">
        <v>987146</v>
      </c>
      <c r="G594" s="12">
        <v>411207</v>
      </c>
      <c r="H594" s="11">
        <v>9.7100000000000009</v>
      </c>
      <c r="I594" s="11">
        <v>60</v>
      </c>
      <c r="J594" s="11">
        <v>791</v>
      </c>
      <c r="K594" s="11" t="s">
        <v>1039</v>
      </c>
      <c r="L594" s="11" t="s">
        <v>1043</v>
      </c>
      <c r="M594" s="13">
        <v>43145</v>
      </c>
      <c r="N594" s="11" t="s">
        <v>1046</v>
      </c>
      <c r="O594" s="14">
        <f t="shared" si="46"/>
        <v>8678.3733681498506</v>
      </c>
      <c r="P594" s="14">
        <f t="shared" si="47"/>
        <v>520702.40208899102</v>
      </c>
      <c r="Q594" s="14">
        <f t="shared" si="48"/>
        <v>109495.40208899102</v>
      </c>
      <c r="R594" s="11">
        <f t="shared" ca="1" si="49"/>
        <v>7</v>
      </c>
      <c r="S594" s="11" t="str">
        <f t="shared" si="50"/>
        <v>750-799</v>
      </c>
    </row>
    <row r="595" spans="1:19" x14ac:dyDescent="0.3">
      <c r="A595" s="11" t="s">
        <v>607</v>
      </c>
      <c r="B595" s="11" t="s">
        <v>1024</v>
      </c>
      <c r="C595" s="11">
        <v>57</v>
      </c>
      <c r="D595" s="11" t="s">
        <v>1035</v>
      </c>
      <c r="E595" s="11" t="s">
        <v>1037</v>
      </c>
      <c r="F595" s="12">
        <v>1899022</v>
      </c>
      <c r="G595" s="12">
        <v>1895464</v>
      </c>
      <c r="H595" s="11">
        <v>11.29</v>
      </c>
      <c r="I595" s="11">
        <v>72</v>
      </c>
      <c r="J595" s="11">
        <v>689</v>
      </c>
      <c r="K595" s="11" t="s">
        <v>1040</v>
      </c>
      <c r="L595" s="11" t="s">
        <v>1044</v>
      </c>
      <c r="M595" s="13">
        <v>43145</v>
      </c>
      <c r="N595" s="11" t="s">
        <v>1045</v>
      </c>
      <c r="O595" s="14">
        <f t="shared" si="46"/>
        <v>36360.580926456561</v>
      </c>
      <c r="P595" s="14">
        <f t="shared" si="47"/>
        <v>2617961.8267048723</v>
      </c>
      <c r="Q595" s="14">
        <f t="shared" si="48"/>
        <v>722497.82670487231</v>
      </c>
      <c r="R595" s="11">
        <f t="shared" ca="1" si="49"/>
        <v>7</v>
      </c>
      <c r="S595" s="11" t="str">
        <f t="shared" si="50"/>
        <v>650-699</v>
      </c>
    </row>
    <row r="596" spans="1:19" x14ac:dyDescent="0.3">
      <c r="A596" s="11" t="s">
        <v>608</v>
      </c>
      <c r="B596" s="11" t="s">
        <v>1021</v>
      </c>
      <c r="C596" s="11">
        <v>38</v>
      </c>
      <c r="D596" s="11" t="s">
        <v>1035</v>
      </c>
      <c r="E596" s="11" t="s">
        <v>1038</v>
      </c>
      <c r="F596" s="12">
        <v>1033654</v>
      </c>
      <c r="G596" s="12">
        <v>1372089</v>
      </c>
      <c r="H596" s="11">
        <v>10.8</v>
      </c>
      <c r="I596" s="11">
        <v>84</v>
      </c>
      <c r="J596" s="11">
        <v>848</v>
      </c>
      <c r="K596" s="11" t="s">
        <v>1041</v>
      </c>
      <c r="L596" s="11" t="s">
        <v>1044</v>
      </c>
      <c r="M596" s="13">
        <v>43291</v>
      </c>
      <c r="N596" s="11" t="s">
        <v>1045</v>
      </c>
      <c r="O596" s="14">
        <f t="shared" si="46"/>
        <v>23349.468366130466</v>
      </c>
      <c r="P596" s="14">
        <f t="shared" si="47"/>
        <v>1961355.3427549591</v>
      </c>
      <c r="Q596" s="14">
        <f t="shared" si="48"/>
        <v>589266.34275495913</v>
      </c>
      <c r="R596" s="11">
        <f t="shared" ca="1" si="49"/>
        <v>7</v>
      </c>
      <c r="S596" s="11" t="str">
        <f t="shared" si="50"/>
        <v>800-850</v>
      </c>
    </row>
    <row r="597" spans="1:19" x14ac:dyDescent="0.3">
      <c r="A597" s="11" t="s">
        <v>609</v>
      </c>
      <c r="B597" s="11" t="s">
        <v>1019</v>
      </c>
      <c r="C597" s="11">
        <v>45</v>
      </c>
      <c r="D597" s="11" t="s">
        <v>1035</v>
      </c>
      <c r="E597" s="11" t="s">
        <v>1038</v>
      </c>
      <c r="F597" s="12">
        <v>1167675</v>
      </c>
      <c r="G597" s="12">
        <v>1528301</v>
      </c>
      <c r="H597" s="11">
        <v>10.6</v>
      </c>
      <c r="I597" s="11">
        <v>96</v>
      </c>
      <c r="J597" s="11">
        <v>705</v>
      </c>
      <c r="K597" s="11" t="s">
        <v>1040</v>
      </c>
      <c r="L597" s="11" t="s">
        <v>1044</v>
      </c>
      <c r="M597" s="13">
        <v>44162</v>
      </c>
      <c r="N597" s="11" t="s">
        <v>1045</v>
      </c>
      <c r="O597" s="14">
        <f t="shared" si="46"/>
        <v>23678.722517670736</v>
      </c>
      <c r="P597" s="14">
        <f t="shared" si="47"/>
        <v>2273157.3616963904</v>
      </c>
      <c r="Q597" s="14">
        <f t="shared" si="48"/>
        <v>744856.36169639044</v>
      </c>
      <c r="R597" s="11">
        <f t="shared" ca="1" si="49"/>
        <v>5</v>
      </c>
      <c r="S597" s="11" t="str">
        <f t="shared" si="50"/>
        <v>700-749</v>
      </c>
    </row>
    <row r="598" spans="1:19" x14ac:dyDescent="0.3">
      <c r="A598" s="11" t="s">
        <v>610</v>
      </c>
      <c r="B598" s="11" t="s">
        <v>1030</v>
      </c>
      <c r="C598" s="11">
        <v>57</v>
      </c>
      <c r="D598" s="11" t="s">
        <v>1035</v>
      </c>
      <c r="E598" s="11" t="s">
        <v>1038</v>
      </c>
      <c r="F598" s="12">
        <v>1956980</v>
      </c>
      <c r="G598" s="12">
        <v>1831783</v>
      </c>
      <c r="H598" s="11">
        <v>10.220000000000001</v>
      </c>
      <c r="I598" s="11">
        <v>96</v>
      </c>
      <c r="J598" s="11">
        <v>844</v>
      </c>
      <c r="K598" s="11" t="s">
        <v>1041</v>
      </c>
      <c r="L598" s="11" t="s">
        <v>1044</v>
      </c>
      <c r="M598" s="13">
        <v>43885</v>
      </c>
      <c r="N598" s="11" t="s">
        <v>1047</v>
      </c>
      <c r="O598" s="14">
        <f t="shared" si="46"/>
        <v>28009.469245892938</v>
      </c>
      <c r="P598" s="14">
        <f t="shared" si="47"/>
        <v>2688909.0476057222</v>
      </c>
      <c r="Q598" s="14">
        <f t="shared" si="48"/>
        <v>857126.04760572221</v>
      </c>
      <c r="R598" s="11">
        <f t="shared" ca="1" si="49"/>
        <v>5</v>
      </c>
      <c r="S598" s="11" t="str">
        <f t="shared" si="50"/>
        <v>800-850</v>
      </c>
    </row>
    <row r="599" spans="1:19" x14ac:dyDescent="0.3">
      <c r="A599" s="11" t="s">
        <v>611</v>
      </c>
      <c r="B599" s="11" t="s">
        <v>1023</v>
      </c>
      <c r="C599" s="11">
        <v>35</v>
      </c>
      <c r="D599" s="11" t="s">
        <v>1034</v>
      </c>
      <c r="E599" s="11" t="s">
        <v>1038</v>
      </c>
      <c r="F599" s="12">
        <v>1884944</v>
      </c>
      <c r="G599" s="12">
        <v>1251999</v>
      </c>
      <c r="H599" s="11">
        <v>12.03</v>
      </c>
      <c r="I599" s="11">
        <v>36</v>
      </c>
      <c r="J599" s="11">
        <v>679</v>
      </c>
      <c r="K599" s="11" t="s">
        <v>1042</v>
      </c>
      <c r="L599" s="11" t="s">
        <v>1043</v>
      </c>
      <c r="M599" s="13">
        <v>43196</v>
      </c>
      <c r="N599" s="11" t="s">
        <v>1047</v>
      </c>
      <c r="O599" s="14">
        <f t="shared" si="46"/>
        <v>41602.224334827311</v>
      </c>
      <c r="P599" s="14">
        <f t="shared" si="47"/>
        <v>1497680.0760537833</v>
      </c>
      <c r="Q599" s="14">
        <f t="shared" si="48"/>
        <v>245681.0760537833</v>
      </c>
      <c r="R599" s="11">
        <f t="shared" ca="1" si="49"/>
        <v>7</v>
      </c>
      <c r="S599" s="11" t="str">
        <f t="shared" si="50"/>
        <v>650-699</v>
      </c>
    </row>
    <row r="600" spans="1:19" x14ac:dyDescent="0.3">
      <c r="A600" s="11" t="s">
        <v>612</v>
      </c>
      <c r="B600" s="11" t="s">
        <v>1019</v>
      </c>
      <c r="C600" s="11">
        <v>31</v>
      </c>
      <c r="D600" s="11" t="s">
        <v>1034</v>
      </c>
      <c r="E600" s="11" t="s">
        <v>1036</v>
      </c>
      <c r="F600" s="12">
        <v>1670942</v>
      </c>
      <c r="G600" s="12">
        <v>459036</v>
      </c>
      <c r="H600" s="11">
        <v>7.72</v>
      </c>
      <c r="I600" s="11">
        <v>84</v>
      </c>
      <c r="J600" s="11">
        <v>846</v>
      </c>
      <c r="K600" s="11" t="s">
        <v>1042</v>
      </c>
      <c r="L600" s="11" t="s">
        <v>1044</v>
      </c>
      <c r="M600" s="13">
        <v>44413</v>
      </c>
      <c r="N600" s="11" t="s">
        <v>1045</v>
      </c>
      <c r="O600" s="14">
        <f t="shared" si="46"/>
        <v>7090.7661766142783</v>
      </c>
      <c r="P600" s="14">
        <f t="shared" si="47"/>
        <v>595624.35883559939</v>
      </c>
      <c r="Q600" s="14">
        <f t="shared" si="48"/>
        <v>136588.35883559939</v>
      </c>
      <c r="R600" s="11">
        <f t="shared" ca="1" si="49"/>
        <v>4</v>
      </c>
      <c r="S600" s="11" t="str">
        <f t="shared" si="50"/>
        <v>800-850</v>
      </c>
    </row>
    <row r="601" spans="1:19" x14ac:dyDescent="0.3">
      <c r="A601" s="11" t="s">
        <v>613</v>
      </c>
      <c r="B601" s="11" t="s">
        <v>1026</v>
      </c>
      <c r="C601" s="11">
        <v>46</v>
      </c>
      <c r="D601" s="11" t="s">
        <v>1035</v>
      </c>
      <c r="E601" s="11" t="s">
        <v>1036</v>
      </c>
      <c r="F601" s="12">
        <v>1182187</v>
      </c>
      <c r="G601" s="12">
        <v>1862340</v>
      </c>
      <c r="H601" s="11">
        <v>10.02</v>
      </c>
      <c r="I601" s="11">
        <v>36</v>
      </c>
      <c r="J601" s="11">
        <v>722</v>
      </c>
      <c r="K601" s="11" t="s">
        <v>1042</v>
      </c>
      <c r="L601" s="11" t="s">
        <v>1044</v>
      </c>
      <c r="M601" s="13">
        <v>43106</v>
      </c>
      <c r="N601" s="11" t="s">
        <v>1045</v>
      </c>
      <c r="O601" s="14">
        <f t="shared" si="46"/>
        <v>60109.962075902418</v>
      </c>
      <c r="P601" s="14">
        <f t="shared" si="47"/>
        <v>2163958.6347324871</v>
      </c>
      <c r="Q601" s="14">
        <f t="shared" si="48"/>
        <v>301618.63473248715</v>
      </c>
      <c r="R601" s="11">
        <f t="shared" ca="1" si="49"/>
        <v>7</v>
      </c>
      <c r="S601" s="11" t="str">
        <f t="shared" si="50"/>
        <v>700-749</v>
      </c>
    </row>
    <row r="602" spans="1:19" x14ac:dyDescent="0.3">
      <c r="A602" s="11" t="s">
        <v>614</v>
      </c>
      <c r="B602" s="11" t="s">
        <v>1032</v>
      </c>
      <c r="C602" s="11">
        <v>45</v>
      </c>
      <c r="D602" s="11" t="s">
        <v>1035</v>
      </c>
      <c r="E602" s="11" t="s">
        <v>1036</v>
      </c>
      <c r="F602" s="12">
        <v>601642</v>
      </c>
      <c r="G602" s="12">
        <v>1405581</v>
      </c>
      <c r="H602" s="11">
        <v>9.42</v>
      </c>
      <c r="I602" s="11">
        <v>36</v>
      </c>
      <c r="J602" s="11">
        <v>642</v>
      </c>
      <c r="K602" s="11" t="s">
        <v>1039</v>
      </c>
      <c r="L602" s="11" t="s">
        <v>1044</v>
      </c>
      <c r="M602" s="13">
        <v>44558</v>
      </c>
      <c r="N602" s="11" t="s">
        <v>1046</v>
      </c>
      <c r="O602" s="14">
        <f t="shared" si="46"/>
        <v>44972.360216182424</v>
      </c>
      <c r="P602" s="14">
        <f t="shared" si="47"/>
        <v>1619004.9677825673</v>
      </c>
      <c r="Q602" s="14">
        <f t="shared" si="48"/>
        <v>213423.96778256726</v>
      </c>
      <c r="R602" s="11">
        <f t="shared" ca="1" si="49"/>
        <v>4</v>
      </c>
      <c r="S602" s="11" t="str">
        <f t="shared" si="50"/>
        <v>600-649</v>
      </c>
    </row>
    <row r="603" spans="1:19" x14ac:dyDescent="0.3">
      <c r="A603" s="11" t="s">
        <v>615</v>
      </c>
      <c r="B603" s="11" t="s">
        <v>1023</v>
      </c>
      <c r="C603" s="11">
        <v>27</v>
      </c>
      <c r="D603" s="11" t="s">
        <v>1034</v>
      </c>
      <c r="E603" s="11" t="s">
        <v>1038</v>
      </c>
      <c r="F603" s="12">
        <v>839846</v>
      </c>
      <c r="G603" s="12">
        <v>1780938</v>
      </c>
      <c r="H603" s="11">
        <v>8.83</v>
      </c>
      <c r="I603" s="11">
        <v>48</v>
      </c>
      <c r="J603" s="11">
        <v>629</v>
      </c>
      <c r="K603" s="11" t="s">
        <v>1042</v>
      </c>
      <c r="L603" s="11" t="s">
        <v>1043</v>
      </c>
      <c r="M603" s="13">
        <v>44435</v>
      </c>
      <c r="N603" s="11" t="s">
        <v>1046</v>
      </c>
      <c r="O603" s="14">
        <f t="shared" si="46"/>
        <v>44175.096582399674</v>
      </c>
      <c r="P603" s="14">
        <f t="shared" si="47"/>
        <v>2120404.6359551842</v>
      </c>
      <c r="Q603" s="14">
        <f t="shared" si="48"/>
        <v>339466.63595518423</v>
      </c>
      <c r="R603" s="11">
        <f t="shared" ca="1" si="49"/>
        <v>4</v>
      </c>
      <c r="S603" s="11" t="str">
        <f t="shared" si="50"/>
        <v>600-649</v>
      </c>
    </row>
    <row r="604" spans="1:19" x14ac:dyDescent="0.3">
      <c r="A604" s="11" t="s">
        <v>616</v>
      </c>
      <c r="B604" s="11" t="s">
        <v>1017</v>
      </c>
      <c r="C604" s="11">
        <v>39</v>
      </c>
      <c r="D604" s="11" t="s">
        <v>1034</v>
      </c>
      <c r="E604" s="11" t="s">
        <v>1037</v>
      </c>
      <c r="F604" s="12">
        <v>1899520</v>
      </c>
      <c r="G604" s="12">
        <v>1342671</v>
      </c>
      <c r="H604" s="11">
        <v>14.85</v>
      </c>
      <c r="I604" s="11">
        <v>96</v>
      </c>
      <c r="J604" s="11">
        <v>746</v>
      </c>
      <c r="K604" s="11" t="s">
        <v>1042</v>
      </c>
      <c r="L604" s="11" t="s">
        <v>1044</v>
      </c>
      <c r="M604" s="13">
        <v>43807</v>
      </c>
      <c r="N604" s="11" t="s">
        <v>1047</v>
      </c>
      <c r="O604" s="14">
        <f t="shared" si="46"/>
        <v>23978.373383499755</v>
      </c>
      <c r="P604" s="14">
        <f t="shared" si="47"/>
        <v>2301923.8448159765</v>
      </c>
      <c r="Q604" s="14">
        <f t="shared" si="48"/>
        <v>959252.84481597645</v>
      </c>
      <c r="R604" s="11">
        <f t="shared" ca="1" si="49"/>
        <v>6</v>
      </c>
      <c r="S604" s="11" t="str">
        <f t="shared" si="50"/>
        <v>700-749</v>
      </c>
    </row>
    <row r="605" spans="1:19" x14ac:dyDescent="0.3">
      <c r="A605" s="11" t="s">
        <v>617</v>
      </c>
      <c r="B605" s="11" t="s">
        <v>1026</v>
      </c>
      <c r="C605" s="11">
        <v>55</v>
      </c>
      <c r="D605" s="11" t="s">
        <v>1035</v>
      </c>
      <c r="E605" s="11" t="s">
        <v>1037</v>
      </c>
      <c r="F605" s="12">
        <v>1295023</v>
      </c>
      <c r="G605" s="12">
        <v>1679375</v>
      </c>
      <c r="H605" s="11">
        <v>11.55</v>
      </c>
      <c r="I605" s="11">
        <v>96</v>
      </c>
      <c r="J605" s="11">
        <v>677</v>
      </c>
      <c r="K605" s="11" t="s">
        <v>1042</v>
      </c>
      <c r="L605" s="11" t="s">
        <v>1044</v>
      </c>
      <c r="M605" s="13">
        <v>44074</v>
      </c>
      <c r="N605" s="11" t="s">
        <v>1045</v>
      </c>
      <c r="O605" s="14">
        <f t="shared" si="46"/>
        <v>26881.096505292797</v>
      </c>
      <c r="P605" s="14">
        <f t="shared" si="47"/>
        <v>2580585.2645081086</v>
      </c>
      <c r="Q605" s="14">
        <f t="shared" si="48"/>
        <v>901210.26450810861</v>
      </c>
      <c r="R605" s="11">
        <f t="shared" ca="1" si="49"/>
        <v>5</v>
      </c>
      <c r="S605" s="11" t="str">
        <f t="shared" si="50"/>
        <v>650-699</v>
      </c>
    </row>
    <row r="606" spans="1:19" x14ac:dyDescent="0.3">
      <c r="A606" s="11" t="s">
        <v>618</v>
      </c>
      <c r="B606" s="11" t="s">
        <v>1020</v>
      </c>
      <c r="C606" s="11">
        <v>29</v>
      </c>
      <c r="D606" s="11" t="s">
        <v>1034</v>
      </c>
      <c r="E606" s="11" t="s">
        <v>1036</v>
      </c>
      <c r="F606" s="12">
        <v>1168683</v>
      </c>
      <c r="G606" s="12">
        <v>1089482</v>
      </c>
      <c r="H606" s="11">
        <v>7.64</v>
      </c>
      <c r="I606" s="11">
        <v>72</v>
      </c>
      <c r="J606" s="11">
        <v>737</v>
      </c>
      <c r="K606" s="11" t="s">
        <v>1041</v>
      </c>
      <c r="L606" s="11" t="s">
        <v>1044</v>
      </c>
      <c r="M606" s="13">
        <v>43462</v>
      </c>
      <c r="N606" s="11" t="s">
        <v>1045</v>
      </c>
      <c r="O606" s="14">
        <f t="shared" si="46"/>
        <v>18911.211824287424</v>
      </c>
      <c r="P606" s="14">
        <f t="shared" si="47"/>
        <v>1361607.2513486946</v>
      </c>
      <c r="Q606" s="14">
        <f t="shared" si="48"/>
        <v>272125.25134869455</v>
      </c>
      <c r="R606" s="11">
        <f t="shared" ca="1" si="49"/>
        <v>7</v>
      </c>
      <c r="S606" s="11" t="str">
        <f t="shared" si="50"/>
        <v>700-749</v>
      </c>
    </row>
    <row r="607" spans="1:19" x14ac:dyDescent="0.3">
      <c r="A607" s="11" t="s">
        <v>619</v>
      </c>
      <c r="B607" s="11" t="s">
        <v>1017</v>
      </c>
      <c r="C607" s="11">
        <v>33</v>
      </c>
      <c r="D607" s="11" t="s">
        <v>1034</v>
      </c>
      <c r="E607" s="11" t="s">
        <v>1037</v>
      </c>
      <c r="F607" s="12">
        <v>1460368</v>
      </c>
      <c r="G607" s="12">
        <v>1257952</v>
      </c>
      <c r="H607" s="11">
        <v>11.54</v>
      </c>
      <c r="I607" s="11">
        <v>60</v>
      </c>
      <c r="J607" s="11">
        <v>764</v>
      </c>
      <c r="K607" s="11" t="s">
        <v>1040</v>
      </c>
      <c r="L607" s="11" t="s">
        <v>1044</v>
      </c>
      <c r="M607" s="13">
        <v>45461</v>
      </c>
      <c r="N607" s="11" t="s">
        <v>1046</v>
      </c>
      <c r="O607" s="14">
        <f t="shared" si="46"/>
        <v>27690.912108075419</v>
      </c>
      <c r="P607" s="14">
        <f t="shared" si="47"/>
        <v>1661454.7264845253</v>
      </c>
      <c r="Q607" s="14">
        <f t="shared" si="48"/>
        <v>403502.72648452525</v>
      </c>
      <c r="R607" s="11">
        <f t="shared" ca="1" si="49"/>
        <v>1</v>
      </c>
      <c r="S607" s="11" t="str">
        <f t="shared" si="50"/>
        <v>750-799</v>
      </c>
    </row>
    <row r="608" spans="1:19" x14ac:dyDescent="0.3">
      <c r="A608" s="11" t="s">
        <v>620</v>
      </c>
      <c r="B608" s="11" t="s">
        <v>1014</v>
      </c>
      <c r="C608" s="11">
        <v>28</v>
      </c>
      <c r="D608" s="11" t="s">
        <v>1035</v>
      </c>
      <c r="E608" s="11" t="s">
        <v>1038</v>
      </c>
      <c r="F608" s="12">
        <v>1499836</v>
      </c>
      <c r="G608" s="12">
        <v>1213045</v>
      </c>
      <c r="H608" s="11">
        <v>12.98</v>
      </c>
      <c r="I608" s="11">
        <v>120</v>
      </c>
      <c r="J608" s="11">
        <v>624</v>
      </c>
      <c r="K608" s="11" t="s">
        <v>1040</v>
      </c>
      <c r="L608" s="11" t="s">
        <v>1044</v>
      </c>
      <c r="M608" s="13">
        <v>43947</v>
      </c>
      <c r="N608" s="11" t="s">
        <v>1047</v>
      </c>
      <c r="O608" s="14">
        <f t="shared" si="46"/>
        <v>18097.757794141926</v>
      </c>
      <c r="P608" s="14">
        <f t="shared" si="47"/>
        <v>2171730.935297031</v>
      </c>
      <c r="Q608" s="14">
        <f t="shared" si="48"/>
        <v>958685.93529703096</v>
      </c>
      <c r="R608" s="11">
        <f t="shared" ca="1" si="49"/>
        <v>5</v>
      </c>
      <c r="S608" s="11" t="str">
        <f t="shared" si="50"/>
        <v>600-649</v>
      </c>
    </row>
    <row r="609" spans="1:19" x14ac:dyDescent="0.3">
      <c r="A609" s="11" t="s">
        <v>621</v>
      </c>
      <c r="B609" s="11" t="s">
        <v>1024</v>
      </c>
      <c r="C609" s="11">
        <v>46</v>
      </c>
      <c r="D609" s="11" t="s">
        <v>1035</v>
      </c>
      <c r="E609" s="11" t="s">
        <v>1038</v>
      </c>
      <c r="F609" s="12">
        <v>830709</v>
      </c>
      <c r="G609" s="12">
        <v>1172468</v>
      </c>
      <c r="H609" s="11">
        <v>12.11</v>
      </c>
      <c r="I609" s="11">
        <v>36</v>
      </c>
      <c r="J609" s="11">
        <v>630</v>
      </c>
      <c r="K609" s="11" t="s">
        <v>1040</v>
      </c>
      <c r="L609" s="11" t="s">
        <v>1044</v>
      </c>
      <c r="M609" s="13">
        <v>43950</v>
      </c>
      <c r="N609" s="11" t="s">
        <v>1046</v>
      </c>
      <c r="O609" s="14">
        <f t="shared" si="46"/>
        <v>39004.343440290519</v>
      </c>
      <c r="P609" s="14">
        <f t="shared" si="47"/>
        <v>1404156.3638504588</v>
      </c>
      <c r="Q609" s="14">
        <f t="shared" si="48"/>
        <v>231688.36385045876</v>
      </c>
      <c r="R609" s="11">
        <f t="shared" ca="1" si="49"/>
        <v>5</v>
      </c>
      <c r="S609" s="11" t="str">
        <f t="shared" si="50"/>
        <v>600-649</v>
      </c>
    </row>
    <row r="610" spans="1:19" x14ac:dyDescent="0.3">
      <c r="A610" s="11" t="s">
        <v>622</v>
      </c>
      <c r="B610" s="11" t="s">
        <v>1026</v>
      </c>
      <c r="C610" s="11">
        <v>28</v>
      </c>
      <c r="D610" s="11" t="s">
        <v>1034</v>
      </c>
      <c r="E610" s="11" t="s">
        <v>1036</v>
      </c>
      <c r="F610" s="12">
        <v>1423436</v>
      </c>
      <c r="G610" s="12">
        <v>1746384</v>
      </c>
      <c r="H610" s="11">
        <v>8.7200000000000006</v>
      </c>
      <c r="I610" s="11">
        <v>120</v>
      </c>
      <c r="J610" s="11">
        <v>698</v>
      </c>
      <c r="K610" s="11" t="s">
        <v>1040</v>
      </c>
      <c r="L610" s="11" t="s">
        <v>1044</v>
      </c>
      <c r="M610" s="13">
        <v>44434</v>
      </c>
      <c r="N610" s="11" t="s">
        <v>1047</v>
      </c>
      <c r="O610" s="14">
        <f t="shared" si="46"/>
        <v>21858.68553346266</v>
      </c>
      <c r="P610" s="14">
        <f t="shared" si="47"/>
        <v>2623042.2640155191</v>
      </c>
      <c r="Q610" s="14">
        <f t="shared" si="48"/>
        <v>876658.26401551906</v>
      </c>
      <c r="R610" s="11">
        <f t="shared" ca="1" si="49"/>
        <v>4</v>
      </c>
      <c r="S610" s="11" t="str">
        <f t="shared" si="50"/>
        <v>650-699</v>
      </c>
    </row>
    <row r="611" spans="1:19" x14ac:dyDescent="0.3">
      <c r="A611" s="11" t="s">
        <v>623</v>
      </c>
      <c r="B611" s="11" t="s">
        <v>1022</v>
      </c>
      <c r="C611" s="11">
        <v>33</v>
      </c>
      <c r="D611" s="11" t="s">
        <v>1035</v>
      </c>
      <c r="E611" s="11" t="s">
        <v>1038</v>
      </c>
      <c r="F611" s="12">
        <v>1162741</v>
      </c>
      <c r="G611" s="12">
        <v>420503</v>
      </c>
      <c r="H611" s="11">
        <v>13.28</v>
      </c>
      <c r="I611" s="11">
        <v>48</v>
      </c>
      <c r="J611" s="11">
        <v>623</v>
      </c>
      <c r="K611" s="11" t="s">
        <v>1040</v>
      </c>
      <c r="L611" s="11" t="s">
        <v>1044</v>
      </c>
      <c r="M611" s="13">
        <v>44216</v>
      </c>
      <c r="N611" s="11" t="s">
        <v>1047</v>
      </c>
      <c r="O611" s="14">
        <f t="shared" si="46"/>
        <v>11339.567910401967</v>
      </c>
      <c r="P611" s="14">
        <f t="shared" si="47"/>
        <v>544299.25969929446</v>
      </c>
      <c r="Q611" s="14">
        <f t="shared" si="48"/>
        <v>123796.25969929446</v>
      </c>
      <c r="R611" s="11">
        <f t="shared" ca="1" si="49"/>
        <v>4</v>
      </c>
      <c r="S611" s="11" t="str">
        <f t="shared" si="50"/>
        <v>600-649</v>
      </c>
    </row>
    <row r="612" spans="1:19" x14ac:dyDescent="0.3">
      <c r="A612" s="11" t="s">
        <v>624</v>
      </c>
      <c r="B612" s="11" t="s">
        <v>1016</v>
      </c>
      <c r="C612" s="11">
        <v>40</v>
      </c>
      <c r="D612" s="11" t="s">
        <v>1035</v>
      </c>
      <c r="E612" s="11" t="s">
        <v>1037</v>
      </c>
      <c r="F612" s="12">
        <v>1682578</v>
      </c>
      <c r="G612" s="12">
        <v>1162545</v>
      </c>
      <c r="H612" s="11">
        <v>11.86</v>
      </c>
      <c r="I612" s="11">
        <v>120</v>
      </c>
      <c r="J612" s="11">
        <v>633</v>
      </c>
      <c r="K612" s="11" t="s">
        <v>1039</v>
      </c>
      <c r="L612" s="11" t="s">
        <v>1044</v>
      </c>
      <c r="M612" s="13">
        <v>44564</v>
      </c>
      <c r="N612" s="11" t="s">
        <v>1046</v>
      </c>
      <c r="O612" s="14">
        <f t="shared" si="46"/>
        <v>16585.19205606023</v>
      </c>
      <c r="P612" s="14">
        <f t="shared" si="47"/>
        <v>1990223.0467272275</v>
      </c>
      <c r="Q612" s="14">
        <f t="shared" si="48"/>
        <v>827678.04672722751</v>
      </c>
      <c r="R612" s="11">
        <f t="shared" ca="1" si="49"/>
        <v>3</v>
      </c>
      <c r="S612" s="11" t="str">
        <f t="shared" si="50"/>
        <v>600-649</v>
      </c>
    </row>
    <row r="613" spans="1:19" x14ac:dyDescent="0.3">
      <c r="A613" s="11" t="s">
        <v>625</v>
      </c>
      <c r="B613" s="11" t="s">
        <v>1025</v>
      </c>
      <c r="C613" s="11">
        <v>38</v>
      </c>
      <c r="D613" s="11" t="s">
        <v>1035</v>
      </c>
      <c r="E613" s="11" t="s">
        <v>1036</v>
      </c>
      <c r="F613" s="12">
        <v>1263667</v>
      </c>
      <c r="G613" s="12">
        <v>1563876</v>
      </c>
      <c r="H613" s="11">
        <v>9.92</v>
      </c>
      <c r="I613" s="11">
        <v>60</v>
      </c>
      <c r="J613" s="11">
        <v>704</v>
      </c>
      <c r="K613" s="11" t="s">
        <v>1040</v>
      </c>
      <c r="L613" s="11" t="s">
        <v>1044</v>
      </c>
      <c r="M613" s="13">
        <v>43654</v>
      </c>
      <c r="N613" s="11" t="s">
        <v>1046</v>
      </c>
      <c r="O613" s="14">
        <f t="shared" si="46"/>
        <v>33166.217513627693</v>
      </c>
      <c r="P613" s="14">
        <f t="shared" si="47"/>
        <v>1989973.0508176615</v>
      </c>
      <c r="Q613" s="14">
        <f t="shared" si="48"/>
        <v>426097.05081766145</v>
      </c>
      <c r="R613" s="11">
        <f t="shared" ca="1" si="49"/>
        <v>6</v>
      </c>
      <c r="S613" s="11" t="str">
        <f t="shared" si="50"/>
        <v>700-749</v>
      </c>
    </row>
    <row r="614" spans="1:19" x14ac:dyDescent="0.3">
      <c r="A614" s="11" t="s">
        <v>626</v>
      </c>
      <c r="B614" s="11" t="s">
        <v>1029</v>
      </c>
      <c r="C614" s="11">
        <v>26</v>
      </c>
      <c r="D614" s="11" t="s">
        <v>1035</v>
      </c>
      <c r="E614" s="11" t="s">
        <v>1036</v>
      </c>
      <c r="F614" s="12">
        <v>727567</v>
      </c>
      <c r="G614" s="12">
        <v>1907590</v>
      </c>
      <c r="H614" s="11">
        <v>12.35</v>
      </c>
      <c r="I614" s="11">
        <v>84</v>
      </c>
      <c r="J614" s="11">
        <v>639</v>
      </c>
      <c r="K614" s="11" t="s">
        <v>1039</v>
      </c>
      <c r="L614" s="11" t="s">
        <v>1043</v>
      </c>
      <c r="M614" s="13">
        <v>43854</v>
      </c>
      <c r="N614" s="11" t="s">
        <v>1046</v>
      </c>
      <c r="O614" s="14">
        <f t="shared" si="46"/>
        <v>34032.26983442693</v>
      </c>
      <c r="P614" s="14">
        <f t="shared" si="47"/>
        <v>2858710.6660918621</v>
      </c>
      <c r="Q614" s="14">
        <f t="shared" si="48"/>
        <v>951120.66609186213</v>
      </c>
      <c r="R614" s="11">
        <f t="shared" ca="1" si="49"/>
        <v>5</v>
      </c>
      <c r="S614" s="11" t="str">
        <f t="shared" si="50"/>
        <v>600-649</v>
      </c>
    </row>
    <row r="615" spans="1:19" x14ac:dyDescent="0.3">
      <c r="A615" s="11" t="s">
        <v>627</v>
      </c>
      <c r="B615" s="11" t="s">
        <v>1023</v>
      </c>
      <c r="C615" s="11">
        <v>49</v>
      </c>
      <c r="D615" s="11" t="s">
        <v>1035</v>
      </c>
      <c r="E615" s="11" t="s">
        <v>1036</v>
      </c>
      <c r="F615" s="12">
        <v>534280</v>
      </c>
      <c r="G615" s="12">
        <v>1670734</v>
      </c>
      <c r="H615" s="11">
        <v>8.24</v>
      </c>
      <c r="I615" s="11">
        <v>72</v>
      </c>
      <c r="J615" s="11">
        <v>728</v>
      </c>
      <c r="K615" s="11" t="s">
        <v>1039</v>
      </c>
      <c r="L615" s="11" t="s">
        <v>1044</v>
      </c>
      <c r="M615" s="13">
        <v>43580</v>
      </c>
      <c r="N615" s="11" t="s">
        <v>1046</v>
      </c>
      <c r="O615" s="14">
        <f t="shared" si="46"/>
        <v>29489.555458343799</v>
      </c>
      <c r="P615" s="14">
        <f t="shared" si="47"/>
        <v>2123247.9930007537</v>
      </c>
      <c r="Q615" s="14">
        <f t="shared" si="48"/>
        <v>452513.99300075369</v>
      </c>
      <c r="R615" s="11">
        <f t="shared" ca="1" si="49"/>
        <v>6</v>
      </c>
      <c r="S615" s="11" t="str">
        <f t="shared" si="50"/>
        <v>700-749</v>
      </c>
    </row>
    <row r="616" spans="1:19" x14ac:dyDescent="0.3">
      <c r="A616" s="11" t="s">
        <v>628</v>
      </c>
      <c r="B616" s="11" t="s">
        <v>1031</v>
      </c>
      <c r="C616" s="11">
        <v>35</v>
      </c>
      <c r="D616" s="11" t="s">
        <v>1035</v>
      </c>
      <c r="E616" s="11" t="s">
        <v>1037</v>
      </c>
      <c r="F616" s="12">
        <v>1365441</v>
      </c>
      <c r="G616" s="12">
        <v>1156662</v>
      </c>
      <c r="H616" s="11">
        <v>10.84</v>
      </c>
      <c r="I616" s="11">
        <v>84</v>
      </c>
      <c r="J616" s="11">
        <v>771</v>
      </c>
      <c r="K616" s="11" t="s">
        <v>1040</v>
      </c>
      <c r="L616" s="11" t="s">
        <v>1044</v>
      </c>
      <c r="M616" s="13">
        <v>44563</v>
      </c>
      <c r="N616" s="11" t="s">
        <v>1047</v>
      </c>
      <c r="O616" s="14">
        <f t="shared" si="46"/>
        <v>19707.699363424756</v>
      </c>
      <c r="P616" s="14">
        <f t="shared" si="47"/>
        <v>1655446.7465276795</v>
      </c>
      <c r="Q616" s="14">
        <f t="shared" si="48"/>
        <v>498784.7465276795</v>
      </c>
      <c r="R616" s="11">
        <f t="shared" ca="1" si="49"/>
        <v>3</v>
      </c>
      <c r="S616" s="11" t="str">
        <f t="shared" si="50"/>
        <v>750-799</v>
      </c>
    </row>
    <row r="617" spans="1:19" x14ac:dyDescent="0.3">
      <c r="A617" s="11" t="s">
        <v>629</v>
      </c>
      <c r="B617" s="11" t="s">
        <v>1014</v>
      </c>
      <c r="C617" s="11">
        <v>30</v>
      </c>
      <c r="D617" s="11" t="s">
        <v>1035</v>
      </c>
      <c r="E617" s="11" t="s">
        <v>1037</v>
      </c>
      <c r="F617" s="12">
        <v>1162005</v>
      </c>
      <c r="G617" s="12">
        <v>1412662</v>
      </c>
      <c r="H617" s="11">
        <v>11.82</v>
      </c>
      <c r="I617" s="11">
        <v>120</v>
      </c>
      <c r="J617" s="11">
        <v>603</v>
      </c>
      <c r="K617" s="11" t="s">
        <v>1040</v>
      </c>
      <c r="L617" s="11" t="s">
        <v>1043</v>
      </c>
      <c r="M617" s="13">
        <v>43592</v>
      </c>
      <c r="N617" s="11" t="s">
        <v>1046</v>
      </c>
      <c r="O617" s="14">
        <f t="shared" si="46"/>
        <v>20120.8732763056</v>
      </c>
      <c r="P617" s="14">
        <f t="shared" si="47"/>
        <v>2414504.7931566718</v>
      </c>
      <c r="Q617" s="14">
        <f t="shared" si="48"/>
        <v>1001842.7931566718</v>
      </c>
      <c r="R617" s="11">
        <f t="shared" ca="1" si="49"/>
        <v>6</v>
      </c>
      <c r="S617" s="11" t="str">
        <f t="shared" si="50"/>
        <v>600-649</v>
      </c>
    </row>
    <row r="618" spans="1:19" x14ac:dyDescent="0.3">
      <c r="A618" s="11" t="s">
        <v>630</v>
      </c>
      <c r="B618" s="11" t="s">
        <v>1030</v>
      </c>
      <c r="C618" s="11">
        <v>52</v>
      </c>
      <c r="D618" s="11" t="s">
        <v>1035</v>
      </c>
      <c r="E618" s="11" t="s">
        <v>1038</v>
      </c>
      <c r="F618" s="12">
        <v>467685</v>
      </c>
      <c r="G618" s="12">
        <v>622842</v>
      </c>
      <c r="H618" s="11">
        <v>9.0299999999999994</v>
      </c>
      <c r="I618" s="11">
        <v>96</v>
      </c>
      <c r="J618" s="11">
        <v>711</v>
      </c>
      <c r="K618" s="11" t="s">
        <v>1039</v>
      </c>
      <c r="L618" s="11" t="s">
        <v>1044</v>
      </c>
      <c r="M618" s="13">
        <v>43263</v>
      </c>
      <c r="N618" s="11" t="s">
        <v>1046</v>
      </c>
      <c r="O618" s="14">
        <f t="shared" si="46"/>
        <v>9134.4580764557795</v>
      </c>
      <c r="P618" s="14">
        <f t="shared" si="47"/>
        <v>876907.97533975483</v>
      </c>
      <c r="Q618" s="14">
        <f t="shared" si="48"/>
        <v>254065.97533975483</v>
      </c>
      <c r="R618" s="11">
        <f t="shared" ca="1" si="49"/>
        <v>7</v>
      </c>
      <c r="S618" s="11" t="str">
        <f t="shared" si="50"/>
        <v>700-749</v>
      </c>
    </row>
    <row r="619" spans="1:19" x14ac:dyDescent="0.3">
      <c r="A619" s="11" t="s">
        <v>631</v>
      </c>
      <c r="B619" s="11" t="s">
        <v>1024</v>
      </c>
      <c r="C619" s="11">
        <v>49</v>
      </c>
      <c r="D619" s="11" t="s">
        <v>1035</v>
      </c>
      <c r="E619" s="11" t="s">
        <v>1037</v>
      </c>
      <c r="F619" s="12">
        <v>1235928</v>
      </c>
      <c r="G619" s="12">
        <v>554481</v>
      </c>
      <c r="H619" s="11">
        <v>14.69</v>
      </c>
      <c r="I619" s="11">
        <v>84</v>
      </c>
      <c r="J619" s="11">
        <v>817</v>
      </c>
      <c r="K619" s="11" t="s">
        <v>1041</v>
      </c>
      <c r="L619" s="11" t="s">
        <v>1043</v>
      </c>
      <c r="M619" s="13">
        <v>44302</v>
      </c>
      <c r="N619" s="11" t="s">
        <v>1046</v>
      </c>
      <c r="O619" s="14">
        <f t="shared" si="46"/>
        <v>10603.474399877319</v>
      </c>
      <c r="P619" s="14">
        <f t="shared" si="47"/>
        <v>890691.84958969476</v>
      </c>
      <c r="Q619" s="14">
        <f t="shared" si="48"/>
        <v>336210.84958969476</v>
      </c>
      <c r="R619" s="11">
        <f t="shared" ca="1" si="49"/>
        <v>4</v>
      </c>
      <c r="S619" s="11" t="str">
        <f t="shared" si="50"/>
        <v>800-850</v>
      </c>
    </row>
    <row r="620" spans="1:19" x14ac:dyDescent="0.3">
      <c r="A620" s="11" t="s">
        <v>632</v>
      </c>
      <c r="B620" s="11" t="s">
        <v>1023</v>
      </c>
      <c r="C620" s="11">
        <v>29</v>
      </c>
      <c r="D620" s="11" t="s">
        <v>1035</v>
      </c>
      <c r="E620" s="11" t="s">
        <v>1036</v>
      </c>
      <c r="F620" s="12">
        <v>644111</v>
      </c>
      <c r="G620" s="12">
        <v>440057</v>
      </c>
      <c r="H620" s="11">
        <v>13.46</v>
      </c>
      <c r="I620" s="11">
        <v>84</v>
      </c>
      <c r="J620" s="11">
        <v>675</v>
      </c>
      <c r="K620" s="11" t="s">
        <v>1042</v>
      </c>
      <c r="L620" s="11" t="s">
        <v>1044</v>
      </c>
      <c r="M620" s="13">
        <v>43685</v>
      </c>
      <c r="N620" s="11" t="s">
        <v>1047</v>
      </c>
      <c r="O620" s="14">
        <f t="shared" si="46"/>
        <v>8115.9614240906103</v>
      </c>
      <c r="P620" s="14">
        <f t="shared" si="47"/>
        <v>681740.75962361123</v>
      </c>
      <c r="Q620" s="14">
        <f t="shared" si="48"/>
        <v>241683.75962361123</v>
      </c>
      <c r="R620" s="11">
        <f t="shared" ca="1" si="49"/>
        <v>6</v>
      </c>
      <c r="S620" s="11" t="str">
        <f t="shared" si="50"/>
        <v>650-699</v>
      </c>
    </row>
    <row r="621" spans="1:19" x14ac:dyDescent="0.3">
      <c r="A621" s="11" t="s">
        <v>633</v>
      </c>
      <c r="B621" s="11" t="s">
        <v>1014</v>
      </c>
      <c r="C621" s="11">
        <v>49</v>
      </c>
      <c r="D621" s="11" t="s">
        <v>1034</v>
      </c>
      <c r="E621" s="11" t="s">
        <v>1037</v>
      </c>
      <c r="F621" s="12">
        <v>1666129</v>
      </c>
      <c r="G621" s="12">
        <v>571255</v>
      </c>
      <c r="H621" s="11">
        <v>13.23</v>
      </c>
      <c r="I621" s="11">
        <v>60</v>
      </c>
      <c r="J621" s="11">
        <v>752</v>
      </c>
      <c r="K621" s="11" t="s">
        <v>1040</v>
      </c>
      <c r="L621" s="11" t="s">
        <v>1044</v>
      </c>
      <c r="M621" s="13">
        <v>45588</v>
      </c>
      <c r="N621" s="11" t="s">
        <v>1045</v>
      </c>
      <c r="O621" s="14">
        <f t="shared" si="46"/>
        <v>13065.164838631981</v>
      </c>
      <c r="P621" s="14">
        <f t="shared" si="47"/>
        <v>783909.89031791885</v>
      </c>
      <c r="Q621" s="14">
        <f t="shared" si="48"/>
        <v>212654.89031791885</v>
      </c>
      <c r="R621" s="11">
        <f t="shared" ca="1" si="49"/>
        <v>1</v>
      </c>
      <c r="S621" s="11" t="str">
        <f t="shared" si="50"/>
        <v>750-799</v>
      </c>
    </row>
    <row r="622" spans="1:19" x14ac:dyDescent="0.3">
      <c r="A622" s="11" t="s">
        <v>634</v>
      </c>
      <c r="B622" s="11" t="s">
        <v>1033</v>
      </c>
      <c r="C622" s="11">
        <v>27</v>
      </c>
      <c r="D622" s="11" t="s">
        <v>1035</v>
      </c>
      <c r="E622" s="11" t="s">
        <v>1037</v>
      </c>
      <c r="F622" s="12">
        <v>1447925</v>
      </c>
      <c r="G622" s="12">
        <v>518873</v>
      </c>
      <c r="H622" s="11">
        <v>10.8</v>
      </c>
      <c r="I622" s="11">
        <v>60</v>
      </c>
      <c r="J622" s="11">
        <v>765</v>
      </c>
      <c r="K622" s="11" t="s">
        <v>1039</v>
      </c>
      <c r="L622" s="11" t="s">
        <v>1044</v>
      </c>
      <c r="M622" s="13">
        <v>45243</v>
      </c>
      <c r="N622" s="11" t="s">
        <v>1046</v>
      </c>
      <c r="O622" s="14">
        <f t="shared" si="46"/>
        <v>11229.871981343698</v>
      </c>
      <c r="P622" s="14">
        <f t="shared" si="47"/>
        <v>673792.31888062193</v>
      </c>
      <c r="Q622" s="14">
        <f t="shared" si="48"/>
        <v>154919.31888062193</v>
      </c>
      <c r="R622" s="11">
        <f t="shared" ca="1" si="49"/>
        <v>2</v>
      </c>
      <c r="S622" s="11" t="str">
        <f t="shared" si="50"/>
        <v>750-799</v>
      </c>
    </row>
    <row r="623" spans="1:19" x14ac:dyDescent="0.3">
      <c r="A623" s="11" t="s">
        <v>635</v>
      </c>
      <c r="B623" s="11" t="s">
        <v>1032</v>
      </c>
      <c r="C623" s="11">
        <v>47</v>
      </c>
      <c r="D623" s="11" t="s">
        <v>1035</v>
      </c>
      <c r="E623" s="11" t="s">
        <v>1038</v>
      </c>
      <c r="F623" s="12">
        <v>1693750</v>
      </c>
      <c r="G623" s="12">
        <v>1083714</v>
      </c>
      <c r="H623" s="11">
        <v>9.16</v>
      </c>
      <c r="I623" s="11">
        <v>120</v>
      </c>
      <c r="J623" s="11">
        <v>697</v>
      </c>
      <c r="K623" s="11" t="s">
        <v>1040</v>
      </c>
      <c r="L623" s="11" t="s">
        <v>1044</v>
      </c>
      <c r="M623" s="13">
        <v>44225</v>
      </c>
      <c r="N623" s="11" t="s">
        <v>1046</v>
      </c>
      <c r="O623" s="14">
        <f t="shared" si="46"/>
        <v>13822.047066876083</v>
      </c>
      <c r="P623" s="14">
        <f t="shared" si="47"/>
        <v>1658645.6480251299</v>
      </c>
      <c r="Q623" s="14">
        <f t="shared" si="48"/>
        <v>574931.64802512992</v>
      </c>
      <c r="R623" s="11">
        <f t="shared" ca="1" si="49"/>
        <v>4</v>
      </c>
      <c r="S623" s="11" t="str">
        <f t="shared" si="50"/>
        <v>650-699</v>
      </c>
    </row>
    <row r="624" spans="1:19" x14ac:dyDescent="0.3">
      <c r="A624" s="11" t="s">
        <v>636</v>
      </c>
      <c r="B624" s="11" t="s">
        <v>1015</v>
      </c>
      <c r="C624" s="11">
        <v>39</v>
      </c>
      <c r="D624" s="11" t="s">
        <v>1034</v>
      </c>
      <c r="E624" s="11" t="s">
        <v>1038</v>
      </c>
      <c r="F624" s="12">
        <v>326923</v>
      </c>
      <c r="G624" s="12">
        <v>355347</v>
      </c>
      <c r="H624" s="11">
        <v>12.98</v>
      </c>
      <c r="I624" s="11">
        <v>84</v>
      </c>
      <c r="J624" s="11">
        <v>846</v>
      </c>
      <c r="K624" s="11" t="s">
        <v>1039</v>
      </c>
      <c r="L624" s="11" t="s">
        <v>1044</v>
      </c>
      <c r="M624" s="13">
        <v>43706</v>
      </c>
      <c r="N624" s="11" t="s">
        <v>1048</v>
      </c>
      <c r="O624" s="14">
        <f t="shared" si="46"/>
        <v>6460.596472409492</v>
      </c>
      <c r="P624" s="14">
        <f t="shared" si="47"/>
        <v>542690.10368239728</v>
      </c>
      <c r="Q624" s="14">
        <f t="shared" si="48"/>
        <v>187343.10368239728</v>
      </c>
      <c r="R624" s="11">
        <f t="shared" ca="1" si="49"/>
        <v>6</v>
      </c>
      <c r="S624" s="11" t="str">
        <f t="shared" si="50"/>
        <v>800-850</v>
      </c>
    </row>
    <row r="625" spans="1:19" x14ac:dyDescent="0.3">
      <c r="A625" s="11" t="s">
        <v>637</v>
      </c>
      <c r="B625" s="11" t="s">
        <v>1019</v>
      </c>
      <c r="C625" s="11">
        <v>27</v>
      </c>
      <c r="D625" s="11" t="s">
        <v>1034</v>
      </c>
      <c r="E625" s="11" t="s">
        <v>1038</v>
      </c>
      <c r="F625" s="12">
        <v>697644</v>
      </c>
      <c r="G625" s="12">
        <v>1960285</v>
      </c>
      <c r="H625" s="11">
        <v>10.62</v>
      </c>
      <c r="I625" s="11">
        <v>84</v>
      </c>
      <c r="J625" s="11">
        <v>745</v>
      </c>
      <c r="K625" s="11" t="s">
        <v>1042</v>
      </c>
      <c r="L625" s="11" t="s">
        <v>1044</v>
      </c>
      <c r="M625" s="13">
        <v>44209</v>
      </c>
      <c r="N625" s="11" t="s">
        <v>1048</v>
      </c>
      <c r="O625" s="14">
        <f t="shared" si="46"/>
        <v>33174.470398096455</v>
      </c>
      <c r="P625" s="14">
        <f t="shared" si="47"/>
        <v>2786655.5134401023</v>
      </c>
      <c r="Q625" s="14">
        <f t="shared" si="48"/>
        <v>826370.51344010234</v>
      </c>
      <c r="R625" s="11">
        <f t="shared" ca="1" si="49"/>
        <v>4</v>
      </c>
      <c r="S625" s="11" t="str">
        <f t="shared" si="50"/>
        <v>700-749</v>
      </c>
    </row>
    <row r="626" spans="1:19" x14ac:dyDescent="0.3">
      <c r="A626" s="11" t="s">
        <v>638</v>
      </c>
      <c r="B626" s="11" t="s">
        <v>1032</v>
      </c>
      <c r="C626" s="11">
        <v>26</v>
      </c>
      <c r="D626" s="11" t="s">
        <v>1034</v>
      </c>
      <c r="E626" s="11" t="s">
        <v>1038</v>
      </c>
      <c r="F626" s="12">
        <v>581185</v>
      </c>
      <c r="G626" s="12">
        <v>1344024</v>
      </c>
      <c r="H626" s="11">
        <v>13.01</v>
      </c>
      <c r="I626" s="11">
        <v>84</v>
      </c>
      <c r="J626" s="11">
        <v>741</v>
      </c>
      <c r="K626" s="11" t="s">
        <v>1040</v>
      </c>
      <c r="L626" s="11" t="s">
        <v>1044</v>
      </c>
      <c r="M626" s="13">
        <v>43316</v>
      </c>
      <c r="N626" s="11" t="s">
        <v>1045</v>
      </c>
      <c r="O626" s="14">
        <f t="shared" si="46"/>
        <v>24457.742852719231</v>
      </c>
      <c r="P626" s="14">
        <f t="shared" si="47"/>
        <v>2054450.3996284155</v>
      </c>
      <c r="Q626" s="14">
        <f t="shared" si="48"/>
        <v>710426.39962841547</v>
      </c>
      <c r="R626" s="11">
        <f t="shared" ca="1" si="49"/>
        <v>7</v>
      </c>
      <c r="S626" s="11" t="str">
        <f t="shared" si="50"/>
        <v>700-749</v>
      </c>
    </row>
    <row r="627" spans="1:19" x14ac:dyDescent="0.3">
      <c r="A627" s="11" t="s">
        <v>639</v>
      </c>
      <c r="B627" s="11" t="s">
        <v>1017</v>
      </c>
      <c r="C627" s="11">
        <v>25</v>
      </c>
      <c r="D627" s="11" t="s">
        <v>1035</v>
      </c>
      <c r="E627" s="11" t="s">
        <v>1037</v>
      </c>
      <c r="F627" s="12">
        <v>1083962</v>
      </c>
      <c r="G627" s="12">
        <v>205607</v>
      </c>
      <c r="H627" s="11">
        <v>10.85</v>
      </c>
      <c r="I627" s="11">
        <v>48</v>
      </c>
      <c r="J627" s="11">
        <v>812</v>
      </c>
      <c r="K627" s="11" t="s">
        <v>1042</v>
      </c>
      <c r="L627" s="11" t="s">
        <v>1044</v>
      </c>
      <c r="M627" s="13">
        <v>44940</v>
      </c>
      <c r="N627" s="11" t="s">
        <v>1046</v>
      </c>
      <c r="O627" s="14">
        <f t="shared" si="46"/>
        <v>5299.0554549835133</v>
      </c>
      <c r="P627" s="14">
        <f t="shared" si="47"/>
        <v>254354.66183920862</v>
      </c>
      <c r="Q627" s="14">
        <f t="shared" si="48"/>
        <v>48747.661839208624</v>
      </c>
      <c r="R627" s="11">
        <f t="shared" ca="1" si="49"/>
        <v>2</v>
      </c>
      <c r="S627" s="11" t="str">
        <f t="shared" si="50"/>
        <v>800-850</v>
      </c>
    </row>
    <row r="628" spans="1:19" x14ac:dyDescent="0.3">
      <c r="A628" s="11" t="s">
        <v>640</v>
      </c>
      <c r="B628" s="11" t="s">
        <v>1030</v>
      </c>
      <c r="C628" s="11">
        <v>28</v>
      </c>
      <c r="D628" s="11" t="s">
        <v>1035</v>
      </c>
      <c r="E628" s="11" t="s">
        <v>1038</v>
      </c>
      <c r="F628" s="12">
        <v>1237289</v>
      </c>
      <c r="G628" s="12">
        <v>423945</v>
      </c>
      <c r="H628" s="11">
        <v>11.36</v>
      </c>
      <c r="I628" s="11">
        <v>96</v>
      </c>
      <c r="J628" s="11">
        <v>719</v>
      </c>
      <c r="K628" s="11" t="s">
        <v>1039</v>
      </c>
      <c r="L628" s="11" t="s">
        <v>1044</v>
      </c>
      <c r="M628" s="13">
        <v>44608</v>
      </c>
      <c r="N628" s="11" t="s">
        <v>1048</v>
      </c>
      <c r="O628" s="14">
        <f t="shared" si="46"/>
        <v>6742.1048168163125</v>
      </c>
      <c r="P628" s="14">
        <f t="shared" si="47"/>
        <v>647242.06241436605</v>
      </c>
      <c r="Q628" s="14">
        <f t="shared" si="48"/>
        <v>223297.06241436605</v>
      </c>
      <c r="R628" s="11">
        <f t="shared" ca="1" si="49"/>
        <v>3</v>
      </c>
      <c r="S628" s="11" t="str">
        <f t="shared" si="50"/>
        <v>700-749</v>
      </c>
    </row>
    <row r="629" spans="1:19" x14ac:dyDescent="0.3">
      <c r="A629" s="11" t="s">
        <v>641</v>
      </c>
      <c r="B629" s="11" t="s">
        <v>1032</v>
      </c>
      <c r="C629" s="11">
        <v>59</v>
      </c>
      <c r="D629" s="11" t="s">
        <v>1034</v>
      </c>
      <c r="E629" s="11" t="s">
        <v>1038</v>
      </c>
      <c r="F629" s="12">
        <v>1783813</v>
      </c>
      <c r="G629" s="12">
        <v>678095</v>
      </c>
      <c r="H629" s="11">
        <v>7.64</v>
      </c>
      <c r="I629" s="11">
        <v>84</v>
      </c>
      <c r="J629" s="11">
        <v>601</v>
      </c>
      <c r="K629" s="11" t="s">
        <v>1040</v>
      </c>
      <c r="L629" s="11" t="s">
        <v>1044</v>
      </c>
      <c r="M629" s="13">
        <v>43855</v>
      </c>
      <c r="N629" s="11" t="s">
        <v>1046</v>
      </c>
      <c r="O629" s="14">
        <f t="shared" si="46"/>
        <v>10447.723578240155</v>
      </c>
      <c r="P629" s="14">
        <f t="shared" si="47"/>
        <v>877608.78057217295</v>
      </c>
      <c r="Q629" s="14">
        <f t="shared" si="48"/>
        <v>199513.78057217295</v>
      </c>
      <c r="R629" s="11">
        <f t="shared" ca="1" si="49"/>
        <v>5</v>
      </c>
      <c r="S629" s="11" t="str">
        <f t="shared" si="50"/>
        <v>600-649</v>
      </c>
    </row>
    <row r="630" spans="1:19" x14ac:dyDescent="0.3">
      <c r="A630" s="11" t="s">
        <v>642</v>
      </c>
      <c r="B630" s="11" t="s">
        <v>1027</v>
      </c>
      <c r="C630" s="11">
        <v>33</v>
      </c>
      <c r="D630" s="11" t="s">
        <v>1034</v>
      </c>
      <c r="E630" s="11" t="s">
        <v>1037</v>
      </c>
      <c r="F630" s="12">
        <v>1127441</v>
      </c>
      <c r="G630" s="12">
        <v>835752</v>
      </c>
      <c r="H630" s="11">
        <v>7.7</v>
      </c>
      <c r="I630" s="11">
        <v>60</v>
      </c>
      <c r="J630" s="11">
        <v>708</v>
      </c>
      <c r="K630" s="11" t="s">
        <v>1040</v>
      </c>
      <c r="L630" s="11" t="s">
        <v>1044</v>
      </c>
      <c r="M630" s="13">
        <v>45512</v>
      </c>
      <c r="N630" s="11" t="s">
        <v>1046</v>
      </c>
      <c r="O630" s="14">
        <f t="shared" si="46"/>
        <v>16826.298341869027</v>
      </c>
      <c r="P630" s="14">
        <f t="shared" si="47"/>
        <v>1009577.9005121416</v>
      </c>
      <c r="Q630" s="14">
        <f t="shared" si="48"/>
        <v>173825.90051214164</v>
      </c>
      <c r="R630" s="11">
        <f t="shared" ca="1" si="49"/>
        <v>1</v>
      </c>
      <c r="S630" s="11" t="str">
        <f t="shared" si="50"/>
        <v>700-749</v>
      </c>
    </row>
    <row r="631" spans="1:19" x14ac:dyDescent="0.3">
      <c r="A631" s="11" t="s">
        <v>643</v>
      </c>
      <c r="B631" s="11" t="s">
        <v>1033</v>
      </c>
      <c r="C631" s="11">
        <v>37</v>
      </c>
      <c r="D631" s="11" t="s">
        <v>1034</v>
      </c>
      <c r="E631" s="11" t="s">
        <v>1037</v>
      </c>
      <c r="F631" s="12">
        <v>763793</v>
      </c>
      <c r="G631" s="12">
        <v>832598</v>
      </c>
      <c r="H631" s="11">
        <v>11.05</v>
      </c>
      <c r="I631" s="11">
        <v>48</v>
      </c>
      <c r="J631" s="11">
        <v>617</v>
      </c>
      <c r="K631" s="11" t="s">
        <v>1041</v>
      </c>
      <c r="L631" s="11" t="s">
        <v>1044</v>
      </c>
      <c r="M631" s="13">
        <v>43263</v>
      </c>
      <c r="N631" s="11" t="s">
        <v>1047</v>
      </c>
      <c r="O631" s="14">
        <f t="shared" si="46"/>
        <v>21539.152764455808</v>
      </c>
      <c r="P631" s="14">
        <f t="shared" si="47"/>
        <v>1033879.3326938788</v>
      </c>
      <c r="Q631" s="14">
        <f t="shared" si="48"/>
        <v>201281.33269387879</v>
      </c>
      <c r="R631" s="11">
        <f t="shared" ca="1" si="49"/>
        <v>7</v>
      </c>
      <c r="S631" s="11" t="str">
        <f t="shared" si="50"/>
        <v>600-649</v>
      </c>
    </row>
    <row r="632" spans="1:19" x14ac:dyDescent="0.3">
      <c r="A632" s="11" t="s">
        <v>644</v>
      </c>
      <c r="B632" s="11" t="s">
        <v>1028</v>
      </c>
      <c r="C632" s="11">
        <v>27</v>
      </c>
      <c r="D632" s="11" t="s">
        <v>1035</v>
      </c>
      <c r="E632" s="11" t="s">
        <v>1036</v>
      </c>
      <c r="F632" s="12">
        <v>685569</v>
      </c>
      <c r="G632" s="12">
        <v>1200144</v>
      </c>
      <c r="H632" s="11">
        <v>13.57</v>
      </c>
      <c r="I632" s="11">
        <v>60</v>
      </c>
      <c r="J632" s="11">
        <v>708</v>
      </c>
      <c r="K632" s="11" t="s">
        <v>1039</v>
      </c>
      <c r="L632" s="11" t="s">
        <v>1043</v>
      </c>
      <c r="M632" s="13">
        <v>45269</v>
      </c>
      <c r="N632" s="11" t="s">
        <v>1045</v>
      </c>
      <c r="O632" s="14">
        <f t="shared" si="46"/>
        <v>27658.428134956303</v>
      </c>
      <c r="P632" s="14">
        <f t="shared" si="47"/>
        <v>1659505.6880973782</v>
      </c>
      <c r="Q632" s="14">
        <f t="shared" si="48"/>
        <v>459361.68809737824</v>
      </c>
      <c r="R632" s="11">
        <f t="shared" ca="1" si="49"/>
        <v>2</v>
      </c>
      <c r="S632" s="11" t="str">
        <f t="shared" si="50"/>
        <v>700-749</v>
      </c>
    </row>
    <row r="633" spans="1:19" x14ac:dyDescent="0.3">
      <c r="A633" s="11" t="s">
        <v>645</v>
      </c>
      <c r="B633" s="11" t="s">
        <v>1031</v>
      </c>
      <c r="C633" s="11">
        <v>59</v>
      </c>
      <c r="D633" s="11" t="s">
        <v>1035</v>
      </c>
      <c r="E633" s="11" t="s">
        <v>1038</v>
      </c>
      <c r="F633" s="12">
        <v>1726699</v>
      </c>
      <c r="G633" s="12">
        <v>333780</v>
      </c>
      <c r="H633" s="11">
        <v>14.85</v>
      </c>
      <c r="I633" s="11">
        <v>72</v>
      </c>
      <c r="J633" s="11">
        <v>677</v>
      </c>
      <c r="K633" s="11" t="s">
        <v>1042</v>
      </c>
      <c r="L633" s="11" t="s">
        <v>1044</v>
      </c>
      <c r="M633" s="13">
        <v>43109</v>
      </c>
      <c r="N633" s="11" t="s">
        <v>1045</v>
      </c>
      <c r="O633" s="14">
        <f t="shared" si="46"/>
        <v>7030.6212838764377</v>
      </c>
      <c r="P633" s="14">
        <f t="shared" si="47"/>
        <v>506204.73243910354</v>
      </c>
      <c r="Q633" s="14">
        <f t="shared" si="48"/>
        <v>172424.73243910354</v>
      </c>
      <c r="R633" s="11">
        <f t="shared" ca="1" si="49"/>
        <v>7</v>
      </c>
      <c r="S633" s="11" t="str">
        <f t="shared" si="50"/>
        <v>650-699</v>
      </c>
    </row>
    <row r="634" spans="1:19" x14ac:dyDescent="0.3">
      <c r="A634" s="11" t="s">
        <v>646</v>
      </c>
      <c r="B634" s="11" t="s">
        <v>1023</v>
      </c>
      <c r="C634" s="11">
        <v>55</v>
      </c>
      <c r="D634" s="11" t="s">
        <v>1035</v>
      </c>
      <c r="E634" s="11" t="s">
        <v>1038</v>
      </c>
      <c r="F634" s="12">
        <v>519715</v>
      </c>
      <c r="G634" s="12">
        <v>1358171</v>
      </c>
      <c r="H634" s="11">
        <v>13.57</v>
      </c>
      <c r="I634" s="11">
        <v>120</v>
      </c>
      <c r="J634" s="11">
        <v>637</v>
      </c>
      <c r="K634" s="11" t="s">
        <v>1039</v>
      </c>
      <c r="L634" s="11" t="s">
        <v>1044</v>
      </c>
      <c r="M634" s="13">
        <v>45471</v>
      </c>
      <c r="N634" s="11" t="s">
        <v>1048</v>
      </c>
      <c r="O634" s="14">
        <f t="shared" si="46"/>
        <v>20738.113577388489</v>
      </c>
      <c r="P634" s="14">
        <f t="shared" si="47"/>
        <v>2488573.6292866189</v>
      </c>
      <c r="Q634" s="14">
        <f t="shared" si="48"/>
        <v>1130402.6292866189</v>
      </c>
      <c r="R634" s="11">
        <f t="shared" ca="1" si="49"/>
        <v>1</v>
      </c>
      <c r="S634" s="11" t="str">
        <f t="shared" si="50"/>
        <v>600-649</v>
      </c>
    </row>
    <row r="635" spans="1:19" x14ac:dyDescent="0.3">
      <c r="A635" s="11" t="s">
        <v>647</v>
      </c>
      <c r="B635" s="11" t="s">
        <v>1030</v>
      </c>
      <c r="C635" s="11">
        <v>54</v>
      </c>
      <c r="D635" s="11" t="s">
        <v>1035</v>
      </c>
      <c r="E635" s="11" t="s">
        <v>1038</v>
      </c>
      <c r="F635" s="12">
        <v>889848</v>
      </c>
      <c r="G635" s="12">
        <v>1747633</v>
      </c>
      <c r="H635" s="11">
        <v>10.73</v>
      </c>
      <c r="I635" s="11">
        <v>48</v>
      </c>
      <c r="J635" s="11">
        <v>705</v>
      </c>
      <c r="K635" s="11" t="s">
        <v>1041</v>
      </c>
      <c r="L635" s="11" t="s">
        <v>1044</v>
      </c>
      <c r="M635" s="13">
        <v>43195</v>
      </c>
      <c r="N635" s="11" t="s">
        <v>1046</v>
      </c>
      <c r="O635" s="14">
        <f t="shared" si="46"/>
        <v>44939.680767128993</v>
      </c>
      <c r="P635" s="14">
        <f t="shared" si="47"/>
        <v>2157104.6768221916</v>
      </c>
      <c r="Q635" s="14">
        <f t="shared" si="48"/>
        <v>409471.67682219157</v>
      </c>
      <c r="R635" s="11">
        <f t="shared" ca="1" si="49"/>
        <v>7</v>
      </c>
      <c r="S635" s="11" t="str">
        <f t="shared" si="50"/>
        <v>700-749</v>
      </c>
    </row>
    <row r="636" spans="1:19" x14ac:dyDescent="0.3">
      <c r="A636" s="11" t="s">
        <v>648</v>
      </c>
      <c r="B636" s="11" t="s">
        <v>1020</v>
      </c>
      <c r="C636" s="11">
        <v>28</v>
      </c>
      <c r="D636" s="11" t="s">
        <v>1035</v>
      </c>
      <c r="E636" s="11" t="s">
        <v>1036</v>
      </c>
      <c r="F636" s="12">
        <v>658834</v>
      </c>
      <c r="G636" s="12">
        <v>1580045</v>
      </c>
      <c r="H636" s="11">
        <v>14.07</v>
      </c>
      <c r="I636" s="11">
        <v>120</v>
      </c>
      <c r="J636" s="11">
        <v>674</v>
      </c>
      <c r="K636" s="11" t="s">
        <v>1041</v>
      </c>
      <c r="L636" s="11" t="s">
        <v>1044</v>
      </c>
      <c r="M636" s="13">
        <v>44760</v>
      </c>
      <c r="N636" s="11" t="s">
        <v>1048</v>
      </c>
      <c r="O636" s="14">
        <f t="shared" si="46"/>
        <v>24599.340678868568</v>
      </c>
      <c r="P636" s="14">
        <f t="shared" si="47"/>
        <v>2951920.881464228</v>
      </c>
      <c r="Q636" s="14">
        <f t="shared" si="48"/>
        <v>1371875.881464228</v>
      </c>
      <c r="R636" s="11">
        <f t="shared" ca="1" si="49"/>
        <v>3</v>
      </c>
      <c r="S636" s="11" t="str">
        <f t="shared" si="50"/>
        <v>650-699</v>
      </c>
    </row>
    <row r="637" spans="1:19" x14ac:dyDescent="0.3">
      <c r="A637" s="11" t="s">
        <v>649</v>
      </c>
      <c r="B637" s="11" t="s">
        <v>1033</v>
      </c>
      <c r="C637" s="11">
        <v>44</v>
      </c>
      <c r="D637" s="11" t="s">
        <v>1035</v>
      </c>
      <c r="E637" s="11" t="s">
        <v>1036</v>
      </c>
      <c r="F637" s="12">
        <v>509734</v>
      </c>
      <c r="G637" s="12">
        <v>835680</v>
      </c>
      <c r="H637" s="11">
        <v>10.44</v>
      </c>
      <c r="I637" s="11">
        <v>84</v>
      </c>
      <c r="J637" s="11">
        <v>720</v>
      </c>
      <c r="K637" s="11" t="s">
        <v>1040</v>
      </c>
      <c r="L637" s="11" t="s">
        <v>1043</v>
      </c>
      <c r="M637" s="13">
        <v>44131</v>
      </c>
      <c r="N637" s="11" t="s">
        <v>1047</v>
      </c>
      <c r="O637" s="14">
        <f t="shared" si="46"/>
        <v>14064.004796292538</v>
      </c>
      <c r="P637" s="14">
        <f t="shared" si="47"/>
        <v>1181376.4028885732</v>
      </c>
      <c r="Q637" s="14">
        <f t="shared" si="48"/>
        <v>345696.40288857324</v>
      </c>
      <c r="R637" s="11">
        <f t="shared" ca="1" si="49"/>
        <v>5</v>
      </c>
      <c r="S637" s="11" t="str">
        <f t="shared" si="50"/>
        <v>700-749</v>
      </c>
    </row>
    <row r="638" spans="1:19" x14ac:dyDescent="0.3">
      <c r="A638" s="11" t="s">
        <v>650</v>
      </c>
      <c r="B638" s="11" t="s">
        <v>1017</v>
      </c>
      <c r="C638" s="11">
        <v>41</v>
      </c>
      <c r="D638" s="11" t="s">
        <v>1034</v>
      </c>
      <c r="E638" s="11" t="s">
        <v>1037</v>
      </c>
      <c r="F638" s="12">
        <v>1906223</v>
      </c>
      <c r="G638" s="12">
        <v>1803153</v>
      </c>
      <c r="H638" s="11">
        <v>8.17</v>
      </c>
      <c r="I638" s="11">
        <v>84</v>
      </c>
      <c r="J638" s="11">
        <v>733</v>
      </c>
      <c r="K638" s="11" t="s">
        <v>1041</v>
      </c>
      <c r="L638" s="11" t="s">
        <v>1044</v>
      </c>
      <c r="M638" s="13">
        <v>43410</v>
      </c>
      <c r="N638" s="11" t="s">
        <v>1046</v>
      </c>
      <c r="O638" s="14">
        <f t="shared" si="46"/>
        <v>28257.292481567983</v>
      </c>
      <c r="P638" s="14">
        <f t="shared" si="47"/>
        <v>2373612.5684517105</v>
      </c>
      <c r="Q638" s="14">
        <f t="shared" si="48"/>
        <v>570459.56845171051</v>
      </c>
      <c r="R638" s="11">
        <f t="shared" ca="1" si="49"/>
        <v>7</v>
      </c>
      <c r="S638" s="11" t="str">
        <f t="shared" si="50"/>
        <v>700-749</v>
      </c>
    </row>
    <row r="639" spans="1:19" x14ac:dyDescent="0.3">
      <c r="A639" s="11" t="s">
        <v>651</v>
      </c>
      <c r="B639" s="11" t="s">
        <v>1018</v>
      </c>
      <c r="C639" s="11">
        <v>44</v>
      </c>
      <c r="D639" s="11" t="s">
        <v>1034</v>
      </c>
      <c r="E639" s="11" t="s">
        <v>1038</v>
      </c>
      <c r="F639" s="12">
        <v>345249</v>
      </c>
      <c r="G639" s="12">
        <v>526215</v>
      </c>
      <c r="H639" s="11">
        <v>12.77</v>
      </c>
      <c r="I639" s="11">
        <v>48</v>
      </c>
      <c r="J639" s="11">
        <v>744</v>
      </c>
      <c r="K639" s="11" t="s">
        <v>1041</v>
      </c>
      <c r="L639" s="11" t="s">
        <v>1044</v>
      </c>
      <c r="M639" s="13">
        <v>43278</v>
      </c>
      <c r="N639" s="11" t="s">
        <v>1046</v>
      </c>
      <c r="O639" s="14">
        <f t="shared" si="46"/>
        <v>14057.034860598857</v>
      </c>
      <c r="P639" s="14">
        <f t="shared" si="47"/>
        <v>674737.67330874514</v>
      </c>
      <c r="Q639" s="14">
        <f t="shared" si="48"/>
        <v>148522.67330874514</v>
      </c>
      <c r="R639" s="11">
        <f t="shared" ca="1" si="49"/>
        <v>7</v>
      </c>
      <c r="S639" s="11" t="str">
        <f t="shared" si="50"/>
        <v>700-749</v>
      </c>
    </row>
    <row r="640" spans="1:19" x14ac:dyDescent="0.3">
      <c r="A640" s="11" t="s">
        <v>652</v>
      </c>
      <c r="B640" s="11" t="s">
        <v>1022</v>
      </c>
      <c r="C640" s="11">
        <v>51</v>
      </c>
      <c r="D640" s="11" t="s">
        <v>1035</v>
      </c>
      <c r="E640" s="11" t="s">
        <v>1038</v>
      </c>
      <c r="F640" s="12">
        <v>390472</v>
      </c>
      <c r="G640" s="12">
        <v>1755196</v>
      </c>
      <c r="H640" s="11">
        <v>13.54</v>
      </c>
      <c r="I640" s="11">
        <v>72</v>
      </c>
      <c r="J640" s="11">
        <v>622</v>
      </c>
      <c r="K640" s="11" t="s">
        <v>1041</v>
      </c>
      <c r="L640" s="11" t="s">
        <v>1044</v>
      </c>
      <c r="M640" s="13">
        <v>45026</v>
      </c>
      <c r="N640" s="11" t="s">
        <v>1046</v>
      </c>
      <c r="O640" s="14">
        <f t="shared" si="46"/>
        <v>35736.200967919409</v>
      </c>
      <c r="P640" s="14">
        <f t="shared" si="47"/>
        <v>2573006.4696901976</v>
      </c>
      <c r="Q640" s="14">
        <f t="shared" si="48"/>
        <v>817810.46969019761</v>
      </c>
      <c r="R640" s="11">
        <f t="shared" ca="1" si="49"/>
        <v>2</v>
      </c>
      <c r="S640" s="11" t="str">
        <f t="shared" si="50"/>
        <v>600-649</v>
      </c>
    </row>
    <row r="641" spans="1:19" x14ac:dyDescent="0.3">
      <c r="A641" s="11" t="s">
        <v>653</v>
      </c>
      <c r="B641" s="11" t="s">
        <v>1019</v>
      </c>
      <c r="C641" s="11">
        <v>30</v>
      </c>
      <c r="D641" s="11" t="s">
        <v>1034</v>
      </c>
      <c r="E641" s="11" t="s">
        <v>1036</v>
      </c>
      <c r="F641" s="12">
        <v>593989</v>
      </c>
      <c r="G641" s="12">
        <v>1393772</v>
      </c>
      <c r="H641" s="11">
        <v>13.89</v>
      </c>
      <c r="I641" s="11">
        <v>48</v>
      </c>
      <c r="J641" s="11">
        <v>624</v>
      </c>
      <c r="K641" s="11" t="s">
        <v>1042</v>
      </c>
      <c r="L641" s="11" t="s">
        <v>1043</v>
      </c>
      <c r="M641" s="13">
        <v>44178</v>
      </c>
      <c r="N641" s="11" t="s">
        <v>1045</v>
      </c>
      <c r="O641" s="14">
        <f t="shared" si="46"/>
        <v>38010.014887111043</v>
      </c>
      <c r="P641" s="14">
        <f t="shared" si="47"/>
        <v>1824480.7145813301</v>
      </c>
      <c r="Q641" s="14">
        <f t="shared" si="48"/>
        <v>430708.71458133007</v>
      </c>
      <c r="R641" s="11">
        <f t="shared" ca="1" si="49"/>
        <v>5</v>
      </c>
      <c r="S641" s="11" t="str">
        <f t="shared" si="50"/>
        <v>600-649</v>
      </c>
    </row>
    <row r="642" spans="1:19" x14ac:dyDescent="0.3">
      <c r="A642" s="11" t="s">
        <v>654</v>
      </c>
      <c r="B642" s="11" t="s">
        <v>1022</v>
      </c>
      <c r="C642" s="11">
        <v>34</v>
      </c>
      <c r="D642" s="11" t="s">
        <v>1035</v>
      </c>
      <c r="E642" s="11" t="s">
        <v>1036</v>
      </c>
      <c r="F642" s="12">
        <v>1134277</v>
      </c>
      <c r="G642" s="12">
        <v>1467447</v>
      </c>
      <c r="H642" s="11">
        <v>8.36</v>
      </c>
      <c r="I642" s="11">
        <v>48</v>
      </c>
      <c r="J642" s="11">
        <v>617</v>
      </c>
      <c r="K642" s="11" t="s">
        <v>1039</v>
      </c>
      <c r="L642" s="11" t="s">
        <v>1043</v>
      </c>
      <c r="M642" s="13">
        <v>44238</v>
      </c>
      <c r="N642" s="11" t="s">
        <v>1047</v>
      </c>
      <c r="O642" s="14">
        <f t="shared" si="46"/>
        <v>36073.163211025174</v>
      </c>
      <c r="P642" s="14">
        <f t="shared" si="47"/>
        <v>1731511.8341292082</v>
      </c>
      <c r="Q642" s="14">
        <f t="shared" si="48"/>
        <v>264064.83412920823</v>
      </c>
      <c r="R642" s="11">
        <f t="shared" ca="1" si="49"/>
        <v>4</v>
      </c>
      <c r="S642" s="11" t="str">
        <f t="shared" si="50"/>
        <v>600-649</v>
      </c>
    </row>
    <row r="643" spans="1:19" x14ac:dyDescent="0.3">
      <c r="A643" s="11" t="s">
        <v>655</v>
      </c>
      <c r="B643" s="11" t="s">
        <v>1025</v>
      </c>
      <c r="C643" s="11">
        <v>48</v>
      </c>
      <c r="D643" s="11" t="s">
        <v>1035</v>
      </c>
      <c r="E643" s="11" t="s">
        <v>1038</v>
      </c>
      <c r="F643" s="12">
        <v>1871891</v>
      </c>
      <c r="G643" s="12">
        <v>1804899</v>
      </c>
      <c r="H643" s="11">
        <v>8.59</v>
      </c>
      <c r="I643" s="11">
        <v>60</v>
      </c>
      <c r="J643" s="11">
        <v>617</v>
      </c>
      <c r="K643" s="11" t="s">
        <v>1040</v>
      </c>
      <c r="L643" s="11" t="s">
        <v>1044</v>
      </c>
      <c r="M643" s="13">
        <v>44518</v>
      </c>
      <c r="N643" s="11" t="s">
        <v>1048</v>
      </c>
      <c r="O643" s="14">
        <f t="shared" ref="O643:O706" si="51">PMT(H643/1200,I643,-G643)</f>
        <v>37108.606612218078</v>
      </c>
      <c r="P643" s="14">
        <f t="shared" ref="P643:P706" si="52">O643*I643</f>
        <v>2226516.3967330847</v>
      </c>
      <c r="Q643" s="14">
        <f t="shared" ref="Q643:Q706" si="53">P643-G643</f>
        <v>421617.39673308469</v>
      </c>
      <c r="R643" s="11">
        <f t="shared" ref="R643:R706" ca="1" si="54">(YEAR(TODAY())-YEAR(M643))</f>
        <v>4</v>
      </c>
      <c r="S643" s="11" t="str">
        <f t="shared" ref="S643:S706" si="55">IF(J643&lt;650,"600-649",
IF(J643&lt;700,"650-699",
IF(J643&lt;750,"700-749",
IF(J643&lt;800,"750-799","800-850"))))</f>
        <v>600-649</v>
      </c>
    </row>
    <row r="644" spans="1:19" x14ac:dyDescent="0.3">
      <c r="A644" s="11" t="s">
        <v>656</v>
      </c>
      <c r="B644" s="11" t="s">
        <v>1032</v>
      </c>
      <c r="C644" s="11">
        <v>52</v>
      </c>
      <c r="D644" s="11" t="s">
        <v>1034</v>
      </c>
      <c r="E644" s="11" t="s">
        <v>1036</v>
      </c>
      <c r="F644" s="12">
        <v>1999544</v>
      </c>
      <c r="G644" s="12">
        <v>1709333</v>
      </c>
      <c r="H644" s="11">
        <v>12.12</v>
      </c>
      <c r="I644" s="11">
        <v>84</v>
      </c>
      <c r="J644" s="11">
        <v>669</v>
      </c>
      <c r="K644" s="11" t="s">
        <v>1040</v>
      </c>
      <c r="L644" s="11" t="s">
        <v>1044</v>
      </c>
      <c r="M644" s="13">
        <v>44073</v>
      </c>
      <c r="N644" s="11" t="s">
        <v>1047</v>
      </c>
      <c r="O644" s="14">
        <f t="shared" si="51"/>
        <v>30284.203144863106</v>
      </c>
      <c r="P644" s="14">
        <f t="shared" si="52"/>
        <v>2543873.0641685007</v>
      </c>
      <c r="Q644" s="14">
        <f t="shared" si="53"/>
        <v>834540.06416850071</v>
      </c>
      <c r="R644" s="11">
        <f t="shared" ca="1" si="54"/>
        <v>5</v>
      </c>
      <c r="S644" s="11" t="str">
        <f t="shared" si="55"/>
        <v>650-699</v>
      </c>
    </row>
    <row r="645" spans="1:19" x14ac:dyDescent="0.3">
      <c r="A645" s="11" t="s">
        <v>657</v>
      </c>
      <c r="B645" s="11" t="s">
        <v>1031</v>
      </c>
      <c r="C645" s="11">
        <v>54</v>
      </c>
      <c r="D645" s="11" t="s">
        <v>1035</v>
      </c>
      <c r="E645" s="11" t="s">
        <v>1037</v>
      </c>
      <c r="F645" s="12">
        <v>369559</v>
      </c>
      <c r="G645" s="12">
        <v>1161090</v>
      </c>
      <c r="H645" s="11">
        <v>12.14</v>
      </c>
      <c r="I645" s="11">
        <v>84</v>
      </c>
      <c r="J645" s="11">
        <v>775</v>
      </c>
      <c r="K645" s="11" t="s">
        <v>1039</v>
      </c>
      <c r="L645" s="11" t="s">
        <v>1044</v>
      </c>
      <c r="M645" s="13">
        <v>45496</v>
      </c>
      <c r="N645" s="11" t="s">
        <v>1047</v>
      </c>
      <c r="O645" s="14">
        <f t="shared" si="51"/>
        <v>20583.443385859533</v>
      </c>
      <c r="P645" s="14">
        <f t="shared" si="52"/>
        <v>1729009.2444122008</v>
      </c>
      <c r="Q645" s="14">
        <f t="shared" si="53"/>
        <v>567919.24441220076</v>
      </c>
      <c r="R645" s="11">
        <f t="shared" ca="1" si="54"/>
        <v>1</v>
      </c>
      <c r="S645" s="11" t="str">
        <f t="shared" si="55"/>
        <v>750-799</v>
      </c>
    </row>
    <row r="646" spans="1:19" x14ac:dyDescent="0.3">
      <c r="A646" s="11" t="s">
        <v>658</v>
      </c>
      <c r="B646" s="11" t="s">
        <v>1019</v>
      </c>
      <c r="C646" s="11">
        <v>48</v>
      </c>
      <c r="D646" s="11" t="s">
        <v>1034</v>
      </c>
      <c r="E646" s="11" t="s">
        <v>1037</v>
      </c>
      <c r="F646" s="12">
        <v>1737315</v>
      </c>
      <c r="G646" s="12">
        <v>1666733</v>
      </c>
      <c r="H646" s="11">
        <v>11.88</v>
      </c>
      <c r="I646" s="11">
        <v>36</v>
      </c>
      <c r="J646" s="11">
        <v>731</v>
      </c>
      <c r="K646" s="11" t="s">
        <v>1039</v>
      </c>
      <c r="L646" s="11" t="s">
        <v>1044</v>
      </c>
      <c r="M646" s="13">
        <v>44615</v>
      </c>
      <c r="N646" s="11" t="s">
        <v>1046</v>
      </c>
      <c r="O646" s="14">
        <f t="shared" si="51"/>
        <v>55263.907096328105</v>
      </c>
      <c r="P646" s="14">
        <f t="shared" si="52"/>
        <v>1989500.6554678117</v>
      </c>
      <c r="Q646" s="14">
        <f t="shared" si="53"/>
        <v>322767.65546781174</v>
      </c>
      <c r="R646" s="11">
        <f t="shared" ca="1" si="54"/>
        <v>3</v>
      </c>
      <c r="S646" s="11" t="str">
        <f t="shared" si="55"/>
        <v>700-749</v>
      </c>
    </row>
    <row r="647" spans="1:19" x14ac:dyDescent="0.3">
      <c r="A647" s="11" t="s">
        <v>659</v>
      </c>
      <c r="B647" s="11" t="s">
        <v>1014</v>
      </c>
      <c r="C647" s="11">
        <v>57</v>
      </c>
      <c r="D647" s="11" t="s">
        <v>1035</v>
      </c>
      <c r="E647" s="11" t="s">
        <v>1038</v>
      </c>
      <c r="F647" s="12">
        <v>1205435</v>
      </c>
      <c r="G647" s="12">
        <v>378198</v>
      </c>
      <c r="H647" s="11">
        <v>13.95</v>
      </c>
      <c r="I647" s="11">
        <v>72</v>
      </c>
      <c r="J647" s="11">
        <v>679</v>
      </c>
      <c r="K647" s="11" t="s">
        <v>1041</v>
      </c>
      <c r="L647" s="11" t="s">
        <v>1044</v>
      </c>
      <c r="M647" s="13">
        <v>43671</v>
      </c>
      <c r="N647" s="11" t="s">
        <v>1048</v>
      </c>
      <c r="O647" s="14">
        <f t="shared" si="51"/>
        <v>7782.9274252420264</v>
      </c>
      <c r="P647" s="14">
        <f t="shared" si="52"/>
        <v>560370.77461742586</v>
      </c>
      <c r="Q647" s="14">
        <f t="shared" si="53"/>
        <v>182172.77461742586</v>
      </c>
      <c r="R647" s="11">
        <f t="shared" ca="1" si="54"/>
        <v>6</v>
      </c>
      <c r="S647" s="11" t="str">
        <f t="shared" si="55"/>
        <v>650-699</v>
      </c>
    </row>
    <row r="648" spans="1:19" x14ac:dyDescent="0.3">
      <c r="A648" s="11" t="s">
        <v>660</v>
      </c>
      <c r="B648" s="11" t="s">
        <v>1021</v>
      </c>
      <c r="C648" s="11">
        <v>30</v>
      </c>
      <c r="D648" s="11" t="s">
        <v>1035</v>
      </c>
      <c r="E648" s="11" t="s">
        <v>1038</v>
      </c>
      <c r="F648" s="12">
        <v>1599495</v>
      </c>
      <c r="G648" s="12">
        <v>338793</v>
      </c>
      <c r="H648" s="11">
        <v>12.59</v>
      </c>
      <c r="I648" s="11">
        <v>96</v>
      </c>
      <c r="J648" s="11">
        <v>836</v>
      </c>
      <c r="K648" s="11" t="s">
        <v>1040</v>
      </c>
      <c r="L648" s="11" t="s">
        <v>1044</v>
      </c>
      <c r="M648" s="13">
        <v>44285</v>
      </c>
      <c r="N648" s="11" t="s">
        <v>1048</v>
      </c>
      <c r="O648" s="14">
        <f t="shared" si="51"/>
        <v>5616.7633110238758</v>
      </c>
      <c r="P648" s="14">
        <f t="shared" si="52"/>
        <v>539209.2778582921</v>
      </c>
      <c r="Q648" s="14">
        <f t="shared" si="53"/>
        <v>200416.2778582921</v>
      </c>
      <c r="R648" s="11">
        <f t="shared" ca="1" si="54"/>
        <v>4</v>
      </c>
      <c r="S648" s="11" t="str">
        <f t="shared" si="55"/>
        <v>800-850</v>
      </c>
    </row>
    <row r="649" spans="1:19" x14ac:dyDescent="0.3">
      <c r="A649" s="11" t="s">
        <v>661</v>
      </c>
      <c r="B649" s="11" t="s">
        <v>1021</v>
      </c>
      <c r="C649" s="11">
        <v>53</v>
      </c>
      <c r="D649" s="11" t="s">
        <v>1034</v>
      </c>
      <c r="E649" s="11" t="s">
        <v>1037</v>
      </c>
      <c r="F649" s="12">
        <v>1943511</v>
      </c>
      <c r="G649" s="12">
        <v>634230</v>
      </c>
      <c r="H649" s="11">
        <v>12.29</v>
      </c>
      <c r="I649" s="11">
        <v>72</v>
      </c>
      <c r="J649" s="11">
        <v>697</v>
      </c>
      <c r="K649" s="11" t="s">
        <v>1041</v>
      </c>
      <c r="L649" s="11" t="s">
        <v>1043</v>
      </c>
      <c r="M649" s="13">
        <v>45394</v>
      </c>
      <c r="N649" s="11" t="s">
        <v>1046</v>
      </c>
      <c r="O649" s="14">
        <f t="shared" si="51"/>
        <v>12495.173010678274</v>
      </c>
      <c r="P649" s="14">
        <f t="shared" si="52"/>
        <v>899652.45676883578</v>
      </c>
      <c r="Q649" s="14">
        <f t="shared" si="53"/>
        <v>265422.45676883578</v>
      </c>
      <c r="R649" s="11">
        <f t="shared" ca="1" si="54"/>
        <v>1</v>
      </c>
      <c r="S649" s="11" t="str">
        <f t="shared" si="55"/>
        <v>650-699</v>
      </c>
    </row>
    <row r="650" spans="1:19" x14ac:dyDescent="0.3">
      <c r="A650" s="11" t="s">
        <v>662</v>
      </c>
      <c r="B650" s="11" t="s">
        <v>1023</v>
      </c>
      <c r="C650" s="11">
        <v>45</v>
      </c>
      <c r="D650" s="11" t="s">
        <v>1034</v>
      </c>
      <c r="E650" s="11" t="s">
        <v>1038</v>
      </c>
      <c r="F650" s="12">
        <v>794193</v>
      </c>
      <c r="G650" s="12">
        <v>450861</v>
      </c>
      <c r="H650" s="11">
        <v>10.08</v>
      </c>
      <c r="I650" s="11">
        <v>48</v>
      </c>
      <c r="J650" s="11">
        <v>651</v>
      </c>
      <c r="K650" s="11" t="s">
        <v>1041</v>
      </c>
      <c r="L650" s="11" t="s">
        <v>1044</v>
      </c>
      <c r="M650" s="13">
        <v>43456</v>
      </c>
      <c r="N650" s="11" t="s">
        <v>1048</v>
      </c>
      <c r="O650" s="14">
        <f t="shared" si="51"/>
        <v>11452.329383082812</v>
      </c>
      <c r="P650" s="14">
        <f t="shared" si="52"/>
        <v>549711.81038797495</v>
      </c>
      <c r="Q650" s="14">
        <f t="shared" si="53"/>
        <v>98850.810387974954</v>
      </c>
      <c r="R650" s="11">
        <f t="shared" ca="1" si="54"/>
        <v>7</v>
      </c>
      <c r="S650" s="11" t="str">
        <f t="shared" si="55"/>
        <v>650-699</v>
      </c>
    </row>
    <row r="651" spans="1:19" x14ac:dyDescent="0.3">
      <c r="A651" s="11" t="s">
        <v>663</v>
      </c>
      <c r="B651" s="11" t="s">
        <v>1025</v>
      </c>
      <c r="C651" s="11">
        <v>29</v>
      </c>
      <c r="D651" s="11" t="s">
        <v>1035</v>
      </c>
      <c r="E651" s="11" t="s">
        <v>1037</v>
      </c>
      <c r="F651" s="12">
        <v>1776654</v>
      </c>
      <c r="G651" s="12">
        <v>534170</v>
      </c>
      <c r="H651" s="11">
        <v>7.92</v>
      </c>
      <c r="I651" s="11">
        <v>84</v>
      </c>
      <c r="J651" s="11">
        <v>830</v>
      </c>
      <c r="K651" s="11" t="s">
        <v>1040</v>
      </c>
      <c r="L651" s="11" t="s">
        <v>1044</v>
      </c>
      <c r="M651" s="13">
        <v>43376</v>
      </c>
      <c r="N651" s="11" t="s">
        <v>1045</v>
      </c>
      <c r="O651" s="14">
        <f t="shared" si="51"/>
        <v>8304.4136617485692</v>
      </c>
      <c r="P651" s="14">
        <f t="shared" si="52"/>
        <v>697570.74758687976</v>
      </c>
      <c r="Q651" s="14">
        <f t="shared" si="53"/>
        <v>163400.74758687976</v>
      </c>
      <c r="R651" s="11">
        <f t="shared" ca="1" si="54"/>
        <v>7</v>
      </c>
      <c r="S651" s="11" t="str">
        <f t="shared" si="55"/>
        <v>800-850</v>
      </c>
    </row>
    <row r="652" spans="1:19" x14ac:dyDescent="0.3">
      <c r="A652" s="11" t="s">
        <v>664</v>
      </c>
      <c r="B652" s="11" t="s">
        <v>1020</v>
      </c>
      <c r="C652" s="11">
        <v>43</v>
      </c>
      <c r="D652" s="11" t="s">
        <v>1034</v>
      </c>
      <c r="E652" s="11" t="s">
        <v>1037</v>
      </c>
      <c r="F652" s="12">
        <v>775546</v>
      </c>
      <c r="G652" s="12">
        <v>962484</v>
      </c>
      <c r="H652" s="11">
        <v>13.35</v>
      </c>
      <c r="I652" s="11">
        <v>36</v>
      </c>
      <c r="J652" s="11">
        <v>824</v>
      </c>
      <c r="K652" s="11" t="s">
        <v>1042</v>
      </c>
      <c r="L652" s="11" t="s">
        <v>1043</v>
      </c>
      <c r="M652" s="13">
        <v>45156</v>
      </c>
      <c r="N652" s="11" t="s">
        <v>1046</v>
      </c>
      <c r="O652" s="14">
        <f t="shared" si="51"/>
        <v>32592.384816075657</v>
      </c>
      <c r="P652" s="14">
        <f t="shared" si="52"/>
        <v>1173325.8533787236</v>
      </c>
      <c r="Q652" s="14">
        <f t="shared" si="53"/>
        <v>210841.85337872361</v>
      </c>
      <c r="R652" s="11">
        <f t="shared" ca="1" si="54"/>
        <v>2</v>
      </c>
      <c r="S652" s="11" t="str">
        <f t="shared" si="55"/>
        <v>800-850</v>
      </c>
    </row>
    <row r="653" spans="1:19" x14ac:dyDescent="0.3">
      <c r="A653" s="11" t="s">
        <v>665</v>
      </c>
      <c r="B653" s="11" t="s">
        <v>1021</v>
      </c>
      <c r="C653" s="11">
        <v>44</v>
      </c>
      <c r="D653" s="11" t="s">
        <v>1034</v>
      </c>
      <c r="E653" s="11" t="s">
        <v>1036</v>
      </c>
      <c r="F653" s="12">
        <v>755719</v>
      </c>
      <c r="G653" s="12">
        <v>1475468</v>
      </c>
      <c r="H653" s="11">
        <v>14.07</v>
      </c>
      <c r="I653" s="11">
        <v>36</v>
      </c>
      <c r="J653" s="11">
        <v>753</v>
      </c>
      <c r="K653" s="11" t="s">
        <v>1042</v>
      </c>
      <c r="L653" s="11" t="s">
        <v>1044</v>
      </c>
      <c r="M653" s="13">
        <v>44357</v>
      </c>
      <c r="N653" s="11" t="s">
        <v>1046</v>
      </c>
      <c r="O653" s="14">
        <f t="shared" si="51"/>
        <v>50478.177037556226</v>
      </c>
      <c r="P653" s="14">
        <f t="shared" si="52"/>
        <v>1817214.3733520242</v>
      </c>
      <c r="Q653" s="14">
        <f t="shared" si="53"/>
        <v>341746.37335202424</v>
      </c>
      <c r="R653" s="11">
        <f t="shared" ca="1" si="54"/>
        <v>4</v>
      </c>
      <c r="S653" s="11" t="str">
        <f t="shared" si="55"/>
        <v>750-799</v>
      </c>
    </row>
    <row r="654" spans="1:19" x14ac:dyDescent="0.3">
      <c r="A654" s="11" t="s">
        <v>666</v>
      </c>
      <c r="B654" s="11" t="s">
        <v>1029</v>
      </c>
      <c r="C654" s="11">
        <v>36</v>
      </c>
      <c r="D654" s="11" t="s">
        <v>1035</v>
      </c>
      <c r="E654" s="11" t="s">
        <v>1037</v>
      </c>
      <c r="F654" s="12">
        <v>1971347</v>
      </c>
      <c r="G654" s="12">
        <v>987678</v>
      </c>
      <c r="H654" s="11">
        <v>7.65</v>
      </c>
      <c r="I654" s="11">
        <v>36</v>
      </c>
      <c r="J654" s="11">
        <v>721</v>
      </c>
      <c r="K654" s="11" t="s">
        <v>1040</v>
      </c>
      <c r="L654" s="11" t="s">
        <v>1044</v>
      </c>
      <c r="M654" s="13">
        <v>43279</v>
      </c>
      <c r="N654" s="11" t="s">
        <v>1047</v>
      </c>
      <c r="O654" s="14">
        <f t="shared" si="51"/>
        <v>30791.014424662466</v>
      </c>
      <c r="P654" s="14">
        <f t="shared" si="52"/>
        <v>1108476.5192878488</v>
      </c>
      <c r="Q654" s="14">
        <f t="shared" si="53"/>
        <v>120798.51928784885</v>
      </c>
      <c r="R654" s="11">
        <f t="shared" ca="1" si="54"/>
        <v>7</v>
      </c>
      <c r="S654" s="11" t="str">
        <f t="shared" si="55"/>
        <v>700-749</v>
      </c>
    </row>
    <row r="655" spans="1:19" x14ac:dyDescent="0.3">
      <c r="A655" s="11" t="s">
        <v>667</v>
      </c>
      <c r="B655" s="11" t="s">
        <v>1028</v>
      </c>
      <c r="C655" s="11">
        <v>36</v>
      </c>
      <c r="D655" s="11" t="s">
        <v>1034</v>
      </c>
      <c r="E655" s="11" t="s">
        <v>1037</v>
      </c>
      <c r="F655" s="12">
        <v>1431702</v>
      </c>
      <c r="G655" s="12">
        <v>826102</v>
      </c>
      <c r="H655" s="11">
        <v>13.62</v>
      </c>
      <c r="I655" s="11">
        <v>120</v>
      </c>
      <c r="J655" s="11">
        <v>781</v>
      </c>
      <c r="K655" s="11" t="s">
        <v>1040</v>
      </c>
      <c r="L655" s="11" t="s">
        <v>1044</v>
      </c>
      <c r="M655" s="13">
        <v>45467</v>
      </c>
      <c r="N655" s="11" t="s">
        <v>1046</v>
      </c>
      <c r="O655" s="14">
        <f t="shared" si="51"/>
        <v>12638.5188543407</v>
      </c>
      <c r="P655" s="14">
        <f t="shared" si="52"/>
        <v>1516622.2625208839</v>
      </c>
      <c r="Q655" s="14">
        <f t="shared" si="53"/>
        <v>690520.26252088393</v>
      </c>
      <c r="R655" s="11">
        <f t="shared" ca="1" si="54"/>
        <v>1</v>
      </c>
      <c r="S655" s="11" t="str">
        <f t="shared" si="55"/>
        <v>750-799</v>
      </c>
    </row>
    <row r="656" spans="1:19" x14ac:dyDescent="0.3">
      <c r="A656" s="11" t="s">
        <v>668</v>
      </c>
      <c r="B656" s="11" t="s">
        <v>1027</v>
      </c>
      <c r="C656" s="11">
        <v>30</v>
      </c>
      <c r="D656" s="11" t="s">
        <v>1035</v>
      </c>
      <c r="E656" s="11" t="s">
        <v>1038</v>
      </c>
      <c r="F656" s="12">
        <v>1938960</v>
      </c>
      <c r="G656" s="12">
        <v>468798</v>
      </c>
      <c r="H656" s="11">
        <v>10.67</v>
      </c>
      <c r="I656" s="11">
        <v>84</v>
      </c>
      <c r="J656" s="11">
        <v>813</v>
      </c>
      <c r="K656" s="11" t="s">
        <v>1040</v>
      </c>
      <c r="L656" s="11" t="s">
        <v>1044</v>
      </c>
      <c r="M656" s="13">
        <v>45538</v>
      </c>
      <c r="N656" s="11" t="s">
        <v>1046</v>
      </c>
      <c r="O656" s="14">
        <f t="shared" si="51"/>
        <v>7945.8533299921901</v>
      </c>
      <c r="P656" s="14">
        <f t="shared" si="52"/>
        <v>667451.67971934401</v>
      </c>
      <c r="Q656" s="14">
        <f t="shared" si="53"/>
        <v>198653.67971934401</v>
      </c>
      <c r="R656" s="11">
        <f t="shared" ca="1" si="54"/>
        <v>1</v>
      </c>
      <c r="S656" s="11" t="str">
        <f t="shared" si="55"/>
        <v>800-850</v>
      </c>
    </row>
    <row r="657" spans="1:19" x14ac:dyDescent="0.3">
      <c r="A657" s="11" t="s">
        <v>669</v>
      </c>
      <c r="B657" s="11" t="s">
        <v>1016</v>
      </c>
      <c r="C657" s="11">
        <v>32</v>
      </c>
      <c r="D657" s="11" t="s">
        <v>1034</v>
      </c>
      <c r="E657" s="11" t="s">
        <v>1036</v>
      </c>
      <c r="F657" s="12">
        <v>1153454</v>
      </c>
      <c r="G657" s="12">
        <v>983987</v>
      </c>
      <c r="H657" s="11">
        <v>13.54</v>
      </c>
      <c r="I657" s="11">
        <v>36</v>
      </c>
      <c r="J657" s="11">
        <v>751</v>
      </c>
      <c r="K657" s="11" t="s">
        <v>1041</v>
      </c>
      <c r="L657" s="11" t="s">
        <v>1044</v>
      </c>
      <c r="M657" s="13">
        <v>43124</v>
      </c>
      <c r="N657" s="11" t="s">
        <v>1046</v>
      </c>
      <c r="O657" s="14">
        <f t="shared" si="51"/>
        <v>33410.922074734866</v>
      </c>
      <c r="P657" s="14">
        <f t="shared" si="52"/>
        <v>1202793.1946904552</v>
      </c>
      <c r="Q657" s="14">
        <f t="shared" si="53"/>
        <v>218806.19469045522</v>
      </c>
      <c r="R657" s="11">
        <f t="shared" ca="1" si="54"/>
        <v>7</v>
      </c>
      <c r="S657" s="11" t="str">
        <f t="shared" si="55"/>
        <v>750-799</v>
      </c>
    </row>
    <row r="658" spans="1:19" x14ac:dyDescent="0.3">
      <c r="A658" s="11" t="s">
        <v>670</v>
      </c>
      <c r="B658" s="11" t="s">
        <v>1016</v>
      </c>
      <c r="C658" s="11">
        <v>39</v>
      </c>
      <c r="D658" s="11" t="s">
        <v>1035</v>
      </c>
      <c r="E658" s="11" t="s">
        <v>1037</v>
      </c>
      <c r="F658" s="12">
        <v>853247</v>
      </c>
      <c r="G658" s="12">
        <v>646857</v>
      </c>
      <c r="H658" s="11">
        <v>10.52</v>
      </c>
      <c r="I658" s="11">
        <v>48</v>
      </c>
      <c r="J658" s="11">
        <v>811</v>
      </c>
      <c r="K658" s="11" t="s">
        <v>1039</v>
      </c>
      <c r="L658" s="11" t="s">
        <v>1044</v>
      </c>
      <c r="M658" s="13">
        <v>45554</v>
      </c>
      <c r="N658" s="11" t="s">
        <v>1047</v>
      </c>
      <c r="O658" s="14">
        <f t="shared" si="51"/>
        <v>16567.973977910679</v>
      </c>
      <c r="P658" s="14">
        <f t="shared" si="52"/>
        <v>795262.75093971263</v>
      </c>
      <c r="Q658" s="14">
        <f t="shared" si="53"/>
        <v>148405.75093971263</v>
      </c>
      <c r="R658" s="11">
        <f t="shared" ca="1" si="54"/>
        <v>1</v>
      </c>
      <c r="S658" s="11" t="str">
        <f t="shared" si="55"/>
        <v>800-850</v>
      </c>
    </row>
    <row r="659" spans="1:19" x14ac:dyDescent="0.3">
      <c r="A659" s="11" t="s">
        <v>671</v>
      </c>
      <c r="B659" s="11" t="s">
        <v>1029</v>
      </c>
      <c r="C659" s="11">
        <v>45</v>
      </c>
      <c r="D659" s="11" t="s">
        <v>1034</v>
      </c>
      <c r="E659" s="11" t="s">
        <v>1038</v>
      </c>
      <c r="F659" s="12">
        <v>964831</v>
      </c>
      <c r="G659" s="12">
        <v>1162545</v>
      </c>
      <c r="H659" s="11">
        <v>14.05</v>
      </c>
      <c r="I659" s="11">
        <v>84</v>
      </c>
      <c r="J659" s="11">
        <v>634</v>
      </c>
      <c r="K659" s="11" t="s">
        <v>1041</v>
      </c>
      <c r="L659" s="11" t="s">
        <v>1044</v>
      </c>
      <c r="M659" s="13">
        <v>44421</v>
      </c>
      <c r="N659" s="11" t="s">
        <v>1045</v>
      </c>
      <c r="O659" s="14">
        <f t="shared" si="51"/>
        <v>21818.229887030851</v>
      </c>
      <c r="P659" s="14">
        <f t="shared" si="52"/>
        <v>1832731.3105105916</v>
      </c>
      <c r="Q659" s="14">
        <f t="shared" si="53"/>
        <v>670186.3105105916</v>
      </c>
      <c r="R659" s="11">
        <f t="shared" ca="1" si="54"/>
        <v>4</v>
      </c>
      <c r="S659" s="11" t="str">
        <f t="shared" si="55"/>
        <v>600-649</v>
      </c>
    </row>
    <row r="660" spans="1:19" x14ac:dyDescent="0.3">
      <c r="A660" s="11" t="s">
        <v>672</v>
      </c>
      <c r="B660" s="11" t="s">
        <v>1018</v>
      </c>
      <c r="C660" s="11">
        <v>46</v>
      </c>
      <c r="D660" s="11" t="s">
        <v>1035</v>
      </c>
      <c r="E660" s="11" t="s">
        <v>1037</v>
      </c>
      <c r="F660" s="12">
        <v>1646681</v>
      </c>
      <c r="G660" s="12">
        <v>1021879</v>
      </c>
      <c r="H660" s="11">
        <v>12.62</v>
      </c>
      <c r="I660" s="11">
        <v>36</v>
      </c>
      <c r="J660" s="11">
        <v>737</v>
      </c>
      <c r="K660" s="11" t="s">
        <v>1042</v>
      </c>
      <c r="L660" s="11" t="s">
        <v>1044</v>
      </c>
      <c r="M660" s="13">
        <v>43503</v>
      </c>
      <c r="N660" s="11" t="s">
        <v>1047</v>
      </c>
      <c r="O660" s="14">
        <f t="shared" si="51"/>
        <v>34244.403615634932</v>
      </c>
      <c r="P660" s="14">
        <f t="shared" si="52"/>
        <v>1232798.5301628576</v>
      </c>
      <c r="Q660" s="14">
        <f t="shared" si="53"/>
        <v>210919.53016285761</v>
      </c>
      <c r="R660" s="11">
        <f t="shared" ca="1" si="54"/>
        <v>6</v>
      </c>
      <c r="S660" s="11" t="str">
        <f t="shared" si="55"/>
        <v>700-749</v>
      </c>
    </row>
    <row r="661" spans="1:19" x14ac:dyDescent="0.3">
      <c r="A661" s="11" t="s">
        <v>673</v>
      </c>
      <c r="B661" s="11" t="s">
        <v>1016</v>
      </c>
      <c r="C661" s="11">
        <v>43</v>
      </c>
      <c r="D661" s="11" t="s">
        <v>1035</v>
      </c>
      <c r="E661" s="11" t="s">
        <v>1038</v>
      </c>
      <c r="F661" s="12">
        <v>1435186</v>
      </c>
      <c r="G661" s="12">
        <v>908156</v>
      </c>
      <c r="H661" s="11">
        <v>10.67</v>
      </c>
      <c r="I661" s="11">
        <v>84</v>
      </c>
      <c r="J661" s="11">
        <v>763</v>
      </c>
      <c r="K661" s="11" t="s">
        <v>1040</v>
      </c>
      <c r="L661" s="11" t="s">
        <v>1044</v>
      </c>
      <c r="M661" s="13">
        <v>43382</v>
      </c>
      <c r="N661" s="11" t="s">
        <v>1048</v>
      </c>
      <c r="O661" s="14">
        <f t="shared" si="51"/>
        <v>15392.715789641568</v>
      </c>
      <c r="P661" s="14">
        <f t="shared" si="52"/>
        <v>1292988.1263298918</v>
      </c>
      <c r="Q661" s="14">
        <f t="shared" si="53"/>
        <v>384832.12632989185</v>
      </c>
      <c r="R661" s="11">
        <f t="shared" ca="1" si="54"/>
        <v>7</v>
      </c>
      <c r="S661" s="11" t="str">
        <f t="shared" si="55"/>
        <v>750-799</v>
      </c>
    </row>
    <row r="662" spans="1:19" x14ac:dyDescent="0.3">
      <c r="A662" s="11" t="s">
        <v>674</v>
      </c>
      <c r="B662" s="11" t="s">
        <v>1018</v>
      </c>
      <c r="C662" s="11">
        <v>44</v>
      </c>
      <c r="D662" s="11" t="s">
        <v>1035</v>
      </c>
      <c r="E662" s="11" t="s">
        <v>1036</v>
      </c>
      <c r="F662" s="12">
        <v>380069</v>
      </c>
      <c r="G662" s="12">
        <v>324240</v>
      </c>
      <c r="H662" s="11">
        <v>11.76</v>
      </c>
      <c r="I662" s="11">
        <v>36</v>
      </c>
      <c r="J662" s="11">
        <v>603</v>
      </c>
      <c r="K662" s="11" t="s">
        <v>1040</v>
      </c>
      <c r="L662" s="11" t="s">
        <v>1044</v>
      </c>
      <c r="M662" s="13">
        <v>43542</v>
      </c>
      <c r="N662" s="11" t="s">
        <v>1048</v>
      </c>
      <c r="O662" s="14">
        <f t="shared" si="51"/>
        <v>10732.278419386757</v>
      </c>
      <c r="P662" s="14">
        <f t="shared" si="52"/>
        <v>386362.02309792326</v>
      </c>
      <c r="Q662" s="14">
        <f t="shared" si="53"/>
        <v>62122.023097923258</v>
      </c>
      <c r="R662" s="11">
        <f t="shared" ca="1" si="54"/>
        <v>6</v>
      </c>
      <c r="S662" s="11" t="str">
        <f t="shared" si="55"/>
        <v>600-649</v>
      </c>
    </row>
    <row r="663" spans="1:19" x14ac:dyDescent="0.3">
      <c r="A663" s="11" t="s">
        <v>675</v>
      </c>
      <c r="B663" s="11" t="s">
        <v>1021</v>
      </c>
      <c r="C663" s="11">
        <v>27</v>
      </c>
      <c r="D663" s="11" t="s">
        <v>1034</v>
      </c>
      <c r="E663" s="11" t="s">
        <v>1037</v>
      </c>
      <c r="F663" s="12">
        <v>1686563</v>
      </c>
      <c r="G663" s="12">
        <v>1847578</v>
      </c>
      <c r="H663" s="11">
        <v>10.11</v>
      </c>
      <c r="I663" s="11">
        <v>60</v>
      </c>
      <c r="J663" s="11">
        <v>791</v>
      </c>
      <c r="K663" s="11" t="s">
        <v>1041</v>
      </c>
      <c r="L663" s="11" t="s">
        <v>1044</v>
      </c>
      <c r="M663" s="13">
        <v>43847</v>
      </c>
      <c r="N663" s="11" t="s">
        <v>1048</v>
      </c>
      <c r="O663" s="14">
        <f t="shared" si="51"/>
        <v>39355.646336605962</v>
      </c>
      <c r="P663" s="14">
        <f t="shared" si="52"/>
        <v>2361338.7801963575</v>
      </c>
      <c r="Q663" s="14">
        <f t="shared" si="53"/>
        <v>513760.78019635752</v>
      </c>
      <c r="R663" s="11">
        <f t="shared" ca="1" si="54"/>
        <v>5</v>
      </c>
      <c r="S663" s="11" t="str">
        <f t="shared" si="55"/>
        <v>750-799</v>
      </c>
    </row>
    <row r="664" spans="1:19" x14ac:dyDescent="0.3">
      <c r="A664" s="11" t="s">
        <v>676</v>
      </c>
      <c r="B664" s="11" t="s">
        <v>1019</v>
      </c>
      <c r="C664" s="11">
        <v>59</v>
      </c>
      <c r="D664" s="11" t="s">
        <v>1035</v>
      </c>
      <c r="E664" s="11" t="s">
        <v>1038</v>
      </c>
      <c r="F664" s="12">
        <v>1337187</v>
      </c>
      <c r="G664" s="12">
        <v>373076</v>
      </c>
      <c r="H664" s="11">
        <v>11.91</v>
      </c>
      <c r="I664" s="11">
        <v>96</v>
      </c>
      <c r="J664" s="11">
        <v>850</v>
      </c>
      <c r="K664" s="11" t="s">
        <v>1039</v>
      </c>
      <c r="L664" s="11" t="s">
        <v>1044</v>
      </c>
      <c r="M664" s="13">
        <v>44151</v>
      </c>
      <c r="N664" s="11" t="s">
        <v>1045</v>
      </c>
      <c r="O664" s="14">
        <f t="shared" si="51"/>
        <v>6045.1116715431772</v>
      </c>
      <c r="P664" s="14">
        <f t="shared" si="52"/>
        <v>580330.72046814498</v>
      </c>
      <c r="Q664" s="14">
        <f t="shared" si="53"/>
        <v>207254.72046814498</v>
      </c>
      <c r="R664" s="11">
        <f t="shared" ca="1" si="54"/>
        <v>5</v>
      </c>
      <c r="S664" s="11" t="str">
        <f t="shared" si="55"/>
        <v>800-850</v>
      </c>
    </row>
    <row r="665" spans="1:19" x14ac:dyDescent="0.3">
      <c r="A665" s="11" t="s">
        <v>677</v>
      </c>
      <c r="B665" s="11" t="s">
        <v>1033</v>
      </c>
      <c r="C665" s="11">
        <v>30</v>
      </c>
      <c r="D665" s="11" t="s">
        <v>1034</v>
      </c>
      <c r="E665" s="11" t="s">
        <v>1036</v>
      </c>
      <c r="F665" s="12">
        <v>606239</v>
      </c>
      <c r="G665" s="12">
        <v>1646723</v>
      </c>
      <c r="H665" s="11">
        <v>11.53</v>
      </c>
      <c r="I665" s="11">
        <v>60</v>
      </c>
      <c r="J665" s="11">
        <v>790</v>
      </c>
      <c r="K665" s="11" t="s">
        <v>1042</v>
      </c>
      <c r="L665" s="11" t="s">
        <v>1044</v>
      </c>
      <c r="M665" s="13">
        <v>43437</v>
      </c>
      <c r="N665" s="11" t="s">
        <v>1047</v>
      </c>
      <c r="O665" s="14">
        <f t="shared" si="51"/>
        <v>36240.538260401292</v>
      </c>
      <c r="P665" s="14">
        <f t="shared" si="52"/>
        <v>2174432.2956240773</v>
      </c>
      <c r="Q665" s="14">
        <f t="shared" si="53"/>
        <v>527709.29562407732</v>
      </c>
      <c r="R665" s="11">
        <f t="shared" ca="1" si="54"/>
        <v>7</v>
      </c>
      <c r="S665" s="11" t="str">
        <f t="shared" si="55"/>
        <v>750-799</v>
      </c>
    </row>
    <row r="666" spans="1:19" x14ac:dyDescent="0.3">
      <c r="A666" s="11" t="s">
        <v>678</v>
      </c>
      <c r="B666" s="11" t="s">
        <v>1024</v>
      </c>
      <c r="C666" s="11">
        <v>34</v>
      </c>
      <c r="D666" s="11" t="s">
        <v>1035</v>
      </c>
      <c r="E666" s="11" t="s">
        <v>1038</v>
      </c>
      <c r="F666" s="12">
        <v>953567</v>
      </c>
      <c r="G666" s="12">
        <v>1665527</v>
      </c>
      <c r="H666" s="11">
        <v>14.13</v>
      </c>
      <c r="I666" s="11">
        <v>120</v>
      </c>
      <c r="J666" s="11">
        <v>731</v>
      </c>
      <c r="K666" s="11" t="s">
        <v>1042</v>
      </c>
      <c r="L666" s="11" t="s">
        <v>1044</v>
      </c>
      <c r="M666" s="13">
        <v>45126</v>
      </c>
      <c r="N666" s="11" t="s">
        <v>1046</v>
      </c>
      <c r="O666" s="14">
        <f t="shared" si="51"/>
        <v>25990.387174407642</v>
      </c>
      <c r="P666" s="14">
        <f t="shared" si="52"/>
        <v>3118846.4609289169</v>
      </c>
      <c r="Q666" s="14">
        <f t="shared" si="53"/>
        <v>1453319.4609289169</v>
      </c>
      <c r="R666" s="11">
        <f t="shared" ca="1" si="54"/>
        <v>2</v>
      </c>
      <c r="S666" s="11" t="str">
        <f t="shared" si="55"/>
        <v>700-749</v>
      </c>
    </row>
    <row r="667" spans="1:19" x14ac:dyDescent="0.3">
      <c r="A667" s="11" t="s">
        <v>679</v>
      </c>
      <c r="B667" s="11" t="s">
        <v>1021</v>
      </c>
      <c r="C667" s="11">
        <v>44</v>
      </c>
      <c r="D667" s="11" t="s">
        <v>1035</v>
      </c>
      <c r="E667" s="11" t="s">
        <v>1038</v>
      </c>
      <c r="F667" s="12">
        <v>676646</v>
      </c>
      <c r="G667" s="12">
        <v>941213</v>
      </c>
      <c r="H667" s="11">
        <v>8.07</v>
      </c>
      <c r="I667" s="11">
        <v>72</v>
      </c>
      <c r="J667" s="11">
        <v>663</v>
      </c>
      <c r="K667" s="11" t="s">
        <v>1041</v>
      </c>
      <c r="L667" s="11" t="s">
        <v>1043</v>
      </c>
      <c r="M667" s="13">
        <v>45220</v>
      </c>
      <c r="N667" s="11" t="s">
        <v>1046</v>
      </c>
      <c r="O667" s="14">
        <f t="shared" si="51"/>
        <v>16534.702516876354</v>
      </c>
      <c r="P667" s="14">
        <f t="shared" si="52"/>
        <v>1190498.5812150976</v>
      </c>
      <c r="Q667" s="14">
        <f t="shared" si="53"/>
        <v>249285.58121509757</v>
      </c>
      <c r="R667" s="11">
        <f t="shared" ca="1" si="54"/>
        <v>2</v>
      </c>
      <c r="S667" s="11" t="str">
        <f t="shared" si="55"/>
        <v>650-699</v>
      </c>
    </row>
    <row r="668" spans="1:19" x14ac:dyDescent="0.3">
      <c r="A668" s="11" t="s">
        <v>680</v>
      </c>
      <c r="B668" s="11" t="s">
        <v>1033</v>
      </c>
      <c r="C668" s="11">
        <v>55</v>
      </c>
      <c r="D668" s="11" t="s">
        <v>1035</v>
      </c>
      <c r="E668" s="11" t="s">
        <v>1036</v>
      </c>
      <c r="F668" s="12">
        <v>1867786</v>
      </c>
      <c r="G668" s="12">
        <v>908898</v>
      </c>
      <c r="H668" s="11">
        <v>11.77</v>
      </c>
      <c r="I668" s="11">
        <v>84</v>
      </c>
      <c r="J668" s="11">
        <v>815</v>
      </c>
      <c r="K668" s="11" t="s">
        <v>1039</v>
      </c>
      <c r="L668" s="11" t="s">
        <v>1044</v>
      </c>
      <c r="M668" s="13">
        <v>44210</v>
      </c>
      <c r="N668" s="11" t="s">
        <v>1048</v>
      </c>
      <c r="O668" s="14">
        <f t="shared" si="51"/>
        <v>15932.9541419549</v>
      </c>
      <c r="P668" s="14">
        <f t="shared" si="52"/>
        <v>1338368.1479242116</v>
      </c>
      <c r="Q668" s="14">
        <f t="shared" si="53"/>
        <v>429470.14792421157</v>
      </c>
      <c r="R668" s="11">
        <f t="shared" ca="1" si="54"/>
        <v>4</v>
      </c>
      <c r="S668" s="11" t="str">
        <f t="shared" si="55"/>
        <v>800-850</v>
      </c>
    </row>
    <row r="669" spans="1:19" x14ac:dyDescent="0.3">
      <c r="A669" s="11" t="s">
        <v>681</v>
      </c>
      <c r="B669" s="11" t="s">
        <v>1032</v>
      </c>
      <c r="C669" s="11">
        <v>48</v>
      </c>
      <c r="D669" s="11" t="s">
        <v>1034</v>
      </c>
      <c r="E669" s="11" t="s">
        <v>1038</v>
      </c>
      <c r="F669" s="12">
        <v>801876</v>
      </c>
      <c r="G669" s="12">
        <v>204605</v>
      </c>
      <c r="H669" s="11">
        <v>9.3699999999999992</v>
      </c>
      <c r="I669" s="11">
        <v>72</v>
      </c>
      <c r="J669" s="11">
        <v>740</v>
      </c>
      <c r="K669" s="11" t="s">
        <v>1041</v>
      </c>
      <c r="L669" s="11" t="s">
        <v>1044</v>
      </c>
      <c r="M669" s="13">
        <v>45067</v>
      </c>
      <c r="N669" s="11" t="s">
        <v>1047</v>
      </c>
      <c r="O669" s="14">
        <f t="shared" si="51"/>
        <v>3725.7995127818585</v>
      </c>
      <c r="P669" s="14">
        <f t="shared" si="52"/>
        <v>268257.56492029381</v>
      </c>
      <c r="Q669" s="14">
        <f t="shared" si="53"/>
        <v>63652.564920293808</v>
      </c>
      <c r="R669" s="11">
        <f t="shared" ca="1" si="54"/>
        <v>2</v>
      </c>
      <c r="S669" s="11" t="str">
        <f t="shared" si="55"/>
        <v>700-749</v>
      </c>
    </row>
    <row r="670" spans="1:19" x14ac:dyDescent="0.3">
      <c r="A670" s="11" t="s">
        <v>682</v>
      </c>
      <c r="B670" s="11" t="s">
        <v>1030</v>
      </c>
      <c r="C670" s="11">
        <v>52</v>
      </c>
      <c r="D670" s="11" t="s">
        <v>1034</v>
      </c>
      <c r="E670" s="11" t="s">
        <v>1038</v>
      </c>
      <c r="F670" s="12">
        <v>1351485</v>
      </c>
      <c r="G670" s="12">
        <v>1651890</v>
      </c>
      <c r="H670" s="11">
        <v>13.97</v>
      </c>
      <c r="I670" s="11">
        <v>36</v>
      </c>
      <c r="J670" s="11">
        <v>725</v>
      </c>
      <c r="K670" s="11" t="s">
        <v>1041</v>
      </c>
      <c r="L670" s="11" t="s">
        <v>1044</v>
      </c>
      <c r="M670" s="13">
        <v>45457</v>
      </c>
      <c r="N670" s="11" t="s">
        <v>1045</v>
      </c>
      <c r="O670" s="14">
        <f t="shared" si="51"/>
        <v>56433.618580226699</v>
      </c>
      <c r="P670" s="14">
        <f t="shared" si="52"/>
        <v>2031610.2688881611</v>
      </c>
      <c r="Q670" s="14">
        <f t="shared" si="53"/>
        <v>379720.26888816105</v>
      </c>
      <c r="R670" s="11">
        <f t="shared" ca="1" si="54"/>
        <v>1</v>
      </c>
      <c r="S670" s="11" t="str">
        <f t="shared" si="55"/>
        <v>700-749</v>
      </c>
    </row>
    <row r="671" spans="1:19" x14ac:dyDescent="0.3">
      <c r="A671" s="11" t="s">
        <v>683</v>
      </c>
      <c r="B671" s="11" t="s">
        <v>1028</v>
      </c>
      <c r="C671" s="11">
        <v>39</v>
      </c>
      <c r="D671" s="11" t="s">
        <v>1035</v>
      </c>
      <c r="E671" s="11" t="s">
        <v>1038</v>
      </c>
      <c r="F671" s="12">
        <v>516981</v>
      </c>
      <c r="G671" s="12">
        <v>768439</v>
      </c>
      <c r="H671" s="11">
        <v>9.91</v>
      </c>
      <c r="I671" s="11">
        <v>96</v>
      </c>
      <c r="J671" s="11">
        <v>783</v>
      </c>
      <c r="K671" s="11" t="s">
        <v>1039</v>
      </c>
      <c r="L671" s="11" t="s">
        <v>1044</v>
      </c>
      <c r="M671" s="13">
        <v>45595</v>
      </c>
      <c r="N671" s="11" t="s">
        <v>1045</v>
      </c>
      <c r="O671" s="14">
        <f t="shared" si="51"/>
        <v>11623.856858050112</v>
      </c>
      <c r="P671" s="14">
        <f t="shared" si="52"/>
        <v>1115890.2583728107</v>
      </c>
      <c r="Q671" s="14">
        <f t="shared" si="53"/>
        <v>347451.25837281067</v>
      </c>
      <c r="R671" s="11">
        <f t="shared" ca="1" si="54"/>
        <v>1</v>
      </c>
      <c r="S671" s="11" t="str">
        <f t="shared" si="55"/>
        <v>750-799</v>
      </c>
    </row>
    <row r="672" spans="1:19" x14ac:dyDescent="0.3">
      <c r="A672" s="11" t="s">
        <v>684</v>
      </c>
      <c r="B672" s="11" t="s">
        <v>1031</v>
      </c>
      <c r="C672" s="11">
        <v>48</v>
      </c>
      <c r="D672" s="11" t="s">
        <v>1034</v>
      </c>
      <c r="E672" s="11" t="s">
        <v>1036</v>
      </c>
      <c r="F672" s="12">
        <v>372816</v>
      </c>
      <c r="G672" s="12">
        <v>1791514</v>
      </c>
      <c r="H672" s="11">
        <v>8.99</v>
      </c>
      <c r="I672" s="11">
        <v>96</v>
      </c>
      <c r="J672" s="11">
        <v>674</v>
      </c>
      <c r="K672" s="11" t="s">
        <v>1040</v>
      </c>
      <c r="L672" s="11" t="s">
        <v>1043</v>
      </c>
      <c r="M672" s="13">
        <v>44390</v>
      </c>
      <c r="N672" s="11" t="s">
        <v>1047</v>
      </c>
      <c r="O672" s="14">
        <f t="shared" si="51"/>
        <v>26236.751469403109</v>
      </c>
      <c r="P672" s="14">
        <f t="shared" si="52"/>
        <v>2518728.1410626983</v>
      </c>
      <c r="Q672" s="14">
        <f t="shared" si="53"/>
        <v>727214.14106269833</v>
      </c>
      <c r="R672" s="11">
        <f t="shared" ca="1" si="54"/>
        <v>4</v>
      </c>
      <c r="S672" s="11" t="str">
        <f t="shared" si="55"/>
        <v>650-699</v>
      </c>
    </row>
    <row r="673" spans="1:19" x14ac:dyDescent="0.3">
      <c r="A673" s="11" t="s">
        <v>685</v>
      </c>
      <c r="B673" s="11" t="s">
        <v>1017</v>
      </c>
      <c r="C673" s="11">
        <v>37</v>
      </c>
      <c r="D673" s="11" t="s">
        <v>1035</v>
      </c>
      <c r="E673" s="11" t="s">
        <v>1036</v>
      </c>
      <c r="F673" s="12">
        <v>990043</v>
      </c>
      <c r="G673" s="12">
        <v>1591302</v>
      </c>
      <c r="H673" s="11">
        <v>13.04</v>
      </c>
      <c r="I673" s="11">
        <v>120</v>
      </c>
      <c r="J673" s="11">
        <v>841</v>
      </c>
      <c r="K673" s="11" t="s">
        <v>1041</v>
      </c>
      <c r="L673" s="11" t="s">
        <v>1043</v>
      </c>
      <c r="M673" s="13">
        <v>43758</v>
      </c>
      <c r="N673" s="11" t="s">
        <v>1046</v>
      </c>
      <c r="O673" s="14">
        <f t="shared" si="51"/>
        <v>23797.406229738302</v>
      </c>
      <c r="P673" s="14">
        <f t="shared" si="52"/>
        <v>2855688.7475685962</v>
      </c>
      <c r="Q673" s="14">
        <f t="shared" si="53"/>
        <v>1264386.7475685962</v>
      </c>
      <c r="R673" s="11">
        <f t="shared" ca="1" si="54"/>
        <v>6</v>
      </c>
      <c r="S673" s="11" t="str">
        <f t="shared" si="55"/>
        <v>800-850</v>
      </c>
    </row>
    <row r="674" spans="1:19" x14ac:dyDescent="0.3">
      <c r="A674" s="11" t="s">
        <v>686</v>
      </c>
      <c r="B674" s="11" t="s">
        <v>1029</v>
      </c>
      <c r="C674" s="11">
        <v>48</v>
      </c>
      <c r="D674" s="11" t="s">
        <v>1035</v>
      </c>
      <c r="E674" s="11" t="s">
        <v>1037</v>
      </c>
      <c r="F674" s="12">
        <v>1273603</v>
      </c>
      <c r="G674" s="12">
        <v>866246</v>
      </c>
      <c r="H674" s="11">
        <v>13.96</v>
      </c>
      <c r="I674" s="11">
        <v>84</v>
      </c>
      <c r="J674" s="11">
        <v>813</v>
      </c>
      <c r="K674" s="11" t="s">
        <v>1041</v>
      </c>
      <c r="L674" s="11" t="s">
        <v>1044</v>
      </c>
      <c r="M674" s="13">
        <v>45501</v>
      </c>
      <c r="N674" s="11" t="s">
        <v>1047</v>
      </c>
      <c r="O674" s="14">
        <f t="shared" si="51"/>
        <v>16214.324970860698</v>
      </c>
      <c r="P674" s="14">
        <f t="shared" si="52"/>
        <v>1362003.2975522988</v>
      </c>
      <c r="Q674" s="14">
        <f t="shared" si="53"/>
        <v>495757.29755229875</v>
      </c>
      <c r="R674" s="11">
        <f t="shared" ca="1" si="54"/>
        <v>1</v>
      </c>
      <c r="S674" s="11" t="str">
        <f t="shared" si="55"/>
        <v>800-850</v>
      </c>
    </row>
    <row r="675" spans="1:19" x14ac:dyDescent="0.3">
      <c r="A675" s="11" t="s">
        <v>687</v>
      </c>
      <c r="B675" s="11" t="s">
        <v>1032</v>
      </c>
      <c r="C675" s="11">
        <v>26</v>
      </c>
      <c r="D675" s="11" t="s">
        <v>1035</v>
      </c>
      <c r="E675" s="11" t="s">
        <v>1037</v>
      </c>
      <c r="F675" s="12">
        <v>1634599</v>
      </c>
      <c r="G675" s="12">
        <v>617962</v>
      </c>
      <c r="H675" s="11">
        <v>7.83</v>
      </c>
      <c r="I675" s="11">
        <v>36</v>
      </c>
      <c r="J675" s="11">
        <v>636</v>
      </c>
      <c r="K675" s="11" t="s">
        <v>1041</v>
      </c>
      <c r="L675" s="11" t="s">
        <v>1044</v>
      </c>
      <c r="M675" s="13">
        <v>44725</v>
      </c>
      <c r="N675" s="11" t="s">
        <v>1048</v>
      </c>
      <c r="O675" s="14">
        <f t="shared" si="51"/>
        <v>19316.256408520319</v>
      </c>
      <c r="P675" s="14">
        <f t="shared" si="52"/>
        <v>695385.23070673156</v>
      </c>
      <c r="Q675" s="14">
        <f t="shared" si="53"/>
        <v>77423.230706731556</v>
      </c>
      <c r="R675" s="11">
        <f t="shared" ca="1" si="54"/>
        <v>3</v>
      </c>
      <c r="S675" s="11" t="str">
        <f t="shared" si="55"/>
        <v>600-649</v>
      </c>
    </row>
    <row r="676" spans="1:19" x14ac:dyDescent="0.3">
      <c r="A676" s="11" t="s">
        <v>688</v>
      </c>
      <c r="B676" s="11" t="s">
        <v>1023</v>
      </c>
      <c r="C676" s="11">
        <v>56</v>
      </c>
      <c r="D676" s="11" t="s">
        <v>1035</v>
      </c>
      <c r="E676" s="11" t="s">
        <v>1038</v>
      </c>
      <c r="F676" s="12">
        <v>778809</v>
      </c>
      <c r="G676" s="12">
        <v>772021</v>
      </c>
      <c r="H676" s="11">
        <v>13.51</v>
      </c>
      <c r="I676" s="11">
        <v>48</v>
      </c>
      <c r="J676" s="11">
        <v>763</v>
      </c>
      <c r="K676" s="11" t="s">
        <v>1041</v>
      </c>
      <c r="L676" s="11" t="s">
        <v>1044</v>
      </c>
      <c r="M676" s="13">
        <v>43302</v>
      </c>
      <c r="N676" s="11" t="s">
        <v>1045</v>
      </c>
      <c r="O676" s="14">
        <f t="shared" si="51"/>
        <v>20907.342372082272</v>
      </c>
      <c r="P676" s="14">
        <f t="shared" si="52"/>
        <v>1003552.433859949</v>
      </c>
      <c r="Q676" s="14">
        <f t="shared" si="53"/>
        <v>231531.433859949</v>
      </c>
      <c r="R676" s="11">
        <f t="shared" ca="1" si="54"/>
        <v>7</v>
      </c>
      <c r="S676" s="11" t="str">
        <f t="shared" si="55"/>
        <v>750-799</v>
      </c>
    </row>
    <row r="677" spans="1:19" x14ac:dyDescent="0.3">
      <c r="A677" s="11" t="s">
        <v>689</v>
      </c>
      <c r="B677" s="11" t="s">
        <v>1026</v>
      </c>
      <c r="C677" s="11">
        <v>44</v>
      </c>
      <c r="D677" s="11" t="s">
        <v>1034</v>
      </c>
      <c r="E677" s="11" t="s">
        <v>1036</v>
      </c>
      <c r="F677" s="12">
        <v>333499</v>
      </c>
      <c r="G677" s="12">
        <v>1014268</v>
      </c>
      <c r="H677" s="11">
        <v>13.36</v>
      </c>
      <c r="I677" s="11">
        <v>84</v>
      </c>
      <c r="J677" s="11">
        <v>615</v>
      </c>
      <c r="K677" s="11" t="s">
        <v>1042</v>
      </c>
      <c r="L677" s="11" t="s">
        <v>1044</v>
      </c>
      <c r="M677" s="13">
        <v>45226</v>
      </c>
      <c r="N677" s="11" t="s">
        <v>1047</v>
      </c>
      <c r="O677" s="14">
        <f t="shared" si="51"/>
        <v>18650.614772470453</v>
      </c>
      <c r="P677" s="14">
        <f t="shared" si="52"/>
        <v>1566651.6408875182</v>
      </c>
      <c r="Q677" s="14">
        <f t="shared" si="53"/>
        <v>552383.64088751818</v>
      </c>
      <c r="R677" s="11">
        <f t="shared" ca="1" si="54"/>
        <v>2</v>
      </c>
      <c r="S677" s="11" t="str">
        <f t="shared" si="55"/>
        <v>600-649</v>
      </c>
    </row>
    <row r="678" spans="1:19" x14ac:dyDescent="0.3">
      <c r="A678" s="11" t="s">
        <v>690</v>
      </c>
      <c r="B678" s="11" t="s">
        <v>1029</v>
      </c>
      <c r="C678" s="11">
        <v>27</v>
      </c>
      <c r="D678" s="11" t="s">
        <v>1035</v>
      </c>
      <c r="E678" s="11" t="s">
        <v>1037</v>
      </c>
      <c r="F678" s="12">
        <v>1441746</v>
      </c>
      <c r="G678" s="12">
        <v>1913788</v>
      </c>
      <c r="H678" s="11">
        <v>13.1</v>
      </c>
      <c r="I678" s="11">
        <v>48</v>
      </c>
      <c r="J678" s="11">
        <v>837</v>
      </c>
      <c r="K678" s="11" t="s">
        <v>1039</v>
      </c>
      <c r="L678" s="11" t="s">
        <v>1044</v>
      </c>
      <c r="M678" s="13">
        <v>44457</v>
      </c>
      <c r="N678" s="11" t="s">
        <v>1047</v>
      </c>
      <c r="O678" s="14">
        <f t="shared" si="51"/>
        <v>51437.176740351955</v>
      </c>
      <c r="P678" s="14">
        <f t="shared" si="52"/>
        <v>2468984.483536894</v>
      </c>
      <c r="Q678" s="14">
        <f t="shared" si="53"/>
        <v>555196.48353689397</v>
      </c>
      <c r="R678" s="11">
        <f t="shared" ca="1" si="54"/>
        <v>4</v>
      </c>
      <c r="S678" s="11" t="str">
        <f t="shared" si="55"/>
        <v>800-850</v>
      </c>
    </row>
    <row r="679" spans="1:19" x14ac:dyDescent="0.3">
      <c r="A679" s="11" t="s">
        <v>691</v>
      </c>
      <c r="B679" s="11" t="s">
        <v>1027</v>
      </c>
      <c r="C679" s="11">
        <v>52</v>
      </c>
      <c r="D679" s="11" t="s">
        <v>1035</v>
      </c>
      <c r="E679" s="11" t="s">
        <v>1038</v>
      </c>
      <c r="F679" s="12">
        <v>1766527</v>
      </c>
      <c r="G679" s="12">
        <v>1670602</v>
      </c>
      <c r="H679" s="11">
        <v>14.93</v>
      </c>
      <c r="I679" s="11">
        <v>60</v>
      </c>
      <c r="J679" s="11">
        <v>678</v>
      </c>
      <c r="K679" s="11" t="s">
        <v>1039</v>
      </c>
      <c r="L679" s="11" t="s">
        <v>1044</v>
      </c>
      <c r="M679" s="13">
        <v>43400</v>
      </c>
      <c r="N679" s="11" t="s">
        <v>1047</v>
      </c>
      <c r="O679" s="14">
        <f t="shared" si="51"/>
        <v>39682.146812679646</v>
      </c>
      <c r="P679" s="14">
        <f t="shared" si="52"/>
        <v>2380928.808760779</v>
      </c>
      <c r="Q679" s="14">
        <f t="shared" si="53"/>
        <v>710326.80876077898</v>
      </c>
      <c r="R679" s="11">
        <f t="shared" ca="1" si="54"/>
        <v>7</v>
      </c>
      <c r="S679" s="11" t="str">
        <f t="shared" si="55"/>
        <v>650-699</v>
      </c>
    </row>
    <row r="680" spans="1:19" x14ac:dyDescent="0.3">
      <c r="A680" s="11" t="s">
        <v>692</v>
      </c>
      <c r="B680" s="11" t="s">
        <v>1029</v>
      </c>
      <c r="C680" s="11">
        <v>33</v>
      </c>
      <c r="D680" s="11" t="s">
        <v>1035</v>
      </c>
      <c r="E680" s="11" t="s">
        <v>1037</v>
      </c>
      <c r="F680" s="12">
        <v>1170442</v>
      </c>
      <c r="G680" s="12">
        <v>1141644</v>
      </c>
      <c r="H680" s="11">
        <v>12.42</v>
      </c>
      <c r="I680" s="11">
        <v>72</v>
      </c>
      <c r="J680" s="11">
        <v>745</v>
      </c>
      <c r="K680" s="11" t="s">
        <v>1040</v>
      </c>
      <c r="L680" s="11" t="s">
        <v>1044</v>
      </c>
      <c r="M680" s="13">
        <v>44388</v>
      </c>
      <c r="N680" s="11" t="s">
        <v>1048</v>
      </c>
      <c r="O680" s="14">
        <f t="shared" si="51"/>
        <v>22569.491620239864</v>
      </c>
      <c r="P680" s="14">
        <f t="shared" si="52"/>
        <v>1625003.3966572701</v>
      </c>
      <c r="Q680" s="14">
        <f t="shared" si="53"/>
        <v>483359.39665727015</v>
      </c>
      <c r="R680" s="11">
        <f t="shared" ca="1" si="54"/>
        <v>4</v>
      </c>
      <c r="S680" s="11" t="str">
        <f t="shared" si="55"/>
        <v>700-749</v>
      </c>
    </row>
    <row r="681" spans="1:19" x14ac:dyDescent="0.3">
      <c r="A681" s="11" t="s">
        <v>693</v>
      </c>
      <c r="B681" s="11" t="s">
        <v>1023</v>
      </c>
      <c r="C681" s="11">
        <v>45</v>
      </c>
      <c r="D681" s="11" t="s">
        <v>1034</v>
      </c>
      <c r="E681" s="11" t="s">
        <v>1037</v>
      </c>
      <c r="F681" s="12">
        <v>1874375</v>
      </c>
      <c r="G681" s="12">
        <v>648521</v>
      </c>
      <c r="H681" s="11">
        <v>11.52</v>
      </c>
      <c r="I681" s="11">
        <v>96</v>
      </c>
      <c r="J681" s="11">
        <v>618</v>
      </c>
      <c r="K681" s="11" t="s">
        <v>1039</v>
      </c>
      <c r="L681" s="11" t="s">
        <v>1044</v>
      </c>
      <c r="M681" s="13">
        <v>43520</v>
      </c>
      <c r="N681" s="11" t="s">
        <v>1048</v>
      </c>
      <c r="O681" s="14">
        <f t="shared" si="51"/>
        <v>10370.022176785153</v>
      </c>
      <c r="P681" s="14">
        <f t="shared" si="52"/>
        <v>995522.12897137459</v>
      </c>
      <c r="Q681" s="14">
        <f t="shared" si="53"/>
        <v>347001.12897137459</v>
      </c>
      <c r="R681" s="11">
        <f t="shared" ca="1" si="54"/>
        <v>6</v>
      </c>
      <c r="S681" s="11" t="str">
        <f t="shared" si="55"/>
        <v>600-649</v>
      </c>
    </row>
    <row r="682" spans="1:19" x14ac:dyDescent="0.3">
      <c r="A682" s="11" t="s">
        <v>694</v>
      </c>
      <c r="B682" s="11" t="s">
        <v>1025</v>
      </c>
      <c r="C682" s="11">
        <v>36</v>
      </c>
      <c r="D682" s="11" t="s">
        <v>1034</v>
      </c>
      <c r="E682" s="11" t="s">
        <v>1038</v>
      </c>
      <c r="F682" s="12">
        <v>1226191</v>
      </c>
      <c r="G682" s="12">
        <v>1355857</v>
      </c>
      <c r="H682" s="11">
        <v>10.42</v>
      </c>
      <c r="I682" s="11">
        <v>36</v>
      </c>
      <c r="J682" s="11">
        <v>735</v>
      </c>
      <c r="K682" s="11" t="s">
        <v>1039</v>
      </c>
      <c r="L682" s="11" t="s">
        <v>1043</v>
      </c>
      <c r="M682" s="13">
        <v>44456</v>
      </c>
      <c r="N682" s="11" t="s">
        <v>1046</v>
      </c>
      <c r="O682" s="14">
        <f t="shared" si="51"/>
        <v>44017.536970900779</v>
      </c>
      <c r="P682" s="14">
        <f t="shared" si="52"/>
        <v>1584631.330952428</v>
      </c>
      <c r="Q682" s="14">
        <f t="shared" si="53"/>
        <v>228774.33095242805</v>
      </c>
      <c r="R682" s="11">
        <f t="shared" ca="1" si="54"/>
        <v>4</v>
      </c>
      <c r="S682" s="11" t="str">
        <f t="shared" si="55"/>
        <v>700-749</v>
      </c>
    </row>
    <row r="683" spans="1:19" x14ac:dyDescent="0.3">
      <c r="A683" s="11" t="s">
        <v>695</v>
      </c>
      <c r="B683" s="11" t="s">
        <v>1015</v>
      </c>
      <c r="C683" s="11">
        <v>52</v>
      </c>
      <c r="D683" s="11" t="s">
        <v>1034</v>
      </c>
      <c r="E683" s="11" t="s">
        <v>1038</v>
      </c>
      <c r="F683" s="12">
        <v>1458490</v>
      </c>
      <c r="G683" s="12">
        <v>552378</v>
      </c>
      <c r="H683" s="11">
        <v>10.61</v>
      </c>
      <c r="I683" s="11">
        <v>48</v>
      </c>
      <c r="J683" s="11">
        <v>713</v>
      </c>
      <c r="K683" s="11" t="s">
        <v>1039</v>
      </c>
      <c r="L683" s="11" t="s">
        <v>1044</v>
      </c>
      <c r="M683" s="13">
        <v>44346</v>
      </c>
      <c r="N683" s="11" t="s">
        <v>1047</v>
      </c>
      <c r="O683" s="14">
        <f t="shared" si="51"/>
        <v>14172.105907055755</v>
      </c>
      <c r="P683" s="14">
        <f t="shared" si="52"/>
        <v>680261.08353867626</v>
      </c>
      <c r="Q683" s="14">
        <f t="shared" si="53"/>
        <v>127883.08353867626</v>
      </c>
      <c r="R683" s="11">
        <f t="shared" ca="1" si="54"/>
        <v>4</v>
      </c>
      <c r="S683" s="11" t="str">
        <f t="shared" si="55"/>
        <v>700-749</v>
      </c>
    </row>
    <row r="684" spans="1:19" x14ac:dyDescent="0.3">
      <c r="A684" s="11" t="s">
        <v>696</v>
      </c>
      <c r="B684" s="11" t="s">
        <v>1033</v>
      </c>
      <c r="C684" s="11">
        <v>35</v>
      </c>
      <c r="D684" s="11" t="s">
        <v>1035</v>
      </c>
      <c r="E684" s="11" t="s">
        <v>1036</v>
      </c>
      <c r="F684" s="12">
        <v>956662</v>
      </c>
      <c r="G684" s="12">
        <v>1868883</v>
      </c>
      <c r="H684" s="11">
        <v>7.71</v>
      </c>
      <c r="I684" s="11">
        <v>60</v>
      </c>
      <c r="J684" s="11">
        <v>823</v>
      </c>
      <c r="K684" s="11" t="s">
        <v>1041</v>
      </c>
      <c r="L684" s="11" t="s">
        <v>1044</v>
      </c>
      <c r="M684" s="13">
        <v>44971</v>
      </c>
      <c r="N684" s="11" t="s">
        <v>1048</v>
      </c>
      <c r="O684" s="14">
        <f t="shared" si="51"/>
        <v>37635.359344182456</v>
      </c>
      <c r="P684" s="14">
        <f t="shared" si="52"/>
        <v>2258121.5606509475</v>
      </c>
      <c r="Q684" s="14">
        <f t="shared" si="53"/>
        <v>389238.5606509475</v>
      </c>
      <c r="R684" s="11">
        <f t="shared" ca="1" si="54"/>
        <v>2</v>
      </c>
      <c r="S684" s="11" t="str">
        <f t="shared" si="55"/>
        <v>800-850</v>
      </c>
    </row>
    <row r="685" spans="1:19" x14ac:dyDescent="0.3">
      <c r="A685" s="11" t="s">
        <v>697</v>
      </c>
      <c r="B685" s="11" t="s">
        <v>1018</v>
      </c>
      <c r="C685" s="11">
        <v>49</v>
      </c>
      <c r="D685" s="11" t="s">
        <v>1035</v>
      </c>
      <c r="E685" s="11" t="s">
        <v>1036</v>
      </c>
      <c r="F685" s="12">
        <v>1256662</v>
      </c>
      <c r="G685" s="12">
        <v>969002</v>
      </c>
      <c r="H685" s="11">
        <v>10.53</v>
      </c>
      <c r="I685" s="11">
        <v>48</v>
      </c>
      <c r="J685" s="11">
        <v>841</v>
      </c>
      <c r="K685" s="11" t="s">
        <v>1042</v>
      </c>
      <c r="L685" s="11" t="s">
        <v>1044</v>
      </c>
      <c r="M685" s="13">
        <v>44109</v>
      </c>
      <c r="N685" s="11" t="s">
        <v>1047</v>
      </c>
      <c r="O685" s="14">
        <f t="shared" si="51"/>
        <v>24823.767635394965</v>
      </c>
      <c r="P685" s="14">
        <f t="shared" si="52"/>
        <v>1191540.8464989583</v>
      </c>
      <c r="Q685" s="14">
        <f t="shared" si="53"/>
        <v>222538.8464989583</v>
      </c>
      <c r="R685" s="11">
        <f t="shared" ca="1" si="54"/>
        <v>5</v>
      </c>
      <c r="S685" s="11" t="str">
        <f t="shared" si="55"/>
        <v>800-850</v>
      </c>
    </row>
    <row r="686" spans="1:19" x14ac:dyDescent="0.3">
      <c r="A686" s="11" t="s">
        <v>698</v>
      </c>
      <c r="B686" s="11" t="s">
        <v>1016</v>
      </c>
      <c r="C686" s="11">
        <v>57</v>
      </c>
      <c r="D686" s="11" t="s">
        <v>1034</v>
      </c>
      <c r="E686" s="11" t="s">
        <v>1037</v>
      </c>
      <c r="F686" s="12">
        <v>1635219</v>
      </c>
      <c r="G686" s="12">
        <v>1361963</v>
      </c>
      <c r="H686" s="11">
        <v>9</v>
      </c>
      <c r="I686" s="11">
        <v>36</v>
      </c>
      <c r="J686" s="11">
        <v>724</v>
      </c>
      <c r="K686" s="11" t="s">
        <v>1042</v>
      </c>
      <c r="L686" s="11" t="s">
        <v>1044</v>
      </c>
      <c r="M686" s="13">
        <v>45073</v>
      </c>
      <c r="N686" s="11" t="s">
        <v>1047</v>
      </c>
      <c r="O686" s="14">
        <f t="shared" si="51"/>
        <v>43310.059292730795</v>
      </c>
      <c r="P686" s="14">
        <f t="shared" si="52"/>
        <v>1559162.1345383087</v>
      </c>
      <c r="Q686" s="14">
        <f t="shared" si="53"/>
        <v>197199.13453830872</v>
      </c>
      <c r="R686" s="11">
        <f t="shared" ca="1" si="54"/>
        <v>2</v>
      </c>
      <c r="S686" s="11" t="str">
        <f t="shared" si="55"/>
        <v>700-749</v>
      </c>
    </row>
    <row r="687" spans="1:19" x14ac:dyDescent="0.3">
      <c r="A687" s="11" t="s">
        <v>699</v>
      </c>
      <c r="B687" s="11" t="s">
        <v>1022</v>
      </c>
      <c r="C687" s="11">
        <v>46</v>
      </c>
      <c r="D687" s="11" t="s">
        <v>1034</v>
      </c>
      <c r="E687" s="11" t="s">
        <v>1038</v>
      </c>
      <c r="F687" s="12">
        <v>830656</v>
      </c>
      <c r="G687" s="12">
        <v>1013349</v>
      </c>
      <c r="H687" s="11">
        <v>14.09</v>
      </c>
      <c r="I687" s="11">
        <v>60</v>
      </c>
      <c r="J687" s="11">
        <v>667</v>
      </c>
      <c r="K687" s="11" t="s">
        <v>1040</v>
      </c>
      <c r="L687" s="11" t="s">
        <v>1044</v>
      </c>
      <c r="M687" s="13">
        <v>43158</v>
      </c>
      <c r="N687" s="11" t="s">
        <v>1046</v>
      </c>
      <c r="O687" s="14">
        <f t="shared" si="51"/>
        <v>23626.167614462091</v>
      </c>
      <c r="P687" s="14">
        <f t="shared" si="52"/>
        <v>1417570.0568677254</v>
      </c>
      <c r="Q687" s="14">
        <f t="shared" si="53"/>
        <v>404221.05686772545</v>
      </c>
      <c r="R687" s="11">
        <f t="shared" ca="1" si="54"/>
        <v>7</v>
      </c>
      <c r="S687" s="11" t="str">
        <f t="shared" si="55"/>
        <v>650-699</v>
      </c>
    </row>
    <row r="688" spans="1:19" x14ac:dyDescent="0.3">
      <c r="A688" s="11" t="s">
        <v>700</v>
      </c>
      <c r="B688" s="11" t="s">
        <v>1014</v>
      </c>
      <c r="C688" s="11">
        <v>55</v>
      </c>
      <c r="D688" s="11" t="s">
        <v>1034</v>
      </c>
      <c r="E688" s="11" t="s">
        <v>1036</v>
      </c>
      <c r="F688" s="12">
        <v>1348821</v>
      </c>
      <c r="G688" s="12">
        <v>706400</v>
      </c>
      <c r="H688" s="11">
        <v>11.77</v>
      </c>
      <c r="I688" s="11">
        <v>120</v>
      </c>
      <c r="J688" s="11">
        <v>621</v>
      </c>
      <c r="K688" s="11" t="s">
        <v>1040</v>
      </c>
      <c r="L688" s="11" t="s">
        <v>1044</v>
      </c>
      <c r="M688" s="13">
        <v>44203</v>
      </c>
      <c r="N688" s="11" t="s">
        <v>1045</v>
      </c>
      <c r="O688" s="14">
        <f t="shared" si="51"/>
        <v>10041.087757924797</v>
      </c>
      <c r="P688" s="14">
        <f t="shared" si="52"/>
        <v>1204930.5309509756</v>
      </c>
      <c r="Q688" s="14">
        <f t="shared" si="53"/>
        <v>498530.5309509756</v>
      </c>
      <c r="R688" s="11">
        <f t="shared" ca="1" si="54"/>
        <v>4</v>
      </c>
      <c r="S688" s="11" t="str">
        <f t="shared" si="55"/>
        <v>600-649</v>
      </c>
    </row>
    <row r="689" spans="1:19" x14ac:dyDescent="0.3">
      <c r="A689" s="11" t="s">
        <v>701</v>
      </c>
      <c r="B689" s="11" t="s">
        <v>1027</v>
      </c>
      <c r="C689" s="11">
        <v>31</v>
      </c>
      <c r="D689" s="11" t="s">
        <v>1034</v>
      </c>
      <c r="E689" s="11" t="s">
        <v>1036</v>
      </c>
      <c r="F689" s="12">
        <v>1797157</v>
      </c>
      <c r="G689" s="12">
        <v>1979668</v>
      </c>
      <c r="H689" s="11">
        <v>10.24</v>
      </c>
      <c r="I689" s="11">
        <v>36</v>
      </c>
      <c r="J689" s="11">
        <v>715</v>
      </c>
      <c r="K689" s="11" t="s">
        <v>1041</v>
      </c>
      <c r="L689" s="11" t="s">
        <v>1044</v>
      </c>
      <c r="M689" s="13">
        <v>43791</v>
      </c>
      <c r="N689" s="11" t="s">
        <v>1047</v>
      </c>
      <c r="O689" s="14">
        <f t="shared" si="51"/>
        <v>64101.616511171334</v>
      </c>
      <c r="P689" s="14">
        <f t="shared" si="52"/>
        <v>2307658.194402168</v>
      </c>
      <c r="Q689" s="14">
        <f t="shared" si="53"/>
        <v>327990.19440216804</v>
      </c>
      <c r="R689" s="11">
        <f t="shared" ca="1" si="54"/>
        <v>6</v>
      </c>
      <c r="S689" s="11" t="str">
        <f t="shared" si="55"/>
        <v>700-749</v>
      </c>
    </row>
    <row r="690" spans="1:19" x14ac:dyDescent="0.3">
      <c r="A690" s="11" t="s">
        <v>702</v>
      </c>
      <c r="B690" s="11" t="s">
        <v>1028</v>
      </c>
      <c r="C690" s="11">
        <v>45</v>
      </c>
      <c r="D690" s="11" t="s">
        <v>1034</v>
      </c>
      <c r="E690" s="11" t="s">
        <v>1038</v>
      </c>
      <c r="F690" s="12">
        <v>1267984</v>
      </c>
      <c r="G690" s="12">
        <v>1893699</v>
      </c>
      <c r="H690" s="11">
        <v>10.37</v>
      </c>
      <c r="I690" s="11">
        <v>96</v>
      </c>
      <c r="J690" s="11">
        <v>666</v>
      </c>
      <c r="K690" s="11" t="s">
        <v>1039</v>
      </c>
      <c r="L690" s="11" t="s">
        <v>1044</v>
      </c>
      <c r="M690" s="13">
        <v>43978</v>
      </c>
      <c r="N690" s="11" t="s">
        <v>1047</v>
      </c>
      <c r="O690" s="14">
        <f t="shared" si="51"/>
        <v>29107.380560322945</v>
      </c>
      <c r="P690" s="14">
        <f t="shared" si="52"/>
        <v>2794308.5337910028</v>
      </c>
      <c r="Q690" s="14">
        <f t="shared" si="53"/>
        <v>900609.53379100282</v>
      </c>
      <c r="R690" s="11">
        <f t="shared" ca="1" si="54"/>
        <v>5</v>
      </c>
      <c r="S690" s="11" t="str">
        <f t="shared" si="55"/>
        <v>650-699</v>
      </c>
    </row>
    <row r="691" spans="1:19" x14ac:dyDescent="0.3">
      <c r="A691" s="11" t="s">
        <v>703</v>
      </c>
      <c r="B691" s="11" t="s">
        <v>1021</v>
      </c>
      <c r="C691" s="11">
        <v>44</v>
      </c>
      <c r="D691" s="11" t="s">
        <v>1035</v>
      </c>
      <c r="E691" s="11" t="s">
        <v>1037</v>
      </c>
      <c r="F691" s="12">
        <v>372508</v>
      </c>
      <c r="G691" s="12">
        <v>1593255</v>
      </c>
      <c r="H691" s="11">
        <v>14.52</v>
      </c>
      <c r="I691" s="11">
        <v>72</v>
      </c>
      <c r="J691" s="11">
        <v>778</v>
      </c>
      <c r="K691" s="11" t="s">
        <v>1042</v>
      </c>
      <c r="L691" s="11" t="s">
        <v>1043</v>
      </c>
      <c r="M691" s="13">
        <v>45346</v>
      </c>
      <c r="N691" s="11" t="s">
        <v>1046</v>
      </c>
      <c r="O691" s="14">
        <f t="shared" si="51"/>
        <v>33275.471344624653</v>
      </c>
      <c r="P691" s="14">
        <f t="shared" si="52"/>
        <v>2395833.936812975</v>
      </c>
      <c r="Q691" s="14">
        <f t="shared" si="53"/>
        <v>802578.93681297498</v>
      </c>
      <c r="R691" s="11">
        <f t="shared" ca="1" si="54"/>
        <v>1</v>
      </c>
      <c r="S691" s="11" t="str">
        <f t="shared" si="55"/>
        <v>750-799</v>
      </c>
    </row>
    <row r="692" spans="1:19" x14ac:dyDescent="0.3">
      <c r="A692" s="11" t="s">
        <v>704</v>
      </c>
      <c r="B692" s="11" t="s">
        <v>1033</v>
      </c>
      <c r="C692" s="11">
        <v>32</v>
      </c>
      <c r="D692" s="11" t="s">
        <v>1035</v>
      </c>
      <c r="E692" s="11" t="s">
        <v>1037</v>
      </c>
      <c r="F692" s="12">
        <v>516067</v>
      </c>
      <c r="G692" s="12">
        <v>371953</v>
      </c>
      <c r="H692" s="11">
        <v>8.39</v>
      </c>
      <c r="I692" s="11">
        <v>36</v>
      </c>
      <c r="J692" s="11">
        <v>741</v>
      </c>
      <c r="K692" s="11" t="s">
        <v>1041</v>
      </c>
      <c r="L692" s="11" t="s">
        <v>1044</v>
      </c>
      <c r="M692" s="13">
        <v>45255</v>
      </c>
      <c r="N692" s="11" t="s">
        <v>1048</v>
      </c>
      <c r="O692" s="14">
        <f t="shared" si="51"/>
        <v>11722.690849660867</v>
      </c>
      <c r="P692" s="14">
        <f t="shared" si="52"/>
        <v>422016.8705877912</v>
      </c>
      <c r="Q692" s="14">
        <f t="shared" si="53"/>
        <v>50063.8705877912</v>
      </c>
      <c r="R692" s="11">
        <f t="shared" ca="1" si="54"/>
        <v>2</v>
      </c>
      <c r="S692" s="11" t="str">
        <f t="shared" si="55"/>
        <v>700-749</v>
      </c>
    </row>
    <row r="693" spans="1:19" x14ac:dyDescent="0.3">
      <c r="A693" s="11" t="s">
        <v>705</v>
      </c>
      <c r="B693" s="11" t="s">
        <v>1023</v>
      </c>
      <c r="C693" s="11">
        <v>39</v>
      </c>
      <c r="D693" s="11" t="s">
        <v>1035</v>
      </c>
      <c r="E693" s="11" t="s">
        <v>1036</v>
      </c>
      <c r="F693" s="12">
        <v>730876</v>
      </c>
      <c r="G693" s="12">
        <v>856637</v>
      </c>
      <c r="H693" s="11">
        <v>9.51</v>
      </c>
      <c r="I693" s="11">
        <v>60</v>
      </c>
      <c r="J693" s="11">
        <v>785</v>
      </c>
      <c r="K693" s="11" t="s">
        <v>1039</v>
      </c>
      <c r="L693" s="11" t="s">
        <v>1044</v>
      </c>
      <c r="M693" s="13">
        <v>45537</v>
      </c>
      <c r="N693" s="11" t="s">
        <v>1046</v>
      </c>
      <c r="O693" s="14">
        <f t="shared" si="51"/>
        <v>17995.158063243816</v>
      </c>
      <c r="P693" s="14">
        <f t="shared" si="52"/>
        <v>1079709.4837946289</v>
      </c>
      <c r="Q693" s="14">
        <f t="shared" si="53"/>
        <v>223072.48379462888</v>
      </c>
      <c r="R693" s="11">
        <f t="shared" ca="1" si="54"/>
        <v>1</v>
      </c>
      <c r="S693" s="11" t="str">
        <f t="shared" si="55"/>
        <v>750-799</v>
      </c>
    </row>
    <row r="694" spans="1:19" x14ac:dyDescent="0.3">
      <c r="A694" s="11" t="s">
        <v>706</v>
      </c>
      <c r="B694" s="11" t="s">
        <v>1021</v>
      </c>
      <c r="C694" s="11">
        <v>28</v>
      </c>
      <c r="D694" s="11" t="s">
        <v>1035</v>
      </c>
      <c r="E694" s="11" t="s">
        <v>1038</v>
      </c>
      <c r="F694" s="12">
        <v>915933</v>
      </c>
      <c r="G694" s="12">
        <v>560112</v>
      </c>
      <c r="H694" s="11">
        <v>13.49</v>
      </c>
      <c r="I694" s="11">
        <v>72</v>
      </c>
      <c r="J694" s="11">
        <v>715</v>
      </c>
      <c r="K694" s="11" t="s">
        <v>1040</v>
      </c>
      <c r="L694" s="11" t="s">
        <v>1043</v>
      </c>
      <c r="M694" s="13">
        <v>43137</v>
      </c>
      <c r="N694" s="11" t="s">
        <v>1046</v>
      </c>
      <c r="O694" s="14">
        <f t="shared" si="51"/>
        <v>11389.119228991916</v>
      </c>
      <c r="P694" s="14">
        <f t="shared" si="52"/>
        <v>820016.58448741795</v>
      </c>
      <c r="Q694" s="14">
        <f t="shared" si="53"/>
        <v>259904.58448741795</v>
      </c>
      <c r="R694" s="11">
        <f t="shared" ca="1" si="54"/>
        <v>7</v>
      </c>
      <c r="S694" s="11" t="str">
        <f t="shared" si="55"/>
        <v>700-749</v>
      </c>
    </row>
    <row r="695" spans="1:19" x14ac:dyDescent="0.3">
      <c r="A695" s="11" t="s">
        <v>707</v>
      </c>
      <c r="B695" s="11" t="s">
        <v>1032</v>
      </c>
      <c r="C695" s="11">
        <v>37</v>
      </c>
      <c r="D695" s="11" t="s">
        <v>1034</v>
      </c>
      <c r="E695" s="11" t="s">
        <v>1036</v>
      </c>
      <c r="F695" s="12">
        <v>400671</v>
      </c>
      <c r="G695" s="12">
        <v>609757</v>
      </c>
      <c r="H695" s="11">
        <v>11.15</v>
      </c>
      <c r="I695" s="11">
        <v>60</v>
      </c>
      <c r="J695" s="11">
        <v>681</v>
      </c>
      <c r="K695" s="11" t="s">
        <v>1039</v>
      </c>
      <c r="L695" s="11" t="s">
        <v>1044</v>
      </c>
      <c r="M695" s="13">
        <v>44043</v>
      </c>
      <c r="N695" s="11" t="s">
        <v>1047</v>
      </c>
      <c r="O695" s="14">
        <f t="shared" si="51"/>
        <v>13303.253924055476</v>
      </c>
      <c r="P695" s="14">
        <f t="shared" si="52"/>
        <v>798195.23544332851</v>
      </c>
      <c r="Q695" s="14">
        <f t="shared" si="53"/>
        <v>188438.23544332851</v>
      </c>
      <c r="R695" s="11">
        <f t="shared" ca="1" si="54"/>
        <v>5</v>
      </c>
      <c r="S695" s="11" t="str">
        <f t="shared" si="55"/>
        <v>650-699</v>
      </c>
    </row>
    <row r="696" spans="1:19" x14ac:dyDescent="0.3">
      <c r="A696" s="11" t="s">
        <v>708</v>
      </c>
      <c r="B696" s="11" t="s">
        <v>1017</v>
      </c>
      <c r="C696" s="11">
        <v>25</v>
      </c>
      <c r="D696" s="11" t="s">
        <v>1035</v>
      </c>
      <c r="E696" s="11" t="s">
        <v>1038</v>
      </c>
      <c r="F696" s="12">
        <v>630336</v>
      </c>
      <c r="G696" s="12">
        <v>1953728</v>
      </c>
      <c r="H696" s="11">
        <v>11.14</v>
      </c>
      <c r="I696" s="11">
        <v>60</v>
      </c>
      <c r="J696" s="11">
        <v>691</v>
      </c>
      <c r="K696" s="11" t="s">
        <v>1041</v>
      </c>
      <c r="L696" s="11" t="s">
        <v>1044</v>
      </c>
      <c r="M696" s="13">
        <v>45275</v>
      </c>
      <c r="N696" s="11" t="s">
        <v>1045</v>
      </c>
      <c r="O696" s="14">
        <f t="shared" si="51"/>
        <v>42615.31576033109</v>
      </c>
      <c r="P696" s="14">
        <f t="shared" si="52"/>
        <v>2556918.9456198653</v>
      </c>
      <c r="Q696" s="14">
        <f t="shared" si="53"/>
        <v>603190.94561986532</v>
      </c>
      <c r="R696" s="11">
        <f t="shared" ca="1" si="54"/>
        <v>2</v>
      </c>
      <c r="S696" s="11" t="str">
        <f t="shared" si="55"/>
        <v>650-699</v>
      </c>
    </row>
    <row r="697" spans="1:19" x14ac:dyDescent="0.3">
      <c r="A697" s="11" t="s">
        <v>709</v>
      </c>
      <c r="B697" s="11" t="s">
        <v>1024</v>
      </c>
      <c r="C697" s="11">
        <v>41</v>
      </c>
      <c r="D697" s="11" t="s">
        <v>1034</v>
      </c>
      <c r="E697" s="11" t="s">
        <v>1038</v>
      </c>
      <c r="F697" s="12">
        <v>1253072</v>
      </c>
      <c r="G697" s="12">
        <v>1503538</v>
      </c>
      <c r="H697" s="11">
        <v>14.35</v>
      </c>
      <c r="I697" s="11">
        <v>96</v>
      </c>
      <c r="J697" s="11">
        <v>615</v>
      </c>
      <c r="K697" s="11" t="s">
        <v>1042</v>
      </c>
      <c r="L697" s="11" t="s">
        <v>1044</v>
      </c>
      <c r="M697" s="13">
        <v>44940</v>
      </c>
      <c r="N697" s="11" t="s">
        <v>1045</v>
      </c>
      <c r="O697" s="14">
        <f t="shared" si="51"/>
        <v>26419.084265955134</v>
      </c>
      <c r="P697" s="14">
        <f t="shared" si="52"/>
        <v>2536232.0895316927</v>
      </c>
      <c r="Q697" s="14">
        <f t="shared" si="53"/>
        <v>1032694.0895316927</v>
      </c>
      <c r="R697" s="11">
        <f t="shared" ca="1" si="54"/>
        <v>2</v>
      </c>
      <c r="S697" s="11" t="str">
        <f t="shared" si="55"/>
        <v>600-649</v>
      </c>
    </row>
    <row r="698" spans="1:19" x14ac:dyDescent="0.3">
      <c r="A698" s="11" t="s">
        <v>710</v>
      </c>
      <c r="B698" s="11" t="s">
        <v>1020</v>
      </c>
      <c r="C698" s="11">
        <v>59</v>
      </c>
      <c r="D698" s="11" t="s">
        <v>1034</v>
      </c>
      <c r="E698" s="11" t="s">
        <v>1036</v>
      </c>
      <c r="F698" s="12">
        <v>1401084</v>
      </c>
      <c r="G698" s="12">
        <v>242211</v>
      </c>
      <c r="H698" s="11">
        <v>13.4</v>
      </c>
      <c r="I698" s="11">
        <v>60</v>
      </c>
      <c r="J698" s="11">
        <v>697</v>
      </c>
      <c r="K698" s="11" t="s">
        <v>1039</v>
      </c>
      <c r="L698" s="11" t="s">
        <v>1044</v>
      </c>
      <c r="M698" s="13">
        <v>44268</v>
      </c>
      <c r="N698" s="11" t="s">
        <v>1045</v>
      </c>
      <c r="O698" s="14">
        <f t="shared" si="51"/>
        <v>5560.7674961780995</v>
      </c>
      <c r="P698" s="14">
        <f t="shared" si="52"/>
        <v>333646.04977068596</v>
      </c>
      <c r="Q698" s="14">
        <f t="shared" si="53"/>
        <v>91435.049770685961</v>
      </c>
      <c r="R698" s="11">
        <f t="shared" ca="1" si="54"/>
        <v>4</v>
      </c>
      <c r="S698" s="11" t="str">
        <f t="shared" si="55"/>
        <v>650-699</v>
      </c>
    </row>
    <row r="699" spans="1:19" x14ac:dyDescent="0.3">
      <c r="A699" s="11" t="s">
        <v>711</v>
      </c>
      <c r="B699" s="11" t="s">
        <v>1031</v>
      </c>
      <c r="C699" s="11">
        <v>51</v>
      </c>
      <c r="D699" s="11" t="s">
        <v>1035</v>
      </c>
      <c r="E699" s="11" t="s">
        <v>1037</v>
      </c>
      <c r="F699" s="12">
        <v>432604</v>
      </c>
      <c r="G699" s="12">
        <v>1168122</v>
      </c>
      <c r="H699" s="11">
        <v>13.59</v>
      </c>
      <c r="I699" s="11">
        <v>36</v>
      </c>
      <c r="J699" s="11">
        <v>702</v>
      </c>
      <c r="K699" s="11" t="s">
        <v>1041</v>
      </c>
      <c r="L699" s="11" t="s">
        <v>1044</v>
      </c>
      <c r="M699" s="13">
        <v>43458</v>
      </c>
      <c r="N699" s="11" t="s">
        <v>1047</v>
      </c>
      <c r="O699" s="14">
        <f t="shared" si="51"/>
        <v>39691.424343754181</v>
      </c>
      <c r="P699" s="14">
        <f t="shared" si="52"/>
        <v>1428891.2763751505</v>
      </c>
      <c r="Q699" s="14">
        <f t="shared" si="53"/>
        <v>260769.27637515054</v>
      </c>
      <c r="R699" s="11">
        <f t="shared" ca="1" si="54"/>
        <v>7</v>
      </c>
      <c r="S699" s="11" t="str">
        <f t="shared" si="55"/>
        <v>700-749</v>
      </c>
    </row>
    <row r="700" spans="1:19" x14ac:dyDescent="0.3">
      <c r="A700" s="11" t="s">
        <v>712</v>
      </c>
      <c r="B700" s="11" t="s">
        <v>1018</v>
      </c>
      <c r="C700" s="11">
        <v>42</v>
      </c>
      <c r="D700" s="11" t="s">
        <v>1035</v>
      </c>
      <c r="E700" s="11" t="s">
        <v>1036</v>
      </c>
      <c r="F700" s="12">
        <v>1646007</v>
      </c>
      <c r="G700" s="12">
        <v>1030499</v>
      </c>
      <c r="H700" s="11">
        <v>7.58</v>
      </c>
      <c r="I700" s="11">
        <v>84</v>
      </c>
      <c r="J700" s="11">
        <v>638</v>
      </c>
      <c r="K700" s="11" t="s">
        <v>1040</v>
      </c>
      <c r="L700" s="11" t="s">
        <v>1043</v>
      </c>
      <c r="M700" s="13">
        <v>44605</v>
      </c>
      <c r="N700" s="11" t="s">
        <v>1046</v>
      </c>
      <c r="O700" s="14">
        <f t="shared" si="51"/>
        <v>15846.796034043606</v>
      </c>
      <c r="P700" s="14">
        <f t="shared" si="52"/>
        <v>1331130.8668596628</v>
      </c>
      <c r="Q700" s="14">
        <f t="shared" si="53"/>
        <v>300631.86685966281</v>
      </c>
      <c r="R700" s="11">
        <f t="shared" ca="1" si="54"/>
        <v>3</v>
      </c>
      <c r="S700" s="11" t="str">
        <f t="shared" si="55"/>
        <v>600-649</v>
      </c>
    </row>
    <row r="701" spans="1:19" x14ac:dyDescent="0.3">
      <c r="A701" s="11" t="s">
        <v>713</v>
      </c>
      <c r="B701" s="11" t="s">
        <v>1014</v>
      </c>
      <c r="C701" s="11">
        <v>50</v>
      </c>
      <c r="D701" s="11" t="s">
        <v>1035</v>
      </c>
      <c r="E701" s="11" t="s">
        <v>1037</v>
      </c>
      <c r="F701" s="12">
        <v>824044</v>
      </c>
      <c r="G701" s="12">
        <v>1540755</v>
      </c>
      <c r="H701" s="11">
        <v>13.37</v>
      </c>
      <c r="I701" s="11">
        <v>48</v>
      </c>
      <c r="J701" s="11">
        <v>775</v>
      </c>
      <c r="K701" s="11" t="s">
        <v>1042</v>
      </c>
      <c r="L701" s="11" t="s">
        <v>1044</v>
      </c>
      <c r="M701" s="13">
        <v>43683</v>
      </c>
      <c r="N701" s="11" t="s">
        <v>1048</v>
      </c>
      <c r="O701" s="14">
        <f t="shared" si="51"/>
        <v>41618.103935761952</v>
      </c>
      <c r="P701" s="14">
        <f t="shared" si="52"/>
        <v>1997668.9889165736</v>
      </c>
      <c r="Q701" s="14">
        <f t="shared" si="53"/>
        <v>456913.98891657358</v>
      </c>
      <c r="R701" s="11">
        <f t="shared" ca="1" si="54"/>
        <v>6</v>
      </c>
      <c r="S701" s="11" t="str">
        <f t="shared" si="55"/>
        <v>750-799</v>
      </c>
    </row>
    <row r="702" spans="1:19" x14ac:dyDescent="0.3">
      <c r="A702" s="11" t="s">
        <v>714</v>
      </c>
      <c r="B702" s="11" t="s">
        <v>1025</v>
      </c>
      <c r="C702" s="11">
        <v>45</v>
      </c>
      <c r="D702" s="11" t="s">
        <v>1035</v>
      </c>
      <c r="E702" s="11" t="s">
        <v>1036</v>
      </c>
      <c r="F702" s="12">
        <v>902775</v>
      </c>
      <c r="G702" s="12">
        <v>1671258</v>
      </c>
      <c r="H702" s="11">
        <v>13.9</v>
      </c>
      <c r="I702" s="11">
        <v>120</v>
      </c>
      <c r="J702" s="11">
        <v>644</v>
      </c>
      <c r="K702" s="11" t="s">
        <v>1040</v>
      </c>
      <c r="L702" s="11" t="s">
        <v>1044</v>
      </c>
      <c r="M702" s="13">
        <v>45106</v>
      </c>
      <c r="N702" s="11" t="s">
        <v>1045</v>
      </c>
      <c r="O702" s="14">
        <f t="shared" si="51"/>
        <v>25848.634970718784</v>
      </c>
      <c r="P702" s="14">
        <f t="shared" si="52"/>
        <v>3101836.1964862542</v>
      </c>
      <c r="Q702" s="14">
        <f t="shared" si="53"/>
        <v>1430578.1964862542</v>
      </c>
      <c r="R702" s="11">
        <f t="shared" ca="1" si="54"/>
        <v>2</v>
      </c>
      <c r="S702" s="11" t="str">
        <f t="shared" si="55"/>
        <v>600-649</v>
      </c>
    </row>
    <row r="703" spans="1:19" x14ac:dyDescent="0.3">
      <c r="A703" s="11" t="s">
        <v>715</v>
      </c>
      <c r="B703" s="11" t="s">
        <v>1028</v>
      </c>
      <c r="C703" s="11">
        <v>39</v>
      </c>
      <c r="D703" s="11" t="s">
        <v>1035</v>
      </c>
      <c r="E703" s="11" t="s">
        <v>1036</v>
      </c>
      <c r="F703" s="12">
        <v>1250986</v>
      </c>
      <c r="G703" s="12">
        <v>261010</v>
      </c>
      <c r="H703" s="11">
        <v>9.51</v>
      </c>
      <c r="I703" s="11">
        <v>72</v>
      </c>
      <c r="J703" s="11">
        <v>607</v>
      </c>
      <c r="K703" s="11" t="s">
        <v>1041</v>
      </c>
      <c r="L703" s="11" t="s">
        <v>1044</v>
      </c>
      <c r="M703" s="13">
        <v>43144</v>
      </c>
      <c r="N703" s="11" t="s">
        <v>1047</v>
      </c>
      <c r="O703" s="14">
        <f t="shared" si="51"/>
        <v>4771.1829947458145</v>
      </c>
      <c r="P703" s="14">
        <f t="shared" si="52"/>
        <v>343525.17562169867</v>
      </c>
      <c r="Q703" s="14">
        <f t="shared" si="53"/>
        <v>82515.175621698669</v>
      </c>
      <c r="R703" s="11">
        <f t="shared" ca="1" si="54"/>
        <v>7</v>
      </c>
      <c r="S703" s="11" t="str">
        <f t="shared" si="55"/>
        <v>600-649</v>
      </c>
    </row>
    <row r="704" spans="1:19" x14ac:dyDescent="0.3">
      <c r="A704" s="11" t="s">
        <v>716</v>
      </c>
      <c r="B704" s="11" t="s">
        <v>1029</v>
      </c>
      <c r="C704" s="11">
        <v>49</v>
      </c>
      <c r="D704" s="11" t="s">
        <v>1035</v>
      </c>
      <c r="E704" s="11" t="s">
        <v>1036</v>
      </c>
      <c r="F704" s="12">
        <v>1988830</v>
      </c>
      <c r="G704" s="12">
        <v>1472792</v>
      </c>
      <c r="H704" s="11">
        <v>11.08</v>
      </c>
      <c r="I704" s="11">
        <v>120</v>
      </c>
      <c r="J704" s="11">
        <v>781</v>
      </c>
      <c r="K704" s="11" t="s">
        <v>1040</v>
      </c>
      <c r="L704" s="11" t="s">
        <v>1044</v>
      </c>
      <c r="M704" s="13">
        <v>45441</v>
      </c>
      <c r="N704" s="11" t="s">
        <v>1045</v>
      </c>
      <c r="O704" s="14">
        <f t="shared" si="51"/>
        <v>20354.463406059043</v>
      </c>
      <c r="P704" s="14">
        <f t="shared" si="52"/>
        <v>2442535.6087270854</v>
      </c>
      <c r="Q704" s="14">
        <f t="shared" si="53"/>
        <v>969743.6087270854</v>
      </c>
      <c r="R704" s="11">
        <f t="shared" ca="1" si="54"/>
        <v>1</v>
      </c>
      <c r="S704" s="11" t="str">
        <f t="shared" si="55"/>
        <v>750-799</v>
      </c>
    </row>
    <row r="705" spans="1:19" x14ac:dyDescent="0.3">
      <c r="A705" s="11" t="s">
        <v>717</v>
      </c>
      <c r="B705" s="11" t="s">
        <v>1023</v>
      </c>
      <c r="C705" s="11">
        <v>54</v>
      </c>
      <c r="D705" s="11" t="s">
        <v>1034</v>
      </c>
      <c r="E705" s="11" t="s">
        <v>1036</v>
      </c>
      <c r="F705" s="12">
        <v>850936</v>
      </c>
      <c r="G705" s="12">
        <v>638000</v>
      </c>
      <c r="H705" s="11">
        <v>11.57</v>
      </c>
      <c r="I705" s="11">
        <v>96</v>
      </c>
      <c r="J705" s="11">
        <v>612</v>
      </c>
      <c r="K705" s="11" t="s">
        <v>1040</v>
      </c>
      <c r="L705" s="11" t="s">
        <v>1044</v>
      </c>
      <c r="M705" s="13">
        <v>43253</v>
      </c>
      <c r="N705" s="11" t="s">
        <v>1045</v>
      </c>
      <c r="O705" s="14">
        <f t="shared" si="51"/>
        <v>10219.170138795082</v>
      </c>
      <c r="P705" s="14">
        <f t="shared" si="52"/>
        <v>981040.33332432783</v>
      </c>
      <c r="Q705" s="14">
        <f t="shared" si="53"/>
        <v>343040.33332432783</v>
      </c>
      <c r="R705" s="11">
        <f t="shared" ca="1" si="54"/>
        <v>7</v>
      </c>
      <c r="S705" s="11" t="str">
        <f t="shared" si="55"/>
        <v>600-649</v>
      </c>
    </row>
    <row r="706" spans="1:19" x14ac:dyDescent="0.3">
      <c r="A706" s="11" t="s">
        <v>718</v>
      </c>
      <c r="B706" s="11" t="s">
        <v>1029</v>
      </c>
      <c r="C706" s="11">
        <v>53</v>
      </c>
      <c r="D706" s="11" t="s">
        <v>1034</v>
      </c>
      <c r="E706" s="11" t="s">
        <v>1036</v>
      </c>
      <c r="F706" s="12">
        <v>986332</v>
      </c>
      <c r="G706" s="12">
        <v>495204</v>
      </c>
      <c r="H706" s="11">
        <v>7.98</v>
      </c>
      <c r="I706" s="11">
        <v>120</v>
      </c>
      <c r="J706" s="11">
        <v>820</v>
      </c>
      <c r="K706" s="11" t="s">
        <v>1039</v>
      </c>
      <c r="L706" s="11" t="s">
        <v>1044</v>
      </c>
      <c r="M706" s="13">
        <v>44039</v>
      </c>
      <c r="N706" s="11" t="s">
        <v>1048</v>
      </c>
      <c r="O706" s="14">
        <f t="shared" si="51"/>
        <v>6002.9589557289637</v>
      </c>
      <c r="P706" s="14">
        <f t="shared" si="52"/>
        <v>720355.07468747569</v>
      </c>
      <c r="Q706" s="14">
        <f t="shared" si="53"/>
        <v>225151.07468747569</v>
      </c>
      <c r="R706" s="11">
        <f t="shared" ca="1" si="54"/>
        <v>5</v>
      </c>
      <c r="S706" s="11" t="str">
        <f t="shared" si="55"/>
        <v>800-850</v>
      </c>
    </row>
    <row r="707" spans="1:19" x14ac:dyDescent="0.3">
      <c r="A707" s="11" t="s">
        <v>719</v>
      </c>
      <c r="B707" s="11" t="s">
        <v>1021</v>
      </c>
      <c r="C707" s="11">
        <v>52</v>
      </c>
      <c r="D707" s="11" t="s">
        <v>1034</v>
      </c>
      <c r="E707" s="11" t="s">
        <v>1037</v>
      </c>
      <c r="F707" s="12">
        <v>1570718</v>
      </c>
      <c r="G707" s="12">
        <v>1036961</v>
      </c>
      <c r="H707" s="11">
        <v>11.86</v>
      </c>
      <c r="I707" s="11">
        <v>84</v>
      </c>
      <c r="J707" s="11">
        <v>753</v>
      </c>
      <c r="K707" s="11" t="s">
        <v>1041</v>
      </c>
      <c r="L707" s="11" t="s">
        <v>1044</v>
      </c>
      <c r="M707" s="13">
        <v>43633</v>
      </c>
      <c r="N707" s="11" t="s">
        <v>1045</v>
      </c>
      <c r="O707" s="14">
        <f t="shared" ref="O707:O770" si="56">PMT(H707/1200,I707,-G707)</f>
        <v>18227.649526665093</v>
      </c>
      <c r="P707" s="14">
        <f t="shared" ref="P707:P770" si="57">O707*I707</f>
        <v>1531122.5602398678</v>
      </c>
      <c r="Q707" s="14">
        <f t="shared" ref="Q707:Q770" si="58">P707-G707</f>
        <v>494161.56023986777</v>
      </c>
      <c r="R707" s="11">
        <f t="shared" ref="R707:R770" ca="1" si="59">(YEAR(TODAY())-YEAR(M707))</f>
        <v>6</v>
      </c>
      <c r="S707" s="11" t="str">
        <f t="shared" ref="S707:S770" si="60">IF(J707&lt;650,"600-649",
IF(J707&lt;700,"650-699",
IF(J707&lt;750,"700-749",
IF(J707&lt;800,"750-799","800-850"))))</f>
        <v>750-799</v>
      </c>
    </row>
    <row r="708" spans="1:19" x14ac:dyDescent="0.3">
      <c r="A708" s="11" t="s">
        <v>720</v>
      </c>
      <c r="B708" s="11" t="s">
        <v>1021</v>
      </c>
      <c r="C708" s="11">
        <v>27</v>
      </c>
      <c r="D708" s="11" t="s">
        <v>1034</v>
      </c>
      <c r="E708" s="11" t="s">
        <v>1038</v>
      </c>
      <c r="F708" s="12">
        <v>1252928</v>
      </c>
      <c r="G708" s="12">
        <v>1756360</v>
      </c>
      <c r="H708" s="11">
        <v>9.56</v>
      </c>
      <c r="I708" s="11">
        <v>60</v>
      </c>
      <c r="J708" s="11">
        <v>627</v>
      </c>
      <c r="K708" s="11" t="s">
        <v>1040</v>
      </c>
      <c r="L708" s="11" t="s">
        <v>1044</v>
      </c>
      <c r="M708" s="13">
        <v>43174</v>
      </c>
      <c r="N708" s="11" t="s">
        <v>1045</v>
      </c>
      <c r="O708" s="14">
        <f t="shared" si="56"/>
        <v>36938.349392682816</v>
      </c>
      <c r="P708" s="14">
        <f t="shared" si="57"/>
        <v>2216300.9635609691</v>
      </c>
      <c r="Q708" s="14">
        <f t="shared" si="58"/>
        <v>459940.9635609691</v>
      </c>
      <c r="R708" s="11">
        <f t="shared" ca="1" si="59"/>
        <v>7</v>
      </c>
      <c r="S708" s="11" t="str">
        <f t="shared" si="60"/>
        <v>600-649</v>
      </c>
    </row>
    <row r="709" spans="1:19" x14ac:dyDescent="0.3">
      <c r="A709" s="11" t="s">
        <v>721</v>
      </c>
      <c r="B709" s="11" t="s">
        <v>1020</v>
      </c>
      <c r="C709" s="11">
        <v>56</v>
      </c>
      <c r="D709" s="11" t="s">
        <v>1035</v>
      </c>
      <c r="E709" s="11" t="s">
        <v>1038</v>
      </c>
      <c r="F709" s="12">
        <v>1591656</v>
      </c>
      <c r="G709" s="12">
        <v>229152</v>
      </c>
      <c r="H709" s="11">
        <v>11.69</v>
      </c>
      <c r="I709" s="11">
        <v>72</v>
      </c>
      <c r="J709" s="11">
        <v>781</v>
      </c>
      <c r="K709" s="11" t="s">
        <v>1041</v>
      </c>
      <c r="L709" s="11" t="s">
        <v>1044</v>
      </c>
      <c r="M709" s="13">
        <v>44237</v>
      </c>
      <c r="N709" s="11" t="s">
        <v>1045</v>
      </c>
      <c r="O709" s="14">
        <f t="shared" si="56"/>
        <v>4443.1105512666672</v>
      </c>
      <c r="P709" s="14">
        <f t="shared" si="57"/>
        <v>319903.95969120006</v>
      </c>
      <c r="Q709" s="14">
        <f t="shared" si="58"/>
        <v>90751.959691200056</v>
      </c>
      <c r="R709" s="11">
        <f t="shared" ca="1" si="59"/>
        <v>4</v>
      </c>
      <c r="S709" s="11" t="str">
        <f t="shared" si="60"/>
        <v>750-799</v>
      </c>
    </row>
    <row r="710" spans="1:19" x14ac:dyDescent="0.3">
      <c r="A710" s="11" t="s">
        <v>722</v>
      </c>
      <c r="B710" s="11" t="s">
        <v>1030</v>
      </c>
      <c r="C710" s="11">
        <v>38</v>
      </c>
      <c r="D710" s="11" t="s">
        <v>1035</v>
      </c>
      <c r="E710" s="11" t="s">
        <v>1037</v>
      </c>
      <c r="F710" s="12">
        <v>334372</v>
      </c>
      <c r="G710" s="12">
        <v>445091</v>
      </c>
      <c r="H710" s="11">
        <v>8.7200000000000006</v>
      </c>
      <c r="I710" s="11">
        <v>96</v>
      </c>
      <c r="J710" s="11">
        <v>622</v>
      </c>
      <c r="K710" s="11" t="s">
        <v>1039</v>
      </c>
      <c r="L710" s="11" t="s">
        <v>1044</v>
      </c>
      <c r="M710" s="13">
        <v>45157</v>
      </c>
      <c r="N710" s="11" t="s">
        <v>1048</v>
      </c>
      <c r="O710" s="14">
        <f t="shared" si="56"/>
        <v>6456.2047123409893</v>
      </c>
      <c r="P710" s="14">
        <f t="shared" si="57"/>
        <v>619795.65238473495</v>
      </c>
      <c r="Q710" s="14">
        <f t="shared" si="58"/>
        <v>174704.65238473495</v>
      </c>
      <c r="R710" s="11">
        <f t="shared" ca="1" si="59"/>
        <v>2</v>
      </c>
      <c r="S710" s="11" t="str">
        <f t="shared" si="60"/>
        <v>600-649</v>
      </c>
    </row>
    <row r="711" spans="1:19" x14ac:dyDescent="0.3">
      <c r="A711" s="11" t="s">
        <v>723</v>
      </c>
      <c r="B711" s="11" t="s">
        <v>1019</v>
      </c>
      <c r="C711" s="11">
        <v>30</v>
      </c>
      <c r="D711" s="11" t="s">
        <v>1034</v>
      </c>
      <c r="E711" s="11" t="s">
        <v>1036</v>
      </c>
      <c r="F711" s="12">
        <v>1200338</v>
      </c>
      <c r="G711" s="12">
        <v>547286</v>
      </c>
      <c r="H711" s="11">
        <v>13.55</v>
      </c>
      <c r="I711" s="11">
        <v>36</v>
      </c>
      <c r="J711" s="11">
        <v>620</v>
      </c>
      <c r="K711" s="11" t="s">
        <v>1040</v>
      </c>
      <c r="L711" s="11" t="s">
        <v>1044</v>
      </c>
      <c r="M711" s="13">
        <v>44965</v>
      </c>
      <c r="N711" s="11" t="s">
        <v>1048</v>
      </c>
      <c r="O711" s="14">
        <f t="shared" si="56"/>
        <v>18585.545937723782</v>
      </c>
      <c r="P711" s="14">
        <f t="shared" si="57"/>
        <v>669079.65375805611</v>
      </c>
      <c r="Q711" s="14">
        <f t="shared" si="58"/>
        <v>121793.65375805611</v>
      </c>
      <c r="R711" s="11">
        <f t="shared" ca="1" si="59"/>
        <v>2</v>
      </c>
      <c r="S711" s="11" t="str">
        <f t="shared" si="60"/>
        <v>600-649</v>
      </c>
    </row>
    <row r="712" spans="1:19" x14ac:dyDescent="0.3">
      <c r="A712" s="11" t="s">
        <v>724</v>
      </c>
      <c r="B712" s="11" t="s">
        <v>1023</v>
      </c>
      <c r="C712" s="11">
        <v>60</v>
      </c>
      <c r="D712" s="11" t="s">
        <v>1035</v>
      </c>
      <c r="E712" s="11" t="s">
        <v>1038</v>
      </c>
      <c r="F712" s="12">
        <v>1267632</v>
      </c>
      <c r="G712" s="12">
        <v>393252</v>
      </c>
      <c r="H712" s="11">
        <v>9.48</v>
      </c>
      <c r="I712" s="11">
        <v>72</v>
      </c>
      <c r="J712" s="11">
        <v>758</v>
      </c>
      <c r="K712" s="11" t="s">
        <v>1042</v>
      </c>
      <c r="L712" s="11" t="s">
        <v>1044</v>
      </c>
      <c r="M712" s="13">
        <v>44242</v>
      </c>
      <c r="N712" s="11" t="s">
        <v>1047</v>
      </c>
      <c r="O712" s="14">
        <f t="shared" si="56"/>
        <v>7182.6244337647704</v>
      </c>
      <c r="P712" s="14">
        <f t="shared" si="57"/>
        <v>517148.95923106349</v>
      </c>
      <c r="Q712" s="14">
        <f t="shared" si="58"/>
        <v>123896.95923106349</v>
      </c>
      <c r="R712" s="11">
        <f t="shared" ca="1" si="59"/>
        <v>4</v>
      </c>
      <c r="S712" s="11" t="str">
        <f t="shared" si="60"/>
        <v>750-799</v>
      </c>
    </row>
    <row r="713" spans="1:19" x14ac:dyDescent="0.3">
      <c r="A713" s="11" t="s">
        <v>725</v>
      </c>
      <c r="B713" s="11" t="s">
        <v>1024</v>
      </c>
      <c r="C713" s="11">
        <v>34</v>
      </c>
      <c r="D713" s="11" t="s">
        <v>1035</v>
      </c>
      <c r="E713" s="11" t="s">
        <v>1037</v>
      </c>
      <c r="F713" s="12">
        <v>517195</v>
      </c>
      <c r="G713" s="12">
        <v>1550076</v>
      </c>
      <c r="H713" s="11">
        <v>11.57</v>
      </c>
      <c r="I713" s="11">
        <v>96</v>
      </c>
      <c r="J713" s="11">
        <v>719</v>
      </c>
      <c r="K713" s="11" t="s">
        <v>1042</v>
      </c>
      <c r="L713" s="11" t="s">
        <v>1044</v>
      </c>
      <c r="M713" s="13">
        <v>44970</v>
      </c>
      <c r="N713" s="11" t="s">
        <v>1047</v>
      </c>
      <c r="O713" s="14">
        <f t="shared" si="56"/>
        <v>24828.354815145649</v>
      </c>
      <c r="P713" s="14">
        <f t="shared" si="57"/>
        <v>2383522.0622539823</v>
      </c>
      <c r="Q713" s="14">
        <f t="shared" si="58"/>
        <v>833446.06225398229</v>
      </c>
      <c r="R713" s="11">
        <f t="shared" ca="1" si="59"/>
        <v>2</v>
      </c>
      <c r="S713" s="11" t="str">
        <f t="shared" si="60"/>
        <v>700-749</v>
      </c>
    </row>
    <row r="714" spans="1:19" x14ac:dyDescent="0.3">
      <c r="A714" s="11" t="s">
        <v>726</v>
      </c>
      <c r="B714" s="11" t="s">
        <v>1027</v>
      </c>
      <c r="C714" s="11">
        <v>28</v>
      </c>
      <c r="D714" s="11" t="s">
        <v>1034</v>
      </c>
      <c r="E714" s="11" t="s">
        <v>1037</v>
      </c>
      <c r="F714" s="12">
        <v>1143544</v>
      </c>
      <c r="G714" s="12">
        <v>651363</v>
      </c>
      <c r="H714" s="11">
        <v>14.74</v>
      </c>
      <c r="I714" s="11">
        <v>72</v>
      </c>
      <c r="J714" s="11">
        <v>721</v>
      </c>
      <c r="K714" s="11" t="s">
        <v>1041</v>
      </c>
      <c r="L714" s="11" t="s">
        <v>1043</v>
      </c>
      <c r="M714" s="13">
        <v>43493</v>
      </c>
      <c r="N714" s="11" t="s">
        <v>1046</v>
      </c>
      <c r="O714" s="14">
        <f t="shared" si="56"/>
        <v>13681.275312745538</v>
      </c>
      <c r="P714" s="14">
        <f t="shared" si="57"/>
        <v>985051.82251767872</v>
      </c>
      <c r="Q714" s="14">
        <f t="shared" si="58"/>
        <v>333688.82251767872</v>
      </c>
      <c r="R714" s="11">
        <f t="shared" ca="1" si="59"/>
        <v>6</v>
      </c>
      <c r="S714" s="11" t="str">
        <f t="shared" si="60"/>
        <v>700-749</v>
      </c>
    </row>
    <row r="715" spans="1:19" x14ac:dyDescent="0.3">
      <c r="A715" s="11" t="s">
        <v>727</v>
      </c>
      <c r="B715" s="11" t="s">
        <v>1018</v>
      </c>
      <c r="C715" s="11">
        <v>27</v>
      </c>
      <c r="D715" s="11" t="s">
        <v>1034</v>
      </c>
      <c r="E715" s="11" t="s">
        <v>1038</v>
      </c>
      <c r="F715" s="12">
        <v>1029023</v>
      </c>
      <c r="G715" s="12">
        <v>1614201</v>
      </c>
      <c r="H715" s="11">
        <v>13.36</v>
      </c>
      <c r="I715" s="11">
        <v>96</v>
      </c>
      <c r="J715" s="11">
        <v>659</v>
      </c>
      <c r="K715" s="11" t="s">
        <v>1040</v>
      </c>
      <c r="L715" s="11" t="s">
        <v>1044</v>
      </c>
      <c r="M715" s="13">
        <v>43597</v>
      </c>
      <c r="N715" s="11" t="s">
        <v>1047</v>
      </c>
      <c r="O715" s="14">
        <f t="shared" si="56"/>
        <v>27456.364250783419</v>
      </c>
      <c r="P715" s="14">
        <f t="shared" si="57"/>
        <v>2635810.9680752084</v>
      </c>
      <c r="Q715" s="14">
        <f t="shared" si="58"/>
        <v>1021609.9680752084</v>
      </c>
      <c r="R715" s="11">
        <f t="shared" ca="1" si="59"/>
        <v>6</v>
      </c>
      <c r="S715" s="11" t="str">
        <f t="shared" si="60"/>
        <v>650-699</v>
      </c>
    </row>
    <row r="716" spans="1:19" x14ac:dyDescent="0.3">
      <c r="A716" s="11" t="s">
        <v>728</v>
      </c>
      <c r="B716" s="11" t="s">
        <v>1029</v>
      </c>
      <c r="C716" s="11">
        <v>34</v>
      </c>
      <c r="D716" s="11" t="s">
        <v>1034</v>
      </c>
      <c r="E716" s="11" t="s">
        <v>1038</v>
      </c>
      <c r="F716" s="12">
        <v>1453371</v>
      </c>
      <c r="G716" s="12">
        <v>817812</v>
      </c>
      <c r="H716" s="11">
        <v>13.69</v>
      </c>
      <c r="I716" s="11">
        <v>60</v>
      </c>
      <c r="J716" s="11">
        <v>840</v>
      </c>
      <c r="K716" s="11" t="s">
        <v>1041</v>
      </c>
      <c r="L716" s="11" t="s">
        <v>1044</v>
      </c>
      <c r="M716" s="13">
        <v>45426</v>
      </c>
      <c r="N716" s="11" t="s">
        <v>1047</v>
      </c>
      <c r="O716" s="14">
        <f t="shared" si="56"/>
        <v>18897.875361274968</v>
      </c>
      <c r="P716" s="14">
        <f t="shared" si="57"/>
        <v>1133872.521676498</v>
      </c>
      <c r="Q716" s="14">
        <f t="shared" si="58"/>
        <v>316060.521676498</v>
      </c>
      <c r="R716" s="11">
        <f t="shared" ca="1" si="59"/>
        <v>1</v>
      </c>
      <c r="S716" s="11" t="str">
        <f t="shared" si="60"/>
        <v>800-850</v>
      </c>
    </row>
    <row r="717" spans="1:19" x14ac:dyDescent="0.3">
      <c r="A717" s="11" t="s">
        <v>729</v>
      </c>
      <c r="B717" s="11" t="s">
        <v>1029</v>
      </c>
      <c r="C717" s="11">
        <v>31</v>
      </c>
      <c r="D717" s="11" t="s">
        <v>1034</v>
      </c>
      <c r="E717" s="11" t="s">
        <v>1038</v>
      </c>
      <c r="F717" s="12">
        <v>1248483</v>
      </c>
      <c r="G717" s="12">
        <v>1042076</v>
      </c>
      <c r="H717" s="11">
        <v>10.52</v>
      </c>
      <c r="I717" s="11">
        <v>96</v>
      </c>
      <c r="J717" s="11">
        <v>839</v>
      </c>
      <c r="K717" s="11" t="s">
        <v>1040</v>
      </c>
      <c r="L717" s="11" t="s">
        <v>1044</v>
      </c>
      <c r="M717" s="13">
        <v>45186</v>
      </c>
      <c r="N717" s="11" t="s">
        <v>1047</v>
      </c>
      <c r="O717" s="14">
        <f t="shared" si="56"/>
        <v>16100.807408111525</v>
      </c>
      <c r="P717" s="14">
        <f t="shared" si="57"/>
        <v>1545677.5111787063</v>
      </c>
      <c r="Q717" s="14">
        <f t="shared" si="58"/>
        <v>503601.51117870631</v>
      </c>
      <c r="R717" s="11">
        <f t="shared" ca="1" si="59"/>
        <v>2</v>
      </c>
      <c r="S717" s="11" t="str">
        <f t="shared" si="60"/>
        <v>800-850</v>
      </c>
    </row>
    <row r="718" spans="1:19" x14ac:dyDescent="0.3">
      <c r="A718" s="11" t="s">
        <v>730</v>
      </c>
      <c r="B718" s="11" t="s">
        <v>1028</v>
      </c>
      <c r="C718" s="11">
        <v>40</v>
      </c>
      <c r="D718" s="11" t="s">
        <v>1035</v>
      </c>
      <c r="E718" s="11" t="s">
        <v>1036</v>
      </c>
      <c r="F718" s="12">
        <v>1162287</v>
      </c>
      <c r="G718" s="12">
        <v>967382</v>
      </c>
      <c r="H718" s="11">
        <v>13.92</v>
      </c>
      <c r="I718" s="11">
        <v>60</v>
      </c>
      <c r="J718" s="11">
        <v>809</v>
      </c>
      <c r="K718" s="11" t="s">
        <v>1041</v>
      </c>
      <c r="L718" s="11" t="s">
        <v>1044</v>
      </c>
      <c r="M718" s="13">
        <v>43598</v>
      </c>
      <c r="N718" s="11" t="s">
        <v>1047</v>
      </c>
      <c r="O718" s="14">
        <f t="shared" si="56"/>
        <v>22469.185025429419</v>
      </c>
      <c r="P718" s="14">
        <f t="shared" si="57"/>
        <v>1348151.1015257651</v>
      </c>
      <c r="Q718" s="14">
        <f t="shared" si="58"/>
        <v>380769.10152576515</v>
      </c>
      <c r="R718" s="11">
        <f t="shared" ca="1" si="59"/>
        <v>6</v>
      </c>
      <c r="S718" s="11" t="str">
        <f t="shared" si="60"/>
        <v>800-850</v>
      </c>
    </row>
    <row r="719" spans="1:19" x14ac:dyDescent="0.3">
      <c r="A719" s="11" t="s">
        <v>731</v>
      </c>
      <c r="B719" s="11" t="s">
        <v>1017</v>
      </c>
      <c r="C719" s="11">
        <v>50</v>
      </c>
      <c r="D719" s="11" t="s">
        <v>1035</v>
      </c>
      <c r="E719" s="11" t="s">
        <v>1036</v>
      </c>
      <c r="F719" s="12">
        <v>1027492</v>
      </c>
      <c r="G719" s="12">
        <v>1880400</v>
      </c>
      <c r="H719" s="11">
        <v>12.1</v>
      </c>
      <c r="I719" s="11">
        <v>48</v>
      </c>
      <c r="J719" s="11">
        <v>744</v>
      </c>
      <c r="K719" s="11" t="s">
        <v>1041</v>
      </c>
      <c r="L719" s="11" t="s">
        <v>1043</v>
      </c>
      <c r="M719" s="13">
        <v>43161</v>
      </c>
      <c r="N719" s="11" t="s">
        <v>1046</v>
      </c>
      <c r="O719" s="14">
        <f t="shared" si="56"/>
        <v>49610.520384110714</v>
      </c>
      <c r="P719" s="14">
        <f t="shared" si="57"/>
        <v>2381304.9784373143</v>
      </c>
      <c r="Q719" s="14">
        <f t="shared" si="58"/>
        <v>500904.97843731428</v>
      </c>
      <c r="R719" s="11">
        <f t="shared" ca="1" si="59"/>
        <v>7</v>
      </c>
      <c r="S719" s="11" t="str">
        <f t="shared" si="60"/>
        <v>700-749</v>
      </c>
    </row>
    <row r="720" spans="1:19" x14ac:dyDescent="0.3">
      <c r="A720" s="11" t="s">
        <v>732</v>
      </c>
      <c r="B720" s="11" t="s">
        <v>1017</v>
      </c>
      <c r="C720" s="11">
        <v>40</v>
      </c>
      <c r="D720" s="11" t="s">
        <v>1035</v>
      </c>
      <c r="E720" s="11" t="s">
        <v>1038</v>
      </c>
      <c r="F720" s="12">
        <v>999252</v>
      </c>
      <c r="G720" s="12">
        <v>1450719</v>
      </c>
      <c r="H720" s="11">
        <v>14.68</v>
      </c>
      <c r="I720" s="11">
        <v>36</v>
      </c>
      <c r="J720" s="11">
        <v>618</v>
      </c>
      <c r="K720" s="11" t="s">
        <v>1041</v>
      </c>
      <c r="L720" s="11" t="s">
        <v>1044</v>
      </c>
      <c r="M720" s="13">
        <v>43444</v>
      </c>
      <c r="N720" s="11" t="s">
        <v>1046</v>
      </c>
      <c r="O720" s="14">
        <f t="shared" si="56"/>
        <v>50062.612933874429</v>
      </c>
      <c r="P720" s="14">
        <f t="shared" si="57"/>
        <v>1802254.0656194794</v>
      </c>
      <c r="Q720" s="14">
        <f t="shared" si="58"/>
        <v>351535.0656194794</v>
      </c>
      <c r="R720" s="11">
        <f t="shared" ca="1" si="59"/>
        <v>7</v>
      </c>
      <c r="S720" s="11" t="str">
        <f t="shared" si="60"/>
        <v>600-649</v>
      </c>
    </row>
    <row r="721" spans="1:19" x14ac:dyDescent="0.3">
      <c r="A721" s="11" t="s">
        <v>733</v>
      </c>
      <c r="B721" s="11" t="s">
        <v>1025</v>
      </c>
      <c r="C721" s="11">
        <v>37</v>
      </c>
      <c r="D721" s="11" t="s">
        <v>1034</v>
      </c>
      <c r="E721" s="11" t="s">
        <v>1036</v>
      </c>
      <c r="F721" s="12">
        <v>1816171</v>
      </c>
      <c r="G721" s="12">
        <v>804868</v>
      </c>
      <c r="H721" s="11">
        <v>13.22</v>
      </c>
      <c r="I721" s="11">
        <v>60</v>
      </c>
      <c r="J721" s="11">
        <v>634</v>
      </c>
      <c r="K721" s="11" t="s">
        <v>1041</v>
      </c>
      <c r="L721" s="11" t="s">
        <v>1043</v>
      </c>
      <c r="M721" s="13">
        <v>44684</v>
      </c>
      <c r="N721" s="11" t="s">
        <v>1047</v>
      </c>
      <c r="O721" s="14">
        <f t="shared" si="56"/>
        <v>18403.992326046049</v>
      </c>
      <c r="P721" s="14">
        <f t="shared" si="57"/>
        <v>1104239.5395627629</v>
      </c>
      <c r="Q721" s="14">
        <f t="shared" si="58"/>
        <v>299371.53956276295</v>
      </c>
      <c r="R721" s="11">
        <f t="shared" ca="1" si="59"/>
        <v>3</v>
      </c>
      <c r="S721" s="11" t="str">
        <f t="shared" si="60"/>
        <v>600-649</v>
      </c>
    </row>
    <row r="722" spans="1:19" x14ac:dyDescent="0.3">
      <c r="A722" s="11" t="s">
        <v>734</v>
      </c>
      <c r="B722" s="11" t="s">
        <v>1029</v>
      </c>
      <c r="C722" s="11">
        <v>42</v>
      </c>
      <c r="D722" s="11" t="s">
        <v>1035</v>
      </c>
      <c r="E722" s="11" t="s">
        <v>1036</v>
      </c>
      <c r="F722" s="12">
        <v>1835261</v>
      </c>
      <c r="G722" s="12">
        <v>1422250</v>
      </c>
      <c r="H722" s="11">
        <v>12.52</v>
      </c>
      <c r="I722" s="11">
        <v>48</v>
      </c>
      <c r="J722" s="11">
        <v>733</v>
      </c>
      <c r="K722" s="11" t="s">
        <v>1040</v>
      </c>
      <c r="L722" s="11" t="s">
        <v>1044</v>
      </c>
      <c r="M722" s="13">
        <v>44372</v>
      </c>
      <c r="N722" s="11" t="s">
        <v>1048</v>
      </c>
      <c r="O722" s="14">
        <f t="shared" si="56"/>
        <v>37817.447145519196</v>
      </c>
      <c r="P722" s="14">
        <f t="shared" si="57"/>
        <v>1815237.4629849214</v>
      </c>
      <c r="Q722" s="14">
        <f t="shared" si="58"/>
        <v>392987.46298492141</v>
      </c>
      <c r="R722" s="11">
        <f t="shared" ca="1" si="59"/>
        <v>4</v>
      </c>
      <c r="S722" s="11" t="str">
        <f t="shared" si="60"/>
        <v>700-749</v>
      </c>
    </row>
    <row r="723" spans="1:19" x14ac:dyDescent="0.3">
      <c r="A723" s="11" t="s">
        <v>735</v>
      </c>
      <c r="B723" s="11" t="s">
        <v>1026</v>
      </c>
      <c r="C723" s="11">
        <v>48</v>
      </c>
      <c r="D723" s="11" t="s">
        <v>1035</v>
      </c>
      <c r="E723" s="11" t="s">
        <v>1037</v>
      </c>
      <c r="F723" s="12">
        <v>304660</v>
      </c>
      <c r="G723" s="12">
        <v>1250983</v>
      </c>
      <c r="H723" s="11">
        <v>8.8800000000000008</v>
      </c>
      <c r="I723" s="11">
        <v>96</v>
      </c>
      <c r="J723" s="11">
        <v>673</v>
      </c>
      <c r="K723" s="11" t="s">
        <v>1039</v>
      </c>
      <c r="L723" s="11" t="s">
        <v>1044</v>
      </c>
      <c r="M723" s="13">
        <v>45202</v>
      </c>
      <c r="N723" s="11" t="s">
        <v>1046</v>
      </c>
      <c r="O723" s="14">
        <f t="shared" si="56"/>
        <v>18249.373478881378</v>
      </c>
      <c r="P723" s="14">
        <f t="shared" si="57"/>
        <v>1751939.8539726124</v>
      </c>
      <c r="Q723" s="14">
        <f t="shared" si="58"/>
        <v>500956.85397261241</v>
      </c>
      <c r="R723" s="11">
        <f t="shared" ca="1" si="59"/>
        <v>2</v>
      </c>
      <c r="S723" s="11" t="str">
        <f t="shared" si="60"/>
        <v>650-699</v>
      </c>
    </row>
    <row r="724" spans="1:19" x14ac:dyDescent="0.3">
      <c r="A724" s="11" t="s">
        <v>736</v>
      </c>
      <c r="B724" s="11" t="s">
        <v>1027</v>
      </c>
      <c r="C724" s="11">
        <v>29</v>
      </c>
      <c r="D724" s="11" t="s">
        <v>1035</v>
      </c>
      <c r="E724" s="11" t="s">
        <v>1036</v>
      </c>
      <c r="F724" s="12">
        <v>1498826</v>
      </c>
      <c r="G724" s="12">
        <v>1830519</v>
      </c>
      <c r="H724" s="11">
        <v>13.91</v>
      </c>
      <c r="I724" s="11">
        <v>48</v>
      </c>
      <c r="J724" s="11">
        <v>678</v>
      </c>
      <c r="K724" s="11" t="s">
        <v>1042</v>
      </c>
      <c r="L724" s="11" t="s">
        <v>1044</v>
      </c>
      <c r="M724" s="13">
        <v>43657</v>
      </c>
      <c r="N724" s="11" t="s">
        <v>1048</v>
      </c>
      <c r="O724" s="14">
        <f t="shared" si="56"/>
        <v>49939.031582190924</v>
      </c>
      <c r="P724" s="14">
        <f t="shared" si="57"/>
        <v>2397073.5159451645</v>
      </c>
      <c r="Q724" s="14">
        <f t="shared" si="58"/>
        <v>566554.51594516449</v>
      </c>
      <c r="R724" s="11">
        <f t="shared" ca="1" si="59"/>
        <v>6</v>
      </c>
      <c r="S724" s="11" t="str">
        <f t="shared" si="60"/>
        <v>650-699</v>
      </c>
    </row>
    <row r="725" spans="1:19" x14ac:dyDescent="0.3">
      <c r="A725" s="11" t="s">
        <v>737</v>
      </c>
      <c r="B725" s="11" t="s">
        <v>1026</v>
      </c>
      <c r="C725" s="11">
        <v>58</v>
      </c>
      <c r="D725" s="11" t="s">
        <v>1034</v>
      </c>
      <c r="E725" s="11" t="s">
        <v>1038</v>
      </c>
      <c r="F725" s="12">
        <v>1147542</v>
      </c>
      <c r="G725" s="12">
        <v>1212717</v>
      </c>
      <c r="H725" s="11">
        <v>9.2200000000000006</v>
      </c>
      <c r="I725" s="11">
        <v>60</v>
      </c>
      <c r="J725" s="11">
        <v>630</v>
      </c>
      <c r="K725" s="11" t="s">
        <v>1039</v>
      </c>
      <c r="L725" s="11" t="s">
        <v>1044</v>
      </c>
      <c r="M725" s="13">
        <v>43192</v>
      </c>
      <c r="N725" s="11" t="s">
        <v>1047</v>
      </c>
      <c r="O725" s="14">
        <f t="shared" si="56"/>
        <v>25303.693034539148</v>
      </c>
      <c r="P725" s="14">
        <f t="shared" si="57"/>
        <v>1518221.5820723488</v>
      </c>
      <c r="Q725" s="14">
        <f t="shared" si="58"/>
        <v>305504.5820723488</v>
      </c>
      <c r="R725" s="11">
        <f t="shared" ca="1" si="59"/>
        <v>7</v>
      </c>
      <c r="S725" s="11" t="str">
        <f t="shared" si="60"/>
        <v>600-649</v>
      </c>
    </row>
    <row r="726" spans="1:19" x14ac:dyDescent="0.3">
      <c r="A726" s="11" t="s">
        <v>738</v>
      </c>
      <c r="B726" s="11" t="s">
        <v>1019</v>
      </c>
      <c r="C726" s="11">
        <v>53</v>
      </c>
      <c r="D726" s="11" t="s">
        <v>1034</v>
      </c>
      <c r="E726" s="11" t="s">
        <v>1038</v>
      </c>
      <c r="F726" s="12">
        <v>1469927</v>
      </c>
      <c r="G726" s="12">
        <v>1227414</v>
      </c>
      <c r="H726" s="11">
        <v>12.78</v>
      </c>
      <c r="I726" s="11">
        <v>60</v>
      </c>
      <c r="J726" s="11">
        <v>676</v>
      </c>
      <c r="K726" s="11" t="s">
        <v>1042</v>
      </c>
      <c r="L726" s="11" t="s">
        <v>1043</v>
      </c>
      <c r="M726" s="13">
        <v>43308</v>
      </c>
      <c r="N726" s="11" t="s">
        <v>1048</v>
      </c>
      <c r="O726" s="14">
        <f t="shared" si="56"/>
        <v>27789.403569415728</v>
      </c>
      <c r="P726" s="14">
        <f t="shared" si="57"/>
        <v>1667364.2141649437</v>
      </c>
      <c r="Q726" s="14">
        <f t="shared" si="58"/>
        <v>439950.21416494367</v>
      </c>
      <c r="R726" s="11">
        <f t="shared" ca="1" si="59"/>
        <v>7</v>
      </c>
      <c r="S726" s="11" t="str">
        <f t="shared" si="60"/>
        <v>650-699</v>
      </c>
    </row>
    <row r="727" spans="1:19" x14ac:dyDescent="0.3">
      <c r="A727" s="11" t="s">
        <v>739</v>
      </c>
      <c r="B727" s="11" t="s">
        <v>1024</v>
      </c>
      <c r="C727" s="11">
        <v>40</v>
      </c>
      <c r="D727" s="11" t="s">
        <v>1034</v>
      </c>
      <c r="E727" s="11" t="s">
        <v>1036</v>
      </c>
      <c r="F727" s="12">
        <v>1602399</v>
      </c>
      <c r="G727" s="12">
        <v>973144</v>
      </c>
      <c r="H727" s="11">
        <v>14.45</v>
      </c>
      <c r="I727" s="11">
        <v>36</v>
      </c>
      <c r="J727" s="11">
        <v>840</v>
      </c>
      <c r="K727" s="11" t="s">
        <v>1042</v>
      </c>
      <c r="L727" s="11" t="s">
        <v>1044</v>
      </c>
      <c r="M727" s="13">
        <v>45281</v>
      </c>
      <c r="N727" s="11" t="s">
        <v>1048</v>
      </c>
      <c r="O727" s="14">
        <f t="shared" si="56"/>
        <v>33472.842468821436</v>
      </c>
      <c r="P727" s="14">
        <f t="shared" si="57"/>
        <v>1205022.3288775717</v>
      </c>
      <c r="Q727" s="14">
        <f t="shared" si="58"/>
        <v>231878.32887757174</v>
      </c>
      <c r="R727" s="11">
        <f t="shared" ca="1" si="59"/>
        <v>2</v>
      </c>
      <c r="S727" s="11" t="str">
        <f t="shared" si="60"/>
        <v>800-850</v>
      </c>
    </row>
    <row r="728" spans="1:19" x14ac:dyDescent="0.3">
      <c r="A728" s="11" t="s">
        <v>740</v>
      </c>
      <c r="B728" s="11" t="s">
        <v>1032</v>
      </c>
      <c r="C728" s="11">
        <v>52</v>
      </c>
      <c r="D728" s="11" t="s">
        <v>1035</v>
      </c>
      <c r="E728" s="11" t="s">
        <v>1036</v>
      </c>
      <c r="F728" s="12">
        <v>1617953</v>
      </c>
      <c r="G728" s="12">
        <v>1639845</v>
      </c>
      <c r="H728" s="11">
        <v>10.31</v>
      </c>
      <c r="I728" s="11">
        <v>84</v>
      </c>
      <c r="J728" s="11">
        <v>755</v>
      </c>
      <c r="K728" s="11" t="s">
        <v>1042</v>
      </c>
      <c r="L728" s="11" t="s">
        <v>1043</v>
      </c>
      <c r="M728" s="13">
        <v>44346</v>
      </c>
      <c r="N728" s="11" t="s">
        <v>1046</v>
      </c>
      <c r="O728" s="14">
        <f t="shared" si="56"/>
        <v>27486.751776721216</v>
      </c>
      <c r="P728" s="14">
        <f t="shared" si="57"/>
        <v>2308887.1492445823</v>
      </c>
      <c r="Q728" s="14">
        <f t="shared" si="58"/>
        <v>669042.14924458228</v>
      </c>
      <c r="R728" s="11">
        <f t="shared" ca="1" si="59"/>
        <v>4</v>
      </c>
      <c r="S728" s="11" t="str">
        <f t="shared" si="60"/>
        <v>750-799</v>
      </c>
    </row>
    <row r="729" spans="1:19" x14ac:dyDescent="0.3">
      <c r="A729" s="11" t="s">
        <v>741</v>
      </c>
      <c r="B729" s="11" t="s">
        <v>1032</v>
      </c>
      <c r="C729" s="11">
        <v>35</v>
      </c>
      <c r="D729" s="11" t="s">
        <v>1035</v>
      </c>
      <c r="E729" s="11" t="s">
        <v>1037</v>
      </c>
      <c r="F729" s="12">
        <v>1115091</v>
      </c>
      <c r="G729" s="12">
        <v>1857481</v>
      </c>
      <c r="H729" s="11">
        <v>10.47</v>
      </c>
      <c r="I729" s="11">
        <v>84</v>
      </c>
      <c r="J729" s="11">
        <v>625</v>
      </c>
      <c r="K729" s="11" t="s">
        <v>1039</v>
      </c>
      <c r="L729" s="11" t="s">
        <v>1044</v>
      </c>
      <c r="M729" s="13">
        <v>43525</v>
      </c>
      <c r="N729" s="11" t="s">
        <v>1048</v>
      </c>
      <c r="O729" s="14">
        <f t="shared" si="56"/>
        <v>31289.340893694538</v>
      </c>
      <c r="P729" s="14">
        <f t="shared" si="57"/>
        <v>2628304.6350703412</v>
      </c>
      <c r="Q729" s="14">
        <f t="shared" si="58"/>
        <v>770823.63507034117</v>
      </c>
      <c r="R729" s="11">
        <f t="shared" ca="1" si="59"/>
        <v>6</v>
      </c>
      <c r="S729" s="11" t="str">
        <f t="shared" si="60"/>
        <v>600-649</v>
      </c>
    </row>
    <row r="730" spans="1:19" x14ac:dyDescent="0.3">
      <c r="A730" s="11" t="s">
        <v>742</v>
      </c>
      <c r="B730" s="11" t="s">
        <v>1017</v>
      </c>
      <c r="C730" s="11">
        <v>48</v>
      </c>
      <c r="D730" s="11" t="s">
        <v>1034</v>
      </c>
      <c r="E730" s="11" t="s">
        <v>1037</v>
      </c>
      <c r="F730" s="12">
        <v>1736057</v>
      </c>
      <c r="G730" s="12">
        <v>711736</v>
      </c>
      <c r="H730" s="11">
        <v>8.59</v>
      </c>
      <c r="I730" s="11">
        <v>48</v>
      </c>
      <c r="J730" s="11">
        <v>711</v>
      </c>
      <c r="K730" s="11" t="s">
        <v>1039</v>
      </c>
      <c r="L730" s="11" t="s">
        <v>1044</v>
      </c>
      <c r="M730" s="13">
        <v>43667</v>
      </c>
      <c r="N730" s="11" t="s">
        <v>1046</v>
      </c>
      <c r="O730" s="14">
        <f t="shared" si="56"/>
        <v>17573.342786565256</v>
      </c>
      <c r="P730" s="14">
        <f t="shared" si="57"/>
        <v>843520.45375513227</v>
      </c>
      <c r="Q730" s="14">
        <f t="shared" si="58"/>
        <v>131784.45375513227</v>
      </c>
      <c r="R730" s="11">
        <f t="shared" ca="1" si="59"/>
        <v>6</v>
      </c>
      <c r="S730" s="11" t="str">
        <f t="shared" si="60"/>
        <v>700-749</v>
      </c>
    </row>
    <row r="731" spans="1:19" x14ac:dyDescent="0.3">
      <c r="A731" s="11" t="s">
        <v>743</v>
      </c>
      <c r="B731" s="11" t="s">
        <v>1033</v>
      </c>
      <c r="C731" s="11">
        <v>47</v>
      </c>
      <c r="D731" s="11" t="s">
        <v>1034</v>
      </c>
      <c r="E731" s="11" t="s">
        <v>1036</v>
      </c>
      <c r="F731" s="12">
        <v>425726</v>
      </c>
      <c r="G731" s="12">
        <v>249374</v>
      </c>
      <c r="H731" s="11">
        <v>8.49</v>
      </c>
      <c r="I731" s="11">
        <v>60</v>
      </c>
      <c r="J731" s="11">
        <v>674</v>
      </c>
      <c r="K731" s="11" t="s">
        <v>1040</v>
      </c>
      <c r="L731" s="11" t="s">
        <v>1044</v>
      </c>
      <c r="M731" s="13">
        <v>45320</v>
      </c>
      <c r="N731" s="11" t="s">
        <v>1045</v>
      </c>
      <c r="O731" s="14">
        <f t="shared" si="56"/>
        <v>5115.0876782086489</v>
      </c>
      <c r="P731" s="14">
        <f t="shared" si="57"/>
        <v>306905.2606925189</v>
      </c>
      <c r="Q731" s="14">
        <f t="shared" si="58"/>
        <v>57531.260692518903</v>
      </c>
      <c r="R731" s="11">
        <f t="shared" ca="1" si="59"/>
        <v>1</v>
      </c>
      <c r="S731" s="11" t="str">
        <f t="shared" si="60"/>
        <v>650-699</v>
      </c>
    </row>
    <row r="732" spans="1:19" x14ac:dyDescent="0.3">
      <c r="A732" s="11" t="s">
        <v>744</v>
      </c>
      <c r="B732" s="11" t="s">
        <v>1017</v>
      </c>
      <c r="C732" s="11">
        <v>52</v>
      </c>
      <c r="D732" s="11" t="s">
        <v>1035</v>
      </c>
      <c r="E732" s="11" t="s">
        <v>1038</v>
      </c>
      <c r="F732" s="12">
        <v>1986162</v>
      </c>
      <c r="G732" s="12">
        <v>563031</v>
      </c>
      <c r="H732" s="11">
        <v>12.47</v>
      </c>
      <c r="I732" s="11">
        <v>48</v>
      </c>
      <c r="J732" s="11">
        <v>769</v>
      </c>
      <c r="K732" s="11" t="s">
        <v>1042</v>
      </c>
      <c r="L732" s="11" t="s">
        <v>1044</v>
      </c>
      <c r="M732" s="13">
        <v>44218</v>
      </c>
      <c r="N732" s="11" t="s">
        <v>1047</v>
      </c>
      <c r="O732" s="14">
        <f t="shared" si="56"/>
        <v>14957.026303933602</v>
      </c>
      <c r="P732" s="14">
        <f t="shared" si="57"/>
        <v>717937.26258881297</v>
      </c>
      <c r="Q732" s="14">
        <f t="shared" si="58"/>
        <v>154906.26258881297</v>
      </c>
      <c r="R732" s="11">
        <f t="shared" ca="1" si="59"/>
        <v>4</v>
      </c>
      <c r="S732" s="11" t="str">
        <f t="shared" si="60"/>
        <v>750-799</v>
      </c>
    </row>
    <row r="733" spans="1:19" x14ac:dyDescent="0.3">
      <c r="A733" s="11" t="s">
        <v>745</v>
      </c>
      <c r="B733" s="11" t="s">
        <v>1019</v>
      </c>
      <c r="C733" s="11">
        <v>27</v>
      </c>
      <c r="D733" s="11" t="s">
        <v>1034</v>
      </c>
      <c r="E733" s="11" t="s">
        <v>1038</v>
      </c>
      <c r="F733" s="12">
        <v>401800</v>
      </c>
      <c r="G733" s="12">
        <v>1855843</v>
      </c>
      <c r="H733" s="11">
        <v>14.75</v>
      </c>
      <c r="I733" s="11">
        <v>96</v>
      </c>
      <c r="J733" s="11">
        <v>651</v>
      </c>
      <c r="K733" s="11" t="s">
        <v>1042</v>
      </c>
      <c r="L733" s="11" t="s">
        <v>1044</v>
      </c>
      <c r="M733" s="13">
        <v>44988</v>
      </c>
      <c r="N733" s="11" t="s">
        <v>1045</v>
      </c>
      <c r="O733" s="14">
        <f t="shared" si="56"/>
        <v>33035.923594044951</v>
      </c>
      <c r="P733" s="14">
        <f t="shared" si="57"/>
        <v>3171448.665028315</v>
      </c>
      <c r="Q733" s="14">
        <f t="shared" si="58"/>
        <v>1315605.665028315</v>
      </c>
      <c r="R733" s="11">
        <f t="shared" ca="1" si="59"/>
        <v>2</v>
      </c>
      <c r="S733" s="11" t="str">
        <f t="shared" si="60"/>
        <v>650-699</v>
      </c>
    </row>
    <row r="734" spans="1:19" x14ac:dyDescent="0.3">
      <c r="A734" s="11" t="s">
        <v>746</v>
      </c>
      <c r="B734" s="11" t="s">
        <v>1025</v>
      </c>
      <c r="C734" s="11">
        <v>60</v>
      </c>
      <c r="D734" s="11" t="s">
        <v>1035</v>
      </c>
      <c r="E734" s="11" t="s">
        <v>1038</v>
      </c>
      <c r="F734" s="12">
        <v>1698658</v>
      </c>
      <c r="G734" s="12">
        <v>1860866</v>
      </c>
      <c r="H734" s="11">
        <v>14.59</v>
      </c>
      <c r="I734" s="11">
        <v>84</v>
      </c>
      <c r="J734" s="11">
        <v>717</v>
      </c>
      <c r="K734" s="11" t="s">
        <v>1039</v>
      </c>
      <c r="L734" s="11" t="s">
        <v>1043</v>
      </c>
      <c r="M734" s="13">
        <v>43912</v>
      </c>
      <c r="N734" s="11" t="s">
        <v>1048</v>
      </c>
      <c r="O734" s="14">
        <f t="shared" si="56"/>
        <v>35481.962960587938</v>
      </c>
      <c r="P734" s="14">
        <f t="shared" si="57"/>
        <v>2980484.8886893867</v>
      </c>
      <c r="Q734" s="14">
        <f t="shared" si="58"/>
        <v>1119618.8886893867</v>
      </c>
      <c r="R734" s="11">
        <f t="shared" ca="1" si="59"/>
        <v>5</v>
      </c>
      <c r="S734" s="11" t="str">
        <f t="shared" si="60"/>
        <v>700-749</v>
      </c>
    </row>
    <row r="735" spans="1:19" x14ac:dyDescent="0.3">
      <c r="A735" s="11" t="s">
        <v>747</v>
      </c>
      <c r="B735" s="11" t="s">
        <v>1018</v>
      </c>
      <c r="C735" s="11">
        <v>48</v>
      </c>
      <c r="D735" s="11" t="s">
        <v>1034</v>
      </c>
      <c r="E735" s="11" t="s">
        <v>1037</v>
      </c>
      <c r="F735" s="12">
        <v>1600734</v>
      </c>
      <c r="G735" s="12">
        <v>1397409</v>
      </c>
      <c r="H735" s="11">
        <v>14.95</v>
      </c>
      <c r="I735" s="11">
        <v>72</v>
      </c>
      <c r="J735" s="11">
        <v>670</v>
      </c>
      <c r="K735" s="11" t="s">
        <v>1039</v>
      </c>
      <c r="L735" s="11" t="s">
        <v>1044</v>
      </c>
      <c r="M735" s="13">
        <v>44821</v>
      </c>
      <c r="N735" s="11" t="s">
        <v>1045</v>
      </c>
      <c r="O735" s="14">
        <f t="shared" si="56"/>
        <v>29510.300923278959</v>
      </c>
      <c r="P735" s="14">
        <f t="shared" si="57"/>
        <v>2124741.6664760849</v>
      </c>
      <c r="Q735" s="14">
        <f t="shared" si="58"/>
        <v>727332.66647608485</v>
      </c>
      <c r="R735" s="11">
        <f t="shared" ca="1" si="59"/>
        <v>3</v>
      </c>
      <c r="S735" s="11" t="str">
        <f t="shared" si="60"/>
        <v>650-699</v>
      </c>
    </row>
    <row r="736" spans="1:19" x14ac:dyDescent="0.3">
      <c r="A736" s="11" t="s">
        <v>748</v>
      </c>
      <c r="B736" s="11" t="s">
        <v>1031</v>
      </c>
      <c r="C736" s="11">
        <v>47</v>
      </c>
      <c r="D736" s="11" t="s">
        <v>1035</v>
      </c>
      <c r="E736" s="11" t="s">
        <v>1038</v>
      </c>
      <c r="F736" s="12">
        <v>1633745</v>
      </c>
      <c r="G736" s="12">
        <v>1565152</v>
      </c>
      <c r="H736" s="11">
        <v>12.29</v>
      </c>
      <c r="I736" s="11">
        <v>60</v>
      </c>
      <c r="J736" s="11">
        <v>832</v>
      </c>
      <c r="K736" s="11" t="s">
        <v>1040</v>
      </c>
      <c r="L736" s="11" t="s">
        <v>1044</v>
      </c>
      <c r="M736" s="13">
        <v>45021</v>
      </c>
      <c r="N736" s="11" t="s">
        <v>1046</v>
      </c>
      <c r="O736" s="14">
        <f t="shared" si="56"/>
        <v>35045.743493157315</v>
      </c>
      <c r="P736" s="14">
        <f t="shared" si="57"/>
        <v>2102744.6095894389</v>
      </c>
      <c r="Q736" s="14">
        <f t="shared" si="58"/>
        <v>537592.60958943889</v>
      </c>
      <c r="R736" s="11">
        <f t="shared" ca="1" si="59"/>
        <v>2</v>
      </c>
      <c r="S736" s="11" t="str">
        <f t="shared" si="60"/>
        <v>800-850</v>
      </c>
    </row>
    <row r="737" spans="1:19" x14ac:dyDescent="0.3">
      <c r="A737" s="11" t="s">
        <v>749</v>
      </c>
      <c r="B737" s="11" t="s">
        <v>1023</v>
      </c>
      <c r="C737" s="11">
        <v>32</v>
      </c>
      <c r="D737" s="11" t="s">
        <v>1034</v>
      </c>
      <c r="E737" s="11" t="s">
        <v>1038</v>
      </c>
      <c r="F737" s="12">
        <v>1809659</v>
      </c>
      <c r="G737" s="12">
        <v>921530</v>
      </c>
      <c r="H737" s="11">
        <v>10.55</v>
      </c>
      <c r="I737" s="11">
        <v>72</v>
      </c>
      <c r="J737" s="11">
        <v>648</v>
      </c>
      <c r="K737" s="11" t="s">
        <v>1042</v>
      </c>
      <c r="L737" s="11" t="s">
        <v>1044</v>
      </c>
      <c r="M737" s="13">
        <v>43341</v>
      </c>
      <c r="N737" s="11" t="s">
        <v>1046</v>
      </c>
      <c r="O737" s="14">
        <f t="shared" si="56"/>
        <v>17328.811411229122</v>
      </c>
      <c r="P737" s="14">
        <f t="shared" si="57"/>
        <v>1247674.4216084969</v>
      </c>
      <c r="Q737" s="14">
        <f t="shared" si="58"/>
        <v>326144.42160849692</v>
      </c>
      <c r="R737" s="11">
        <f t="shared" ca="1" si="59"/>
        <v>7</v>
      </c>
      <c r="S737" s="11" t="str">
        <f t="shared" si="60"/>
        <v>600-649</v>
      </c>
    </row>
    <row r="738" spans="1:19" x14ac:dyDescent="0.3">
      <c r="A738" s="11" t="s">
        <v>750</v>
      </c>
      <c r="B738" s="11" t="s">
        <v>1017</v>
      </c>
      <c r="C738" s="11">
        <v>38</v>
      </c>
      <c r="D738" s="11" t="s">
        <v>1035</v>
      </c>
      <c r="E738" s="11" t="s">
        <v>1037</v>
      </c>
      <c r="F738" s="12">
        <v>659170</v>
      </c>
      <c r="G738" s="12">
        <v>1160443</v>
      </c>
      <c r="H738" s="11">
        <v>13.35</v>
      </c>
      <c r="I738" s="11">
        <v>84</v>
      </c>
      <c r="J738" s="11">
        <v>762</v>
      </c>
      <c r="K738" s="11" t="s">
        <v>1039</v>
      </c>
      <c r="L738" s="11" t="s">
        <v>1043</v>
      </c>
      <c r="M738" s="13">
        <v>43674</v>
      </c>
      <c r="N738" s="11" t="s">
        <v>1048</v>
      </c>
      <c r="O738" s="14">
        <f t="shared" si="56"/>
        <v>21332.172296033878</v>
      </c>
      <c r="P738" s="14">
        <f t="shared" si="57"/>
        <v>1791902.4728668458</v>
      </c>
      <c r="Q738" s="14">
        <f t="shared" si="58"/>
        <v>631459.47286684578</v>
      </c>
      <c r="R738" s="11">
        <f t="shared" ca="1" si="59"/>
        <v>6</v>
      </c>
      <c r="S738" s="11" t="str">
        <f t="shared" si="60"/>
        <v>750-799</v>
      </c>
    </row>
    <row r="739" spans="1:19" x14ac:dyDescent="0.3">
      <c r="A739" s="11" t="s">
        <v>751</v>
      </c>
      <c r="B739" s="11" t="s">
        <v>1016</v>
      </c>
      <c r="C739" s="11">
        <v>39</v>
      </c>
      <c r="D739" s="11" t="s">
        <v>1034</v>
      </c>
      <c r="E739" s="11" t="s">
        <v>1036</v>
      </c>
      <c r="F739" s="12">
        <v>726837</v>
      </c>
      <c r="G739" s="12">
        <v>1421994</v>
      </c>
      <c r="H739" s="11">
        <v>7.6</v>
      </c>
      <c r="I739" s="11">
        <v>36</v>
      </c>
      <c r="J739" s="11">
        <v>700</v>
      </c>
      <c r="K739" s="11" t="s">
        <v>1040</v>
      </c>
      <c r="L739" s="11" t="s">
        <v>1044</v>
      </c>
      <c r="M739" s="13">
        <v>43174</v>
      </c>
      <c r="N739" s="11" t="s">
        <v>1045</v>
      </c>
      <c r="O739" s="14">
        <f t="shared" si="56"/>
        <v>44298.192545696809</v>
      </c>
      <c r="P739" s="14">
        <f t="shared" si="57"/>
        <v>1594734.9316450851</v>
      </c>
      <c r="Q739" s="14">
        <f t="shared" si="58"/>
        <v>172740.9316450851</v>
      </c>
      <c r="R739" s="11">
        <f t="shared" ca="1" si="59"/>
        <v>7</v>
      </c>
      <c r="S739" s="11" t="str">
        <f t="shared" si="60"/>
        <v>700-749</v>
      </c>
    </row>
    <row r="740" spans="1:19" x14ac:dyDescent="0.3">
      <c r="A740" s="11" t="s">
        <v>752</v>
      </c>
      <c r="B740" s="11" t="s">
        <v>1022</v>
      </c>
      <c r="C740" s="11">
        <v>52</v>
      </c>
      <c r="D740" s="11" t="s">
        <v>1035</v>
      </c>
      <c r="E740" s="11" t="s">
        <v>1036</v>
      </c>
      <c r="F740" s="12">
        <v>334603</v>
      </c>
      <c r="G740" s="12">
        <v>1599242</v>
      </c>
      <c r="H740" s="11">
        <v>12.31</v>
      </c>
      <c r="I740" s="11">
        <v>84</v>
      </c>
      <c r="J740" s="11">
        <v>734</v>
      </c>
      <c r="K740" s="11" t="s">
        <v>1041</v>
      </c>
      <c r="L740" s="11" t="s">
        <v>1044</v>
      </c>
      <c r="M740" s="13">
        <v>43294</v>
      </c>
      <c r="N740" s="11" t="s">
        <v>1048</v>
      </c>
      <c r="O740" s="14">
        <f t="shared" si="56"/>
        <v>28496.803748042741</v>
      </c>
      <c r="P740" s="14">
        <f t="shared" si="57"/>
        <v>2393731.51483559</v>
      </c>
      <c r="Q740" s="14">
        <f t="shared" si="58"/>
        <v>794489.51483559003</v>
      </c>
      <c r="R740" s="11">
        <f t="shared" ca="1" si="59"/>
        <v>7</v>
      </c>
      <c r="S740" s="11" t="str">
        <f t="shared" si="60"/>
        <v>700-749</v>
      </c>
    </row>
    <row r="741" spans="1:19" x14ac:dyDescent="0.3">
      <c r="A741" s="11" t="s">
        <v>753</v>
      </c>
      <c r="B741" s="11" t="s">
        <v>1014</v>
      </c>
      <c r="C741" s="11">
        <v>55</v>
      </c>
      <c r="D741" s="11" t="s">
        <v>1034</v>
      </c>
      <c r="E741" s="11" t="s">
        <v>1036</v>
      </c>
      <c r="F741" s="12">
        <v>896699</v>
      </c>
      <c r="G741" s="12">
        <v>1685703</v>
      </c>
      <c r="H741" s="11">
        <v>13.6</v>
      </c>
      <c r="I741" s="11">
        <v>120</v>
      </c>
      <c r="J741" s="11">
        <v>665</v>
      </c>
      <c r="K741" s="11" t="s">
        <v>1040</v>
      </c>
      <c r="L741" s="11" t="s">
        <v>1044</v>
      </c>
      <c r="M741" s="13">
        <v>45070</v>
      </c>
      <c r="N741" s="11" t="s">
        <v>1045</v>
      </c>
      <c r="O741" s="14">
        <f t="shared" si="56"/>
        <v>25769.416417946479</v>
      </c>
      <c r="P741" s="14">
        <f t="shared" si="57"/>
        <v>3092329.9701535776</v>
      </c>
      <c r="Q741" s="14">
        <f t="shared" si="58"/>
        <v>1406626.9701535776</v>
      </c>
      <c r="R741" s="11">
        <f t="shared" ca="1" si="59"/>
        <v>2</v>
      </c>
      <c r="S741" s="11" t="str">
        <f t="shared" si="60"/>
        <v>650-699</v>
      </c>
    </row>
    <row r="742" spans="1:19" x14ac:dyDescent="0.3">
      <c r="A742" s="11" t="s">
        <v>754</v>
      </c>
      <c r="B742" s="11" t="s">
        <v>1019</v>
      </c>
      <c r="C742" s="11">
        <v>33</v>
      </c>
      <c r="D742" s="11" t="s">
        <v>1035</v>
      </c>
      <c r="E742" s="11" t="s">
        <v>1037</v>
      </c>
      <c r="F742" s="12">
        <v>1184627</v>
      </c>
      <c r="G742" s="12">
        <v>1474742</v>
      </c>
      <c r="H742" s="11">
        <v>14.2</v>
      </c>
      <c r="I742" s="11">
        <v>84</v>
      </c>
      <c r="J742" s="11">
        <v>682</v>
      </c>
      <c r="K742" s="11" t="s">
        <v>1040</v>
      </c>
      <c r="L742" s="11" t="s">
        <v>1044</v>
      </c>
      <c r="M742" s="13">
        <v>45184</v>
      </c>
      <c r="N742" s="11" t="s">
        <v>1045</v>
      </c>
      <c r="O742" s="14">
        <f t="shared" si="56"/>
        <v>27799.872830028493</v>
      </c>
      <c r="P742" s="14">
        <f t="shared" si="57"/>
        <v>2335189.3177223932</v>
      </c>
      <c r="Q742" s="14">
        <f t="shared" si="58"/>
        <v>860447.3177223932</v>
      </c>
      <c r="R742" s="11">
        <f t="shared" ca="1" si="59"/>
        <v>2</v>
      </c>
      <c r="S742" s="11" t="str">
        <f t="shared" si="60"/>
        <v>650-699</v>
      </c>
    </row>
    <row r="743" spans="1:19" x14ac:dyDescent="0.3">
      <c r="A743" s="11" t="s">
        <v>755</v>
      </c>
      <c r="B743" s="11" t="s">
        <v>1032</v>
      </c>
      <c r="C743" s="11">
        <v>44</v>
      </c>
      <c r="D743" s="11" t="s">
        <v>1035</v>
      </c>
      <c r="E743" s="11" t="s">
        <v>1038</v>
      </c>
      <c r="F743" s="12">
        <v>544608</v>
      </c>
      <c r="G743" s="12">
        <v>1776982</v>
      </c>
      <c r="H743" s="11">
        <v>12.06</v>
      </c>
      <c r="I743" s="11">
        <v>72</v>
      </c>
      <c r="J743" s="11">
        <v>732</v>
      </c>
      <c r="K743" s="11" t="s">
        <v>1042</v>
      </c>
      <c r="L743" s="11" t="s">
        <v>1044</v>
      </c>
      <c r="M743" s="13">
        <v>45447</v>
      </c>
      <c r="N743" s="11" t="s">
        <v>1045</v>
      </c>
      <c r="O743" s="14">
        <f t="shared" si="56"/>
        <v>34795.809691561859</v>
      </c>
      <c r="P743" s="14">
        <f t="shared" si="57"/>
        <v>2505298.2977924538</v>
      </c>
      <c r="Q743" s="14">
        <f t="shared" si="58"/>
        <v>728316.29779245378</v>
      </c>
      <c r="R743" s="11">
        <f t="shared" ca="1" si="59"/>
        <v>1</v>
      </c>
      <c r="S743" s="11" t="str">
        <f t="shared" si="60"/>
        <v>700-749</v>
      </c>
    </row>
    <row r="744" spans="1:19" x14ac:dyDescent="0.3">
      <c r="A744" s="11" t="s">
        <v>756</v>
      </c>
      <c r="B744" s="11" t="s">
        <v>1017</v>
      </c>
      <c r="C744" s="11">
        <v>54</v>
      </c>
      <c r="D744" s="11" t="s">
        <v>1035</v>
      </c>
      <c r="E744" s="11" t="s">
        <v>1037</v>
      </c>
      <c r="F744" s="12">
        <v>455154</v>
      </c>
      <c r="G744" s="12">
        <v>1594177</v>
      </c>
      <c r="H744" s="11">
        <v>10.76</v>
      </c>
      <c r="I744" s="11">
        <v>84</v>
      </c>
      <c r="J744" s="11">
        <v>785</v>
      </c>
      <c r="K744" s="11" t="s">
        <v>1042</v>
      </c>
      <c r="L744" s="11" t="s">
        <v>1043</v>
      </c>
      <c r="M744" s="13">
        <v>43430</v>
      </c>
      <c r="N744" s="11" t="s">
        <v>1046</v>
      </c>
      <c r="O744" s="14">
        <f t="shared" si="56"/>
        <v>27095.440631373302</v>
      </c>
      <c r="P744" s="14">
        <f t="shared" si="57"/>
        <v>2276017.0130353575</v>
      </c>
      <c r="Q744" s="14">
        <f t="shared" si="58"/>
        <v>681840.01303535746</v>
      </c>
      <c r="R744" s="11">
        <f t="shared" ca="1" si="59"/>
        <v>7</v>
      </c>
      <c r="S744" s="11" t="str">
        <f t="shared" si="60"/>
        <v>750-799</v>
      </c>
    </row>
    <row r="745" spans="1:19" x14ac:dyDescent="0.3">
      <c r="A745" s="11" t="s">
        <v>757</v>
      </c>
      <c r="B745" s="11" t="s">
        <v>1032</v>
      </c>
      <c r="C745" s="11">
        <v>52</v>
      </c>
      <c r="D745" s="11" t="s">
        <v>1034</v>
      </c>
      <c r="E745" s="11" t="s">
        <v>1037</v>
      </c>
      <c r="F745" s="12">
        <v>1627263</v>
      </c>
      <c r="G745" s="12">
        <v>1894130</v>
      </c>
      <c r="H745" s="11">
        <v>12.53</v>
      </c>
      <c r="I745" s="11">
        <v>60</v>
      </c>
      <c r="J745" s="11">
        <v>631</v>
      </c>
      <c r="K745" s="11" t="s">
        <v>1039</v>
      </c>
      <c r="L745" s="11" t="s">
        <v>1043</v>
      </c>
      <c r="M745" s="13">
        <v>43547</v>
      </c>
      <c r="N745" s="11" t="s">
        <v>1047</v>
      </c>
      <c r="O745" s="14">
        <f t="shared" si="56"/>
        <v>42642.927527541331</v>
      </c>
      <c r="P745" s="14">
        <f t="shared" si="57"/>
        <v>2558575.65165248</v>
      </c>
      <c r="Q745" s="14">
        <f t="shared" si="58"/>
        <v>664445.65165248001</v>
      </c>
      <c r="R745" s="11">
        <f t="shared" ca="1" si="59"/>
        <v>6</v>
      </c>
      <c r="S745" s="11" t="str">
        <f t="shared" si="60"/>
        <v>600-649</v>
      </c>
    </row>
    <row r="746" spans="1:19" x14ac:dyDescent="0.3">
      <c r="A746" s="11" t="s">
        <v>758</v>
      </c>
      <c r="B746" s="11" t="s">
        <v>1018</v>
      </c>
      <c r="C746" s="11">
        <v>55</v>
      </c>
      <c r="D746" s="11" t="s">
        <v>1034</v>
      </c>
      <c r="E746" s="11" t="s">
        <v>1036</v>
      </c>
      <c r="F746" s="12">
        <v>643642</v>
      </c>
      <c r="G746" s="12">
        <v>1487826</v>
      </c>
      <c r="H746" s="11">
        <v>10.16</v>
      </c>
      <c r="I746" s="11">
        <v>84</v>
      </c>
      <c r="J746" s="11">
        <v>655</v>
      </c>
      <c r="K746" s="11" t="s">
        <v>1042</v>
      </c>
      <c r="L746" s="11" t="s">
        <v>1044</v>
      </c>
      <c r="M746" s="13">
        <v>43156</v>
      </c>
      <c r="N746" s="11" t="s">
        <v>1046</v>
      </c>
      <c r="O746" s="14">
        <f t="shared" si="56"/>
        <v>24822.847829460901</v>
      </c>
      <c r="P746" s="14">
        <f t="shared" si="57"/>
        <v>2085119.2176747157</v>
      </c>
      <c r="Q746" s="14">
        <f t="shared" si="58"/>
        <v>597293.21767471568</v>
      </c>
      <c r="R746" s="11">
        <f t="shared" ca="1" si="59"/>
        <v>7</v>
      </c>
      <c r="S746" s="11" t="str">
        <f t="shared" si="60"/>
        <v>650-699</v>
      </c>
    </row>
    <row r="747" spans="1:19" x14ac:dyDescent="0.3">
      <c r="A747" s="11" t="s">
        <v>759</v>
      </c>
      <c r="B747" s="11" t="s">
        <v>1028</v>
      </c>
      <c r="C747" s="11">
        <v>52</v>
      </c>
      <c r="D747" s="11" t="s">
        <v>1034</v>
      </c>
      <c r="E747" s="11" t="s">
        <v>1037</v>
      </c>
      <c r="F747" s="12">
        <v>1815206</v>
      </c>
      <c r="G747" s="12">
        <v>1001042</v>
      </c>
      <c r="H747" s="11">
        <v>14.48</v>
      </c>
      <c r="I747" s="11">
        <v>96</v>
      </c>
      <c r="J747" s="11">
        <v>734</v>
      </c>
      <c r="K747" s="11" t="s">
        <v>1042</v>
      </c>
      <c r="L747" s="11" t="s">
        <v>1044</v>
      </c>
      <c r="M747" s="13">
        <v>44603</v>
      </c>
      <c r="N747" s="11" t="s">
        <v>1048</v>
      </c>
      <c r="O747" s="14">
        <f t="shared" si="56"/>
        <v>17664.167661761381</v>
      </c>
      <c r="P747" s="14">
        <f t="shared" si="57"/>
        <v>1695760.0955290925</v>
      </c>
      <c r="Q747" s="14">
        <f t="shared" si="58"/>
        <v>694718.09552909248</v>
      </c>
      <c r="R747" s="11">
        <f t="shared" ca="1" si="59"/>
        <v>3</v>
      </c>
      <c r="S747" s="11" t="str">
        <f t="shared" si="60"/>
        <v>700-749</v>
      </c>
    </row>
    <row r="748" spans="1:19" x14ac:dyDescent="0.3">
      <c r="A748" s="11" t="s">
        <v>760</v>
      </c>
      <c r="B748" s="11" t="s">
        <v>1030</v>
      </c>
      <c r="C748" s="11">
        <v>55</v>
      </c>
      <c r="D748" s="11" t="s">
        <v>1034</v>
      </c>
      <c r="E748" s="11" t="s">
        <v>1036</v>
      </c>
      <c r="F748" s="12">
        <v>1968148</v>
      </c>
      <c r="G748" s="12">
        <v>1060317</v>
      </c>
      <c r="H748" s="11">
        <v>14.82</v>
      </c>
      <c r="I748" s="11">
        <v>84</v>
      </c>
      <c r="J748" s="11">
        <v>654</v>
      </c>
      <c r="K748" s="11" t="s">
        <v>1041</v>
      </c>
      <c r="L748" s="11" t="s">
        <v>1044</v>
      </c>
      <c r="M748" s="13">
        <v>45047</v>
      </c>
      <c r="N748" s="11" t="s">
        <v>1046</v>
      </c>
      <c r="O748" s="14">
        <f t="shared" si="56"/>
        <v>20353.744381667435</v>
      </c>
      <c r="P748" s="14">
        <f t="shared" si="57"/>
        <v>1709714.5280600647</v>
      </c>
      <c r="Q748" s="14">
        <f t="shared" si="58"/>
        <v>649397.52806006465</v>
      </c>
      <c r="R748" s="11">
        <f t="shared" ca="1" si="59"/>
        <v>2</v>
      </c>
      <c r="S748" s="11" t="str">
        <f t="shared" si="60"/>
        <v>650-699</v>
      </c>
    </row>
    <row r="749" spans="1:19" x14ac:dyDescent="0.3">
      <c r="A749" s="11" t="s">
        <v>761</v>
      </c>
      <c r="B749" s="11" t="s">
        <v>1032</v>
      </c>
      <c r="C749" s="11">
        <v>36</v>
      </c>
      <c r="D749" s="11" t="s">
        <v>1034</v>
      </c>
      <c r="E749" s="11" t="s">
        <v>1037</v>
      </c>
      <c r="F749" s="12">
        <v>1913051</v>
      </c>
      <c r="G749" s="12">
        <v>1515834</v>
      </c>
      <c r="H749" s="11">
        <v>14.11</v>
      </c>
      <c r="I749" s="11">
        <v>72</v>
      </c>
      <c r="J749" s="11">
        <v>622</v>
      </c>
      <c r="K749" s="11" t="s">
        <v>1039</v>
      </c>
      <c r="L749" s="11" t="s">
        <v>1043</v>
      </c>
      <c r="M749" s="13">
        <v>45511</v>
      </c>
      <c r="N749" s="11" t="s">
        <v>1048</v>
      </c>
      <c r="O749" s="14">
        <f t="shared" si="56"/>
        <v>31324.23541849518</v>
      </c>
      <c r="P749" s="14">
        <f t="shared" si="57"/>
        <v>2255344.9501316529</v>
      </c>
      <c r="Q749" s="14">
        <f t="shared" si="58"/>
        <v>739510.95013165288</v>
      </c>
      <c r="R749" s="11">
        <f t="shared" ca="1" si="59"/>
        <v>1</v>
      </c>
      <c r="S749" s="11" t="str">
        <f t="shared" si="60"/>
        <v>600-649</v>
      </c>
    </row>
    <row r="750" spans="1:19" x14ac:dyDescent="0.3">
      <c r="A750" s="11" t="s">
        <v>762</v>
      </c>
      <c r="B750" s="11" t="s">
        <v>1015</v>
      </c>
      <c r="C750" s="11">
        <v>54</v>
      </c>
      <c r="D750" s="11" t="s">
        <v>1034</v>
      </c>
      <c r="E750" s="11" t="s">
        <v>1036</v>
      </c>
      <c r="F750" s="12">
        <v>1398160</v>
      </c>
      <c r="G750" s="12">
        <v>863980</v>
      </c>
      <c r="H750" s="11">
        <v>9.86</v>
      </c>
      <c r="I750" s="11">
        <v>48</v>
      </c>
      <c r="J750" s="11">
        <v>715</v>
      </c>
      <c r="K750" s="11" t="s">
        <v>1039</v>
      </c>
      <c r="L750" s="11" t="s">
        <v>1044</v>
      </c>
      <c r="M750" s="13">
        <v>44385</v>
      </c>
      <c r="N750" s="11" t="s">
        <v>1046</v>
      </c>
      <c r="O750" s="14">
        <f t="shared" si="56"/>
        <v>21854.72157443102</v>
      </c>
      <c r="P750" s="14">
        <f t="shared" si="57"/>
        <v>1049026.6355726889</v>
      </c>
      <c r="Q750" s="14">
        <f t="shared" si="58"/>
        <v>185046.63557268889</v>
      </c>
      <c r="R750" s="11">
        <f t="shared" ca="1" si="59"/>
        <v>4</v>
      </c>
      <c r="S750" s="11" t="str">
        <f t="shared" si="60"/>
        <v>700-749</v>
      </c>
    </row>
    <row r="751" spans="1:19" x14ac:dyDescent="0.3">
      <c r="A751" s="11" t="s">
        <v>763</v>
      </c>
      <c r="B751" s="11" t="s">
        <v>1020</v>
      </c>
      <c r="C751" s="11">
        <v>47</v>
      </c>
      <c r="D751" s="11" t="s">
        <v>1034</v>
      </c>
      <c r="E751" s="11" t="s">
        <v>1036</v>
      </c>
      <c r="F751" s="12">
        <v>1035584</v>
      </c>
      <c r="G751" s="12">
        <v>1759223</v>
      </c>
      <c r="H751" s="11">
        <v>14.09</v>
      </c>
      <c r="I751" s="11">
        <v>48</v>
      </c>
      <c r="J751" s="11">
        <v>715</v>
      </c>
      <c r="K751" s="11" t="s">
        <v>1042</v>
      </c>
      <c r="L751" s="11" t="s">
        <v>1044</v>
      </c>
      <c r="M751" s="13">
        <v>44134</v>
      </c>
      <c r="N751" s="11" t="s">
        <v>1047</v>
      </c>
      <c r="O751" s="14">
        <f t="shared" si="56"/>
        <v>48152.826945104636</v>
      </c>
      <c r="P751" s="14">
        <f t="shared" si="57"/>
        <v>2311335.6933650225</v>
      </c>
      <c r="Q751" s="14">
        <f t="shared" si="58"/>
        <v>552112.69336502254</v>
      </c>
      <c r="R751" s="11">
        <f t="shared" ca="1" si="59"/>
        <v>5</v>
      </c>
      <c r="S751" s="11" t="str">
        <f t="shared" si="60"/>
        <v>700-749</v>
      </c>
    </row>
    <row r="752" spans="1:19" x14ac:dyDescent="0.3">
      <c r="A752" s="11" t="s">
        <v>764</v>
      </c>
      <c r="B752" s="11" t="s">
        <v>1023</v>
      </c>
      <c r="C752" s="11">
        <v>39</v>
      </c>
      <c r="D752" s="11" t="s">
        <v>1034</v>
      </c>
      <c r="E752" s="11" t="s">
        <v>1037</v>
      </c>
      <c r="F752" s="12">
        <v>1574003</v>
      </c>
      <c r="G752" s="12">
        <v>1855180</v>
      </c>
      <c r="H752" s="11">
        <v>14.9</v>
      </c>
      <c r="I752" s="11">
        <v>36</v>
      </c>
      <c r="J752" s="11">
        <v>820</v>
      </c>
      <c r="K752" s="11" t="s">
        <v>1042</v>
      </c>
      <c r="L752" s="11" t="s">
        <v>1044</v>
      </c>
      <c r="M752" s="13">
        <v>45501</v>
      </c>
      <c r="N752" s="11" t="s">
        <v>1048</v>
      </c>
      <c r="O752" s="14">
        <f t="shared" si="56"/>
        <v>64219.612348429146</v>
      </c>
      <c r="P752" s="14">
        <f t="shared" si="57"/>
        <v>2311906.0445434493</v>
      </c>
      <c r="Q752" s="14">
        <f t="shared" si="58"/>
        <v>456726.0445434493</v>
      </c>
      <c r="R752" s="11">
        <f t="shared" ca="1" si="59"/>
        <v>1</v>
      </c>
      <c r="S752" s="11" t="str">
        <f t="shared" si="60"/>
        <v>800-850</v>
      </c>
    </row>
    <row r="753" spans="1:19" x14ac:dyDescent="0.3">
      <c r="A753" s="11" t="s">
        <v>765</v>
      </c>
      <c r="B753" s="11" t="s">
        <v>1024</v>
      </c>
      <c r="C753" s="11">
        <v>36</v>
      </c>
      <c r="D753" s="11" t="s">
        <v>1034</v>
      </c>
      <c r="E753" s="11" t="s">
        <v>1036</v>
      </c>
      <c r="F753" s="12">
        <v>1875000</v>
      </c>
      <c r="G753" s="12">
        <v>708950</v>
      </c>
      <c r="H753" s="11">
        <v>13.92</v>
      </c>
      <c r="I753" s="11">
        <v>120</v>
      </c>
      <c r="J753" s="11">
        <v>721</v>
      </c>
      <c r="K753" s="11" t="s">
        <v>1040</v>
      </c>
      <c r="L753" s="11" t="s">
        <v>1044</v>
      </c>
      <c r="M753" s="13">
        <v>44910</v>
      </c>
      <c r="N753" s="11" t="s">
        <v>1048</v>
      </c>
      <c r="O753" s="14">
        <f t="shared" si="56"/>
        <v>10973.538292193942</v>
      </c>
      <c r="P753" s="14">
        <f t="shared" si="57"/>
        <v>1316824.5950632731</v>
      </c>
      <c r="Q753" s="14">
        <f t="shared" si="58"/>
        <v>607874.5950632731</v>
      </c>
      <c r="R753" s="11">
        <f t="shared" ca="1" si="59"/>
        <v>3</v>
      </c>
      <c r="S753" s="11" t="str">
        <f t="shared" si="60"/>
        <v>700-749</v>
      </c>
    </row>
    <row r="754" spans="1:19" x14ac:dyDescent="0.3">
      <c r="A754" s="11" t="s">
        <v>766</v>
      </c>
      <c r="B754" s="11" t="s">
        <v>1014</v>
      </c>
      <c r="C754" s="11">
        <v>27</v>
      </c>
      <c r="D754" s="11" t="s">
        <v>1034</v>
      </c>
      <c r="E754" s="11" t="s">
        <v>1036</v>
      </c>
      <c r="F754" s="12">
        <v>1844001</v>
      </c>
      <c r="G754" s="12">
        <v>968902</v>
      </c>
      <c r="H754" s="11">
        <v>12.04</v>
      </c>
      <c r="I754" s="11">
        <v>48</v>
      </c>
      <c r="J754" s="11">
        <v>683</v>
      </c>
      <c r="K754" s="11" t="s">
        <v>1040</v>
      </c>
      <c r="L754" s="11" t="s">
        <v>1043</v>
      </c>
      <c r="M754" s="13">
        <v>44927</v>
      </c>
      <c r="N754" s="11" t="s">
        <v>1045</v>
      </c>
      <c r="O754" s="14">
        <f t="shared" si="56"/>
        <v>25533.938852943877</v>
      </c>
      <c r="P754" s="14">
        <f t="shared" si="57"/>
        <v>1225629.0649413061</v>
      </c>
      <c r="Q754" s="14">
        <f t="shared" si="58"/>
        <v>256727.06494130613</v>
      </c>
      <c r="R754" s="11">
        <f t="shared" ca="1" si="59"/>
        <v>2</v>
      </c>
      <c r="S754" s="11" t="str">
        <f t="shared" si="60"/>
        <v>650-699</v>
      </c>
    </row>
    <row r="755" spans="1:19" x14ac:dyDescent="0.3">
      <c r="A755" s="11" t="s">
        <v>767</v>
      </c>
      <c r="B755" s="11" t="s">
        <v>1029</v>
      </c>
      <c r="C755" s="11">
        <v>58</v>
      </c>
      <c r="D755" s="11" t="s">
        <v>1035</v>
      </c>
      <c r="E755" s="11" t="s">
        <v>1038</v>
      </c>
      <c r="F755" s="12">
        <v>1831517</v>
      </c>
      <c r="G755" s="12">
        <v>998548</v>
      </c>
      <c r="H755" s="11">
        <v>8.9700000000000006</v>
      </c>
      <c r="I755" s="11">
        <v>60</v>
      </c>
      <c r="J755" s="11">
        <v>846</v>
      </c>
      <c r="K755" s="11" t="s">
        <v>1039</v>
      </c>
      <c r="L755" s="11" t="s">
        <v>1044</v>
      </c>
      <c r="M755" s="13">
        <v>43945</v>
      </c>
      <c r="N755" s="11" t="s">
        <v>1045</v>
      </c>
      <c r="O755" s="14">
        <f t="shared" si="56"/>
        <v>20713.678312146512</v>
      </c>
      <c r="P755" s="14">
        <f t="shared" si="57"/>
        <v>1242820.6987287907</v>
      </c>
      <c r="Q755" s="14">
        <f t="shared" si="58"/>
        <v>244272.69872879074</v>
      </c>
      <c r="R755" s="11">
        <f t="shared" ca="1" si="59"/>
        <v>5</v>
      </c>
      <c r="S755" s="11" t="str">
        <f t="shared" si="60"/>
        <v>800-850</v>
      </c>
    </row>
    <row r="756" spans="1:19" x14ac:dyDescent="0.3">
      <c r="A756" s="11" t="s">
        <v>768</v>
      </c>
      <c r="B756" s="11" t="s">
        <v>1014</v>
      </c>
      <c r="C756" s="11">
        <v>26</v>
      </c>
      <c r="D756" s="11" t="s">
        <v>1035</v>
      </c>
      <c r="E756" s="11" t="s">
        <v>1038</v>
      </c>
      <c r="F756" s="12">
        <v>381421</v>
      </c>
      <c r="G756" s="12">
        <v>249392</v>
      </c>
      <c r="H756" s="11">
        <v>9.6199999999999992</v>
      </c>
      <c r="I756" s="11">
        <v>48</v>
      </c>
      <c r="J756" s="11">
        <v>669</v>
      </c>
      <c r="K756" s="11" t="s">
        <v>1042</v>
      </c>
      <c r="L756" s="11" t="s">
        <v>1044</v>
      </c>
      <c r="M756" s="13">
        <v>43905</v>
      </c>
      <c r="N756" s="11" t="s">
        <v>1045</v>
      </c>
      <c r="O756" s="14">
        <f t="shared" si="56"/>
        <v>6279.8104321298079</v>
      </c>
      <c r="P756" s="14">
        <f t="shared" si="57"/>
        <v>301430.90074223076</v>
      </c>
      <c r="Q756" s="14">
        <f t="shared" si="58"/>
        <v>52038.900742230762</v>
      </c>
      <c r="R756" s="11">
        <f t="shared" ca="1" si="59"/>
        <v>5</v>
      </c>
      <c r="S756" s="11" t="str">
        <f t="shared" si="60"/>
        <v>650-699</v>
      </c>
    </row>
    <row r="757" spans="1:19" x14ac:dyDescent="0.3">
      <c r="A757" s="11" t="s">
        <v>769</v>
      </c>
      <c r="B757" s="11" t="s">
        <v>1032</v>
      </c>
      <c r="C757" s="11">
        <v>48</v>
      </c>
      <c r="D757" s="11" t="s">
        <v>1034</v>
      </c>
      <c r="E757" s="11" t="s">
        <v>1037</v>
      </c>
      <c r="F757" s="12">
        <v>443044</v>
      </c>
      <c r="G757" s="12">
        <v>857866</v>
      </c>
      <c r="H757" s="11">
        <v>12.28</v>
      </c>
      <c r="I757" s="11">
        <v>84</v>
      </c>
      <c r="J757" s="11">
        <v>798</v>
      </c>
      <c r="K757" s="11" t="s">
        <v>1040</v>
      </c>
      <c r="L757" s="11" t="s">
        <v>1043</v>
      </c>
      <c r="M757" s="13">
        <v>44801</v>
      </c>
      <c r="N757" s="11" t="s">
        <v>1046</v>
      </c>
      <c r="O757" s="14">
        <f t="shared" si="56"/>
        <v>15272.435418038194</v>
      </c>
      <c r="P757" s="14">
        <f t="shared" si="57"/>
        <v>1282884.5751152083</v>
      </c>
      <c r="Q757" s="14">
        <f t="shared" si="58"/>
        <v>425018.57511520828</v>
      </c>
      <c r="R757" s="11">
        <f t="shared" ca="1" si="59"/>
        <v>3</v>
      </c>
      <c r="S757" s="11" t="str">
        <f t="shared" si="60"/>
        <v>750-799</v>
      </c>
    </row>
    <row r="758" spans="1:19" x14ac:dyDescent="0.3">
      <c r="A758" s="11" t="s">
        <v>770</v>
      </c>
      <c r="B758" s="11" t="s">
        <v>1016</v>
      </c>
      <c r="C758" s="11">
        <v>33</v>
      </c>
      <c r="D758" s="11" t="s">
        <v>1034</v>
      </c>
      <c r="E758" s="11" t="s">
        <v>1038</v>
      </c>
      <c r="F758" s="12">
        <v>1626882</v>
      </c>
      <c r="G758" s="12">
        <v>1196776</v>
      </c>
      <c r="H758" s="11">
        <v>14.16</v>
      </c>
      <c r="I758" s="11">
        <v>60</v>
      </c>
      <c r="J758" s="11">
        <v>624</v>
      </c>
      <c r="K758" s="11" t="s">
        <v>1041</v>
      </c>
      <c r="L758" s="11" t="s">
        <v>1044</v>
      </c>
      <c r="M758" s="13">
        <v>45595</v>
      </c>
      <c r="N758" s="11" t="s">
        <v>1047</v>
      </c>
      <c r="O758" s="14">
        <f t="shared" si="56"/>
        <v>27946.256253115665</v>
      </c>
      <c r="P758" s="14">
        <f t="shared" si="57"/>
        <v>1676775.37518694</v>
      </c>
      <c r="Q758" s="14">
        <f t="shared" si="58"/>
        <v>479999.37518693996</v>
      </c>
      <c r="R758" s="11">
        <f t="shared" ca="1" si="59"/>
        <v>1</v>
      </c>
      <c r="S758" s="11" t="str">
        <f t="shared" si="60"/>
        <v>600-649</v>
      </c>
    </row>
    <row r="759" spans="1:19" x14ac:dyDescent="0.3">
      <c r="A759" s="11" t="s">
        <v>771</v>
      </c>
      <c r="B759" s="11" t="s">
        <v>1021</v>
      </c>
      <c r="C759" s="11">
        <v>30</v>
      </c>
      <c r="D759" s="11" t="s">
        <v>1034</v>
      </c>
      <c r="E759" s="11" t="s">
        <v>1037</v>
      </c>
      <c r="F759" s="12">
        <v>1354982</v>
      </c>
      <c r="G759" s="12">
        <v>1581591</v>
      </c>
      <c r="H759" s="11">
        <v>13.28</v>
      </c>
      <c r="I759" s="11">
        <v>96</v>
      </c>
      <c r="J759" s="11">
        <v>830</v>
      </c>
      <c r="K759" s="11" t="s">
        <v>1039</v>
      </c>
      <c r="L759" s="11" t="s">
        <v>1043</v>
      </c>
      <c r="M759" s="13">
        <v>45231</v>
      </c>
      <c r="N759" s="11" t="s">
        <v>1048</v>
      </c>
      <c r="O759" s="14">
        <f t="shared" si="56"/>
        <v>26830.521209789473</v>
      </c>
      <c r="P759" s="14">
        <f t="shared" si="57"/>
        <v>2575730.0361397895</v>
      </c>
      <c r="Q759" s="14">
        <f t="shared" si="58"/>
        <v>994139.0361397895</v>
      </c>
      <c r="R759" s="11">
        <f t="shared" ca="1" si="59"/>
        <v>2</v>
      </c>
      <c r="S759" s="11" t="str">
        <f t="shared" si="60"/>
        <v>800-850</v>
      </c>
    </row>
    <row r="760" spans="1:19" x14ac:dyDescent="0.3">
      <c r="A760" s="11" t="s">
        <v>772</v>
      </c>
      <c r="B760" s="11" t="s">
        <v>1020</v>
      </c>
      <c r="C760" s="11">
        <v>44</v>
      </c>
      <c r="D760" s="11" t="s">
        <v>1035</v>
      </c>
      <c r="E760" s="11" t="s">
        <v>1036</v>
      </c>
      <c r="F760" s="12">
        <v>635641</v>
      </c>
      <c r="G760" s="12">
        <v>1307791</v>
      </c>
      <c r="H760" s="11">
        <v>7.77</v>
      </c>
      <c r="I760" s="11">
        <v>84</v>
      </c>
      <c r="J760" s="11">
        <v>724</v>
      </c>
      <c r="K760" s="11" t="s">
        <v>1041</v>
      </c>
      <c r="L760" s="11" t="s">
        <v>1044</v>
      </c>
      <c r="M760" s="13">
        <v>45088</v>
      </c>
      <c r="N760" s="11" t="s">
        <v>1046</v>
      </c>
      <c r="O760" s="14">
        <f t="shared" si="56"/>
        <v>20233.975408947288</v>
      </c>
      <c r="P760" s="14">
        <f t="shared" si="57"/>
        <v>1699653.9343515723</v>
      </c>
      <c r="Q760" s="14">
        <f t="shared" si="58"/>
        <v>391862.9343515723</v>
      </c>
      <c r="R760" s="11">
        <f t="shared" ca="1" si="59"/>
        <v>2</v>
      </c>
      <c r="S760" s="11" t="str">
        <f t="shared" si="60"/>
        <v>700-749</v>
      </c>
    </row>
    <row r="761" spans="1:19" x14ac:dyDescent="0.3">
      <c r="A761" s="11" t="s">
        <v>773</v>
      </c>
      <c r="B761" s="11" t="s">
        <v>1026</v>
      </c>
      <c r="C761" s="11">
        <v>59</v>
      </c>
      <c r="D761" s="11" t="s">
        <v>1034</v>
      </c>
      <c r="E761" s="11" t="s">
        <v>1038</v>
      </c>
      <c r="F761" s="12">
        <v>1035914</v>
      </c>
      <c r="G761" s="12">
        <v>1047114</v>
      </c>
      <c r="H761" s="11">
        <v>9.76</v>
      </c>
      <c r="I761" s="11">
        <v>96</v>
      </c>
      <c r="J761" s="11">
        <v>677</v>
      </c>
      <c r="K761" s="11" t="s">
        <v>1041</v>
      </c>
      <c r="L761" s="11" t="s">
        <v>1044</v>
      </c>
      <c r="M761" s="13">
        <v>43194</v>
      </c>
      <c r="N761" s="11" t="s">
        <v>1047</v>
      </c>
      <c r="O761" s="14">
        <f t="shared" si="56"/>
        <v>15756.415209528393</v>
      </c>
      <c r="P761" s="14">
        <f t="shared" si="57"/>
        <v>1512615.8601147258</v>
      </c>
      <c r="Q761" s="14">
        <f t="shared" si="58"/>
        <v>465501.86011472577</v>
      </c>
      <c r="R761" s="11">
        <f t="shared" ca="1" si="59"/>
        <v>7</v>
      </c>
      <c r="S761" s="11" t="str">
        <f t="shared" si="60"/>
        <v>650-699</v>
      </c>
    </row>
    <row r="762" spans="1:19" x14ac:dyDescent="0.3">
      <c r="A762" s="11" t="s">
        <v>774</v>
      </c>
      <c r="B762" s="11" t="s">
        <v>1018</v>
      </c>
      <c r="C762" s="11">
        <v>44</v>
      </c>
      <c r="D762" s="11" t="s">
        <v>1035</v>
      </c>
      <c r="E762" s="11" t="s">
        <v>1036</v>
      </c>
      <c r="F762" s="12">
        <v>1143404</v>
      </c>
      <c r="G762" s="12">
        <v>1369532</v>
      </c>
      <c r="H762" s="11">
        <v>9.7799999999999994</v>
      </c>
      <c r="I762" s="11">
        <v>48</v>
      </c>
      <c r="J762" s="11">
        <v>658</v>
      </c>
      <c r="K762" s="11" t="s">
        <v>1041</v>
      </c>
      <c r="L762" s="11" t="s">
        <v>1044</v>
      </c>
      <c r="M762" s="13">
        <v>45416</v>
      </c>
      <c r="N762" s="11" t="s">
        <v>1047</v>
      </c>
      <c r="O762" s="14">
        <f t="shared" si="56"/>
        <v>34590.352469957841</v>
      </c>
      <c r="P762" s="14">
        <f t="shared" si="57"/>
        <v>1660336.9185579764</v>
      </c>
      <c r="Q762" s="14">
        <f t="shared" si="58"/>
        <v>290804.91855797637</v>
      </c>
      <c r="R762" s="11">
        <f t="shared" ca="1" si="59"/>
        <v>1</v>
      </c>
      <c r="S762" s="11" t="str">
        <f t="shared" si="60"/>
        <v>650-699</v>
      </c>
    </row>
    <row r="763" spans="1:19" x14ac:dyDescent="0.3">
      <c r="A763" s="11" t="s">
        <v>775</v>
      </c>
      <c r="B763" s="11" t="s">
        <v>1017</v>
      </c>
      <c r="C763" s="11">
        <v>46</v>
      </c>
      <c r="D763" s="11" t="s">
        <v>1034</v>
      </c>
      <c r="E763" s="11" t="s">
        <v>1038</v>
      </c>
      <c r="F763" s="12">
        <v>1953291</v>
      </c>
      <c r="G763" s="12">
        <v>306489</v>
      </c>
      <c r="H763" s="11">
        <v>12.87</v>
      </c>
      <c r="I763" s="11">
        <v>60</v>
      </c>
      <c r="J763" s="11">
        <v>708</v>
      </c>
      <c r="K763" s="11" t="s">
        <v>1039</v>
      </c>
      <c r="L763" s="11" t="s">
        <v>1044</v>
      </c>
      <c r="M763" s="13">
        <v>45366</v>
      </c>
      <c r="N763" s="11" t="s">
        <v>1046</v>
      </c>
      <c r="O763" s="14">
        <f t="shared" si="56"/>
        <v>6953.1872637402575</v>
      </c>
      <c r="P763" s="14">
        <f t="shared" si="57"/>
        <v>417191.23582441546</v>
      </c>
      <c r="Q763" s="14">
        <f t="shared" si="58"/>
        <v>110702.23582441546</v>
      </c>
      <c r="R763" s="11">
        <f t="shared" ca="1" si="59"/>
        <v>1</v>
      </c>
      <c r="S763" s="11" t="str">
        <f t="shared" si="60"/>
        <v>700-749</v>
      </c>
    </row>
    <row r="764" spans="1:19" x14ac:dyDescent="0.3">
      <c r="A764" s="11" t="s">
        <v>776</v>
      </c>
      <c r="B764" s="11" t="s">
        <v>1025</v>
      </c>
      <c r="C764" s="11">
        <v>53</v>
      </c>
      <c r="D764" s="11" t="s">
        <v>1034</v>
      </c>
      <c r="E764" s="11" t="s">
        <v>1037</v>
      </c>
      <c r="F764" s="12">
        <v>665773</v>
      </c>
      <c r="G764" s="12">
        <v>384332</v>
      </c>
      <c r="H764" s="11">
        <v>12.1</v>
      </c>
      <c r="I764" s="11">
        <v>120</v>
      </c>
      <c r="J764" s="11">
        <v>737</v>
      </c>
      <c r="K764" s="11" t="s">
        <v>1042</v>
      </c>
      <c r="L764" s="11" t="s">
        <v>1043</v>
      </c>
      <c r="M764" s="13">
        <v>44219</v>
      </c>
      <c r="N764" s="11" t="s">
        <v>1045</v>
      </c>
      <c r="O764" s="14">
        <f t="shared" si="56"/>
        <v>5536.2881143406321</v>
      </c>
      <c r="P764" s="14">
        <f t="shared" si="57"/>
        <v>664354.57372087589</v>
      </c>
      <c r="Q764" s="14">
        <f t="shared" si="58"/>
        <v>280022.57372087589</v>
      </c>
      <c r="R764" s="11">
        <f t="shared" ca="1" si="59"/>
        <v>4</v>
      </c>
      <c r="S764" s="11" t="str">
        <f t="shared" si="60"/>
        <v>700-749</v>
      </c>
    </row>
    <row r="765" spans="1:19" x14ac:dyDescent="0.3">
      <c r="A765" s="11" t="s">
        <v>777</v>
      </c>
      <c r="B765" s="11" t="s">
        <v>1027</v>
      </c>
      <c r="C765" s="11">
        <v>51</v>
      </c>
      <c r="D765" s="11" t="s">
        <v>1034</v>
      </c>
      <c r="E765" s="11" t="s">
        <v>1036</v>
      </c>
      <c r="F765" s="12">
        <v>1468589</v>
      </c>
      <c r="G765" s="12">
        <v>536353</v>
      </c>
      <c r="H765" s="11">
        <v>10.67</v>
      </c>
      <c r="I765" s="11">
        <v>120</v>
      </c>
      <c r="J765" s="11">
        <v>673</v>
      </c>
      <c r="K765" s="11" t="s">
        <v>1040</v>
      </c>
      <c r="L765" s="11" t="s">
        <v>1044</v>
      </c>
      <c r="M765" s="13">
        <v>44679</v>
      </c>
      <c r="N765" s="11" t="s">
        <v>1045</v>
      </c>
      <c r="O765" s="14">
        <f t="shared" si="56"/>
        <v>7288.4294581904778</v>
      </c>
      <c r="P765" s="14">
        <f t="shared" si="57"/>
        <v>874611.53498285729</v>
      </c>
      <c r="Q765" s="14">
        <f t="shared" si="58"/>
        <v>338258.53498285729</v>
      </c>
      <c r="R765" s="11">
        <f t="shared" ca="1" si="59"/>
        <v>3</v>
      </c>
      <c r="S765" s="11" t="str">
        <f t="shared" si="60"/>
        <v>650-699</v>
      </c>
    </row>
    <row r="766" spans="1:19" x14ac:dyDescent="0.3">
      <c r="A766" s="11" t="s">
        <v>778</v>
      </c>
      <c r="B766" s="11" t="s">
        <v>1031</v>
      </c>
      <c r="C766" s="11">
        <v>58</v>
      </c>
      <c r="D766" s="11" t="s">
        <v>1035</v>
      </c>
      <c r="E766" s="11" t="s">
        <v>1037</v>
      </c>
      <c r="F766" s="12">
        <v>1197178</v>
      </c>
      <c r="G766" s="12">
        <v>681356</v>
      </c>
      <c r="H766" s="11">
        <v>10.93</v>
      </c>
      <c r="I766" s="11">
        <v>84</v>
      </c>
      <c r="J766" s="11">
        <v>640</v>
      </c>
      <c r="K766" s="11" t="s">
        <v>1039</v>
      </c>
      <c r="L766" s="11" t="s">
        <v>1044</v>
      </c>
      <c r="M766" s="13">
        <v>45198</v>
      </c>
      <c r="N766" s="11" t="s">
        <v>1045</v>
      </c>
      <c r="O766" s="14">
        <f t="shared" si="56"/>
        <v>11641.412289734693</v>
      </c>
      <c r="P766" s="14">
        <f t="shared" si="57"/>
        <v>977878.6323377142</v>
      </c>
      <c r="Q766" s="14">
        <f t="shared" si="58"/>
        <v>296522.6323377142</v>
      </c>
      <c r="R766" s="11">
        <f t="shared" ca="1" si="59"/>
        <v>2</v>
      </c>
      <c r="S766" s="11" t="str">
        <f t="shared" si="60"/>
        <v>600-649</v>
      </c>
    </row>
    <row r="767" spans="1:19" x14ac:dyDescent="0.3">
      <c r="A767" s="11" t="s">
        <v>779</v>
      </c>
      <c r="B767" s="11" t="s">
        <v>1033</v>
      </c>
      <c r="C767" s="11">
        <v>44</v>
      </c>
      <c r="D767" s="11" t="s">
        <v>1034</v>
      </c>
      <c r="E767" s="11" t="s">
        <v>1038</v>
      </c>
      <c r="F767" s="12">
        <v>985628</v>
      </c>
      <c r="G767" s="12">
        <v>1065144</v>
      </c>
      <c r="H767" s="11">
        <v>12.72</v>
      </c>
      <c r="I767" s="11">
        <v>84</v>
      </c>
      <c r="J767" s="11">
        <v>619</v>
      </c>
      <c r="K767" s="11" t="s">
        <v>1041</v>
      </c>
      <c r="L767" s="11" t="s">
        <v>1044</v>
      </c>
      <c r="M767" s="13">
        <v>43423</v>
      </c>
      <c r="N767" s="11" t="s">
        <v>1046</v>
      </c>
      <c r="O767" s="14">
        <f t="shared" si="56"/>
        <v>19215.288126058105</v>
      </c>
      <c r="P767" s="14">
        <f t="shared" si="57"/>
        <v>1614084.2025888809</v>
      </c>
      <c r="Q767" s="14">
        <f t="shared" si="58"/>
        <v>548940.2025888809</v>
      </c>
      <c r="R767" s="11">
        <f t="shared" ca="1" si="59"/>
        <v>7</v>
      </c>
      <c r="S767" s="11" t="str">
        <f t="shared" si="60"/>
        <v>600-649</v>
      </c>
    </row>
    <row r="768" spans="1:19" x14ac:dyDescent="0.3">
      <c r="A768" s="11" t="s">
        <v>780</v>
      </c>
      <c r="B768" s="11" t="s">
        <v>1024</v>
      </c>
      <c r="C768" s="11">
        <v>30</v>
      </c>
      <c r="D768" s="11" t="s">
        <v>1034</v>
      </c>
      <c r="E768" s="11" t="s">
        <v>1036</v>
      </c>
      <c r="F768" s="12">
        <v>599044</v>
      </c>
      <c r="G768" s="12">
        <v>1733384</v>
      </c>
      <c r="H768" s="11">
        <v>14.96</v>
      </c>
      <c r="I768" s="11">
        <v>72</v>
      </c>
      <c r="J768" s="11">
        <v>683</v>
      </c>
      <c r="K768" s="11" t="s">
        <v>1041</v>
      </c>
      <c r="L768" s="11" t="s">
        <v>1044</v>
      </c>
      <c r="M768" s="13">
        <v>45369</v>
      </c>
      <c r="N768" s="11" t="s">
        <v>1047</v>
      </c>
      <c r="O768" s="14">
        <f t="shared" si="56"/>
        <v>36614.784646747052</v>
      </c>
      <c r="P768" s="14">
        <f t="shared" si="57"/>
        <v>2636264.4945657877</v>
      </c>
      <c r="Q768" s="14">
        <f t="shared" si="58"/>
        <v>902880.49456578773</v>
      </c>
      <c r="R768" s="11">
        <f t="shared" ca="1" si="59"/>
        <v>1</v>
      </c>
      <c r="S768" s="11" t="str">
        <f t="shared" si="60"/>
        <v>650-699</v>
      </c>
    </row>
    <row r="769" spans="1:19" x14ac:dyDescent="0.3">
      <c r="A769" s="11" t="s">
        <v>781</v>
      </c>
      <c r="B769" s="11" t="s">
        <v>1025</v>
      </c>
      <c r="C769" s="11">
        <v>50</v>
      </c>
      <c r="D769" s="11" t="s">
        <v>1035</v>
      </c>
      <c r="E769" s="11" t="s">
        <v>1036</v>
      </c>
      <c r="F769" s="12">
        <v>1903958</v>
      </c>
      <c r="G769" s="12">
        <v>288090</v>
      </c>
      <c r="H769" s="11">
        <v>12.85</v>
      </c>
      <c r="I769" s="11">
        <v>36</v>
      </c>
      <c r="J769" s="11">
        <v>814</v>
      </c>
      <c r="K769" s="11" t="s">
        <v>1041</v>
      </c>
      <c r="L769" s="11" t="s">
        <v>1044</v>
      </c>
      <c r="M769" s="13">
        <v>44197</v>
      </c>
      <c r="N769" s="11" t="s">
        <v>1048</v>
      </c>
      <c r="O769" s="14">
        <f t="shared" si="56"/>
        <v>9686.0893985392104</v>
      </c>
      <c r="P769" s="14">
        <f t="shared" si="57"/>
        <v>348699.2183474116</v>
      </c>
      <c r="Q769" s="14">
        <f t="shared" si="58"/>
        <v>60609.218347411603</v>
      </c>
      <c r="R769" s="11">
        <f t="shared" ca="1" si="59"/>
        <v>4</v>
      </c>
      <c r="S769" s="11" t="str">
        <f t="shared" si="60"/>
        <v>800-850</v>
      </c>
    </row>
    <row r="770" spans="1:19" x14ac:dyDescent="0.3">
      <c r="A770" s="11" t="s">
        <v>782</v>
      </c>
      <c r="B770" s="11" t="s">
        <v>1027</v>
      </c>
      <c r="C770" s="11">
        <v>38</v>
      </c>
      <c r="D770" s="11" t="s">
        <v>1034</v>
      </c>
      <c r="E770" s="11" t="s">
        <v>1038</v>
      </c>
      <c r="F770" s="12">
        <v>854449</v>
      </c>
      <c r="G770" s="12">
        <v>1085052</v>
      </c>
      <c r="H770" s="11">
        <v>13.39</v>
      </c>
      <c r="I770" s="11">
        <v>84</v>
      </c>
      <c r="J770" s="11">
        <v>742</v>
      </c>
      <c r="K770" s="11" t="s">
        <v>1040</v>
      </c>
      <c r="L770" s="11" t="s">
        <v>1044</v>
      </c>
      <c r="M770" s="13">
        <v>45153</v>
      </c>
      <c r="N770" s="11" t="s">
        <v>1045</v>
      </c>
      <c r="O770" s="14">
        <f t="shared" si="56"/>
        <v>19970.013072673355</v>
      </c>
      <c r="P770" s="14">
        <f t="shared" si="57"/>
        <v>1677481.0981045619</v>
      </c>
      <c r="Q770" s="14">
        <f t="shared" si="58"/>
        <v>592429.09810456191</v>
      </c>
      <c r="R770" s="11">
        <f t="shared" ca="1" si="59"/>
        <v>2</v>
      </c>
      <c r="S770" s="11" t="str">
        <f t="shared" si="60"/>
        <v>700-749</v>
      </c>
    </row>
    <row r="771" spans="1:19" x14ac:dyDescent="0.3">
      <c r="A771" s="11" t="s">
        <v>783</v>
      </c>
      <c r="B771" s="11" t="s">
        <v>1016</v>
      </c>
      <c r="C771" s="11">
        <v>54</v>
      </c>
      <c r="D771" s="11" t="s">
        <v>1034</v>
      </c>
      <c r="E771" s="11" t="s">
        <v>1037</v>
      </c>
      <c r="F771" s="12">
        <v>763463</v>
      </c>
      <c r="G771" s="12">
        <v>1100142</v>
      </c>
      <c r="H771" s="11">
        <v>11.66</v>
      </c>
      <c r="I771" s="11">
        <v>96</v>
      </c>
      <c r="J771" s="11">
        <v>658</v>
      </c>
      <c r="K771" s="11" t="s">
        <v>1040</v>
      </c>
      <c r="L771" s="11" t="s">
        <v>1044</v>
      </c>
      <c r="M771" s="13">
        <v>45178</v>
      </c>
      <c r="N771" s="11" t="s">
        <v>1045</v>
      </c>
      <c r="O771" s="14">
        <f t="shared" ref="O771:O834" si="61">PMT(H771/1200,I771,-G771)</f>
        <v>17675.552755602748</v>
      </c>
      <c r="P771" s="14">
        <f t="shared" ref="P771:P834" si="62">O771*I771</f>
        <v>1696853.0645378637</v>
      </c>
      <c r="Q771" s="14">
        <f t="shared" ref="Q771:Q834" si="63">P771-G771</f>
        <v>596711.06453786371</v>
      </c>
      <c r="R771" s="11">
        <f t="shared" ref="R771:R834" ca="1" si="64">(YEAR(TODAY())-YEAR(M771))</f>
        <v>2</v>
      </c>
      <c r="S771" s="11" t="str">
        <f t="shared" ref="S771:S834" si="65">IF(J771&lt;650,"600-649",
IF(J771&lt;700,"650-699",
IF(J771&lt;750,"700-749",
IF(J771&lt;800,"750-799","800-850"))))</f>
        <v>650-699</v>
      </c>
    </row>
    <row r="772" spans="1:19" x14ac:dyDescent="0.3">
      <c r="A772" s="11" t="s">
        <v>784</v>
      </c>
      <c r="B772" s="11" t="s">
        <v>1018</v>
      </c>
      <c r="C772" s="11">
        <v>39</v>
      </c>
      <c r="D772" s="11" t="s">
        <v>1034</v>
      </c>
      <c r="E772" s="11" t="s">
        <v>1037</v>
      </c>
      <c r="F772" s="12">
        <v>457818</v>
      </c>
      <c r="G772" s="12">
        <v>1311393</v>
      </c>
      <c r="H772" s="11">
        <v>9.66</v>
      </c>
      <c r="I772" s="11">
        <v>96</v>
      </c>
      <c r="J772" s="11">
        <v>678</v>
      </c>
      <c r="K772" s="11" t="s">
        <v>1041</v>
      </c>
      <c r="L772" s="11" t="s">
        <v>1043</v>
      </c>
      <c r="M772" s="13">
        <v>43314</v>
      </c>
      <c r="N772" s="11" t="s">
        <v>1047</v>
      </c>
      <c r="O772" s="14">
        <f t="shared" si="61"/>
        <v>19664.147401588882</v>
      </c>
      <c r="P772" s="14">
        <f t="shared" si="62"/>
        <v>1887758.1505525326</v>
      </c>
      <c r="Q772" s="14">
        <f t="shared" si="63"/>
        <v>576365.15055253264</v>
      </c>
      <c r="R772" s="11">
        <f t="shared" ca="1" si="64"/>
        <v>7</v>
      </c>
      <c r="S772" s="11" t="str">
        <f t="shared" si="65"/>
        <v>650-699</v>
      </c>
    </row>
    <row r="773" spans="1:19" x14ac:dyDescent="0.3">
      <c r="A773" s="11" t="s">
        <v>785</v>
      </c>
      <c r="B773" s="11" t="s">
        <v>1033</v>
      </c>
      <c r="C773" s="11">
        <v>37</v>
      </c>
      <c r="D773" s="11" t="s">
        <v>1034</v>
      </c>
      <c r="E773" s="11" t="s">
        <v>1038</v>
      </c>
      <c r="F773" s="12">
        <v>1412087</v>
      </c>
      <c r="G773" s="12">
        <v>364200</v>
      </c>
      <c r="H773" s="11">
        <v>12.34</v>
      </c>
      <c r="I773" s="11">
        <v>120</v>
      </c>
      <c r="J773" s="11">
        <v>611</v>
      </c>
      <c r="K773" s="11" t="s">
        <v>1040</v>
      </c>
      <c r="L773" s="11" t="s">
        <v>1044</v>
      </c>
      <c r="M773" s="13">
        <v>43348</v>
      </c>
      <c r="N773" s="11" t="s">
        <v>1047</v>
      </c>
      <c r="O773" s="14">
        <f t="shared" si="61"/>
        <v>5297.0445182223275</v>
      </c>
      <c r="P773" s="14">
        <f t="shared" si="62"/>
        <v>635645.34218667925</v>
      </c>
      <c r="Q773" s="14">
        <f t="shared" si="63"/>
        <v>271445.34218667925</v>
      </c>
      <c r="R773" s="11">
        <f t="shared" ca="1" si="64"/>
        <v>7</v>
      </c>
      <c r="S773" s="11" t="str">
        <f t="shared" si="65"/>
        <v>600-649</v>
      </c>
    </row>
    <row r="774" spans="1:19" x14ac:dyDescent="0.3">
      <c r="A774" s="11" t="s">
        <v>786</v>
      </c>
      <c r="B774" s="11" t="s">
        <v>1018</v>
      </c>
      <c r="C774" s="11">
        <v>42</v>
      </c>
      <c r="D774" s="11" t="s">
        <v>1035</v>
      </c>
      <c r="E774" s="11" t="s">
        <v>1036</v>
      </c>
      <c r="F774" s="12">
        <v>869294</v>
      </c>
      <c r="G774" s="12">
        <v>1325163</v>
      </c>
      <c r="H774" s="11">
        <v>7.77</v>
      </c>
      <c r="I774" s="11">
        <v>84</v>
      </c>
      <c r="J774" s="11">
        <v>693</v>
      </c>
      <c r="K774" s="11" t="s">
        <v>1040</v>
      </c>
      <c r="L774" s="11" t="s">
        <v>1044</v>
      </c>
      <c r="M774" s="13">
        <v>44048</v>
      </c>
      <c r="N774" s="11" t="s">
        <v>1045</v>
      </c>
      <c r="O774" s="14">
        <f t="shared" si="61"/>
        <v>20502.752775364577</v>
      </c>
      <c r="P774" s="14">
        <f t="shared" si="62"/>
        <v>1722231.2331306245</v>
      </c>
      <c r="Q774" s="14">
        <f t="shared" si="63"/>
        <v>397068.23313062452</v>
      </c>
      <c r="R774" s="11">
        <f t="shared" ca="1" si="64"/>
        <v>5</v>
      </c>
      <c r="S774" s="11" t="str">
        <f t="shared" si="65"/>
        <v>650-699</v>
      </c>
    </row>
    <row r="775" spans="1:19" x14ac:dyDescent="0.3">
      <c r="A775" s="11" t="s">
        <v>787</v>
      </c>
      <c r="B775" s="11" t="s">
        <v>1017</v>
      </c>
      <c r="C775" s="11">
        <v>45</v>
      </c>
      <c r="D775" s="11" t="s">
        <v>1034</v>
      </c>
      <c r="E775" s="11" t="s">
        <v>1038</v>
      </c>
      <c r="F775" s="12">
        <v>1330923</v>
      </c>
      <c r="G775" s="12">
        <v>1141499</v>
      </c>
      <c r="H775" s="11">
        <v>9.5</v>
      </c>
      <c r="I775" s="11">
        <v>48</v>
      </c>
      <c r="J775" s="11">
        <v>751</v>
      </c>
      <c r="K775" s="11" t="s">
        <v>1041</v>
      </c>
      <c r="L775" s="11" t="s">
        <v>1044</v>
      </c>
      <c r="M775" s="13">
        <v>45116</v>
      </c>
      <c r="N775" s="11" t="s">
        <v>1046</v>
      </c>
      <c r="O775" s="14">
        <f t="shared" si="61"/>
        <v>28678.035386736436</v>
      </c>
      <c r="P775" s="14">
        <f t="shared" si="62"/>
        <v>1376545.698563349</v>
      </c>
      <c r="Q775" s="14">
        <f t="shared" si="63"/>
        <v>235046.69856334897</v>
      </c>
      <c r="R775" s="11">
        <f t="shared" ca="1" si="64"/>
        <v>2</v>
      </c>
      <c r="S775" s="11" t="str">
        <f t="shared" si="65"/>
        <v>750-799</v>
      </c>
    </row>
    <row r="776" spans="1:19" x14ac:dyDescent="0.3">
      <c r="A776" s="11" t="s">
        <v>788</v>
      </c>
      <c r="B776" s="11" t="s">
        <v>1021</v>
      </c>
      <c r="C776" s="11">
        <v>57</v>
      </c>
      <c r="D776" s="11" t="s">
        <v>1034</v>
      </c>
      <c r="E776" s="11" t="s">
        <v>1037</v>
      </c>
      <c r="F776" s="12">
        <v>884619</v>
      </c>
      <c r="G776" s="12">
        <v>1924293</v>
      </c>
      <c r="H776" s="11">
        <v>10.07</v>
      </c>
      <c r="I776" s="11">
        <v>36</v>
      </c>
      <c r="J776" s="11">
        <v>652</v>
      </c>
      <c r="K776" s="11" t="s">
        <v>1041</v>
      </c>
      <c r="L776" s="11" t="s">
        <v>1043</v>
      </c>
      <c r="M776" s="13">
        <v>43132</v>
      </c>
      <c r="N776" s="11" t="s">
        <v>1047</v>
      </c>
      <c r="O776" s="14">
        <f t="shared" si="61"/>
        <v>62154.782777578344</v>
      </c>
      <c r="P776" s="14">
        <f t="shared" si="62"/>
        <v>2237572.1799928206</v>
      </c>
      <c r="Q776" s="14">
        <f t="shared" si="63"/>
        <v>313279.1799928206</v>
      </c>
      <c r="R776" s="11">
        <f t="shared" ca="1" si="64"/>
        <v>7</v>
      </c>
      <c r="S776" s="11" t="str">
        <f t="shared" si="65"/>
        <v>650-699</v>
      </c>
    </row>
    <row r="777" spans="1:19" x14ac:dyDescent="0.3">
      <c r="A777" s="11" t="s">
        <v>789</v>
      </c>
      <c r="B777" s="11" t="s">
        <v>1016</v>
      </c>
      <c r="C777" s="11">
        <v>32</v>
      </c>
      <c r="D777" s="11" t="s">
        <v>1035</v>
      </c>
      <c r="E777" s="11" t="s">
        <v>1037</v>
      </c>
      <c r="F777" s="12">
        <v>634192</v>
      </c>
      <c r="G777" s="12">
        <v>1528918</v>
      </c>
      <c r="H777" s="11">
        <v>9.1199999999999992</v>
      </c>
      <c r="I777" s="11">
        <v>72</v>
      </c>
      <c r="J777" s="11">
        <v>845</v>
      </c>
      <c r="K777" s="11" t="s">
        <v>1040</v>
      </c>
      <c r="L777" s="11" t="s">
        <v>1043</v>
      </c>
      <c r="M777" s="13">
        <v>45032</v>
      </c>
      <c r="N777" s="11" t="s">
        <v>1045</v>
      </c>
      <c r="O777" s="14">
        <f t="shared" si="61"/>
        <v>27650.714167658985</v>
      </c>
      <c r="P777" s="14">
        <f t="shared" si="62"/>
        <v>1990851.420071447</v>
      </c>
      <c r="Q777" s="14">
        <f t="shared" si="63"/>
        <v>461933.42007144704</v>
      </c>
      <c r="R777" s="11">
        <f t="shared" ca="1" si="64"/>
        <v>2</v>
      </c>
      <c r="S777" s="11" t="str">
        <f t="shared" si="65"/>
        <v>800-850</v>
      </c>
    </row>
    <row r="778" spans="1:19" x14ac:dyDescent="0.3">
      <c r="A778" s="11" t="s">
        <v>790</v>
      </c>
      <c r="B778" s="11" t="s">
        <v>1016</v>
      </c>
      <c r="C778" s="11">
        <v>60</v>
      </c>
      <c r="D778" s="11" t="s">
        <v>1035</v>
      </c>
      <c r="E778" s="11" t="s">
        <v>1036</v>
      </c>
      <c r="F778" s="12">
        <v>1619466</v>
      </c>
      <c r="G778" s="12">
        <v>818665</v>
      </c>
      <c r="H778" s="11">
        <v>11.75</v>
      </c>
      <c r="I778" s="11">
        <v>36</v>
      </c>
      <c r="J778" s="11">
        <v>730</v>
      </c>
      <c r="K778" s="11" t="s">
        <v>1039</v>
      </c>
      <c r="L778" s="11" t="s">
        <v>1044</v>
      </c>
      <c r="M778" s="13">
        <v>45503</v>
      </c>
      <c r="N778" s="11" t="s">
        <v>1047</v>
      </c>
      <c r="O778" s="14">
        <f t="shared" si="61"/>
        <v>27093.743937467858</v>
      </c>
      <c r="P778" s="14">
        <f t="shared" si="62"/>
        <v>975374.78174884291</v>
      </c>
      <c r="Q778" s="14">
        <f t="shared" si="63"/>
        <v>156709.78174884291</v>
      </c>
      <c r="R778" s="11">
        <f t="shared" ca="1" si="64"/>
        <v>1</v>
      </c>
      <c r="S778" s="11" t="str">
        <f t="shared" si="65"/>
        <v>700-749</v>
      </c>
    </row>
    <row r="779" spans="1:19" x14ac:dyDescent="0.3">
      <c r="A779" s="11" t="s">
        <v>791</v>
      </c>
      <c r="B779" s="11" t="s">
        <v>1031</v>
      </c>
      <c r="C779" s="11">
        <v>42</v>
      </c>
      <c r="D779" s="11" t="s">
        <v>1034</v>
      </c>
      <c r="E779" s="11" t="s">
        <v>1036</v>
      </c>
      <c r="F779" s="12">
        <v>1040124</v>
      </c>
      <c r="G779" s="12">
        <v>1664272</v>
      </c>
      <c r="H779" s="11">
        <v>9.7799999999999994</v>
      </c>
      <c r="I779" s="11">
        <v>120</v>
      </c>
      <c r="J779" s="11">
        <v>778</v>
      </c>
      <c r="K779" s="11" t="s">
        <v>1040</v>
      </c>
      <c r="L779" s="11" t="s">
        <v>1044</v>
      </c>
      <c r="M779" s="13">
        <v>45171</v>
      </c>
      <c r="N779" s="11" t="s">
        <v>1046</v>
      </c>
      <c r="O779" s="14">
        <f t="shared" si="61"/>
        <v>21791.226976357684</v>
      </c>
      <c r="P779" s="14">
        <f t="shared" si="62"/>
        <v>2614947.237162922</v>
      </c>
      <c r="Q779" s="14">
        <f t="shared" si="63"/>
        <v>950675.23716292204</v>
      </c>
      <c r="R779" s="11">
        <f t="shared" ca="1" si="64"/>
        <v>2</v>
      </c>
      <c r="S779" s="11" t="str">
        <f t="shared" si="65"/>
        <v>750-799</v>
      </c>
    </row>
    <row r="780" spans="1:19" x14ac:dyDescent="0.3">
      <c r="A780" s="11" t="s">
        <v>792</v>
      </c>
      <c r="B780" s="11" t="s">
        <v>1025</v>
      </c>
      <c r="C780" s="11">
        <v>57</v>
      </c>
      <c r="D780" s="11" t="s">
        <v>1035</v>
      </c>
      <c r="E780" s="11" t="s">
        <v>1036</v>
      </c>
      <c r="F780" s="12">
        <v>448269</v>
      </c>
      <c r="G780" s="12">
        <v>1229395</v>
      </c>
      <c r="H780" s="11">
        <v>12.56</v>
      </c>
      <c r="I780" s="11">
        <v>60</v>
      </c>
      <c r="J780" s="11">
        <v>677</v>
      </c>
      <c r="K780" s="11" t="s">
        <v>1040</v>
      </c>
      <c r="L780" s="11" t="s">
        <v>1044</v>
      </c>
      <c r="M780" s="13">
        <v>43444</v>
      </c>
      <c r="N780" s="11" t="s">
        <v>1046</v>
      </c>
      <c r="O780" s="14">
        <f t="shared" si="61"/>
        <v>27696.385554088152</v>
      </c>
      <c r="P780" s="14">
        <f t="shared" si="62"/>
        <v>1661783.1332452891</v>
      </c>
      <c r="Q780" s="14">
        <f t="shared" si="63"/>
        <v>432388.13324528909</v>
      </c>
      <c r="R780" s="11">
        <f t="shared" ca="1" si="64"/>
        <v>7</v>
      </c>
      <c r="S780" s="11" t="str">
        <f t="shared" si="65"/>
        <v>650-699</v>
      </c>
    </row>
    <row r="781" spans="1:19" x14ac:dyDescent="0.3">
      <c r="A781" s="11" t="s">
        <v>793</v>
      </c>
      <c r="B781" s="11" t="s">
        <v>1026</v>
      </c>
      <c r="C781" s="11">
        <v>32</v>
      </c>
      <c r="D781" s="11" t="s">
        <v>1034</v>
      </c>
      <c r="E781" s="11" t="s">
        <v>1036</v>
      </c>
      <c r="F781" s="12">
        <v>882639</v>
      </c>
      <c r="G781" s="12">
        <v>1166674</v>
      </c>
      <c r="H781" s="11">
        <v>14.99</v>
      </c>
      <c r="I781" s="11">
        <v>60</v>
      </c>
      <c r="J781" s="11">
        <v>607</v>
      </c>
      <c r="K781" s="11" t="s">
        <v>1040</v>
      </c>
      <c r="L781" s="11" t="s">
        <v>1043</v>
      </c>
      <c r="M781" s="13">
        <v>43427</v>
      </c>
      <c r="N781" s="11" t="s">
        <v>1045</v>
      </c>
      <c r="O781" s="14">
        <f t="shared" si="61"/>
        <v>27748.969254538064</v>
      </c>
      <c r="P781" s="14">
        <f t="shared" si="62"/>
        <v>1664938.1552722838</v>
      </c>
      <c r="Q781" s="14">
        <f t="shared" si="63"/>
        <v>498264.15527228382</v>
      </c>
      <c r="R781" s="11">
        <f t="shared" ca="1" si="64"/>
        <v>7</v>
      </c>
      <c r="S781" s="11" t="str">
        <f t="shared" si="65"/>
        <v>600-649</v>
      </c>
    </row>
    <row r="782" spans="1:19" x14ac:dyDescent="0.3">
      <c r="A782" s="11" t="s">
        <v>794</v>
      </c>
      <c r="B782" s="11" t="s">
        <v>1017</v>
      </c>
      <c r="C782" s="11">
        <v>39</v>
      </c>
      <c r="D782" s="11" t="s">
        <v>1034</v>
      </c>
      <c r="E782" s="11" t="s">
        <v>1038</v>
      </c>
      <c r="F782" s="12">
        <v>1205382</v>
      </c>
      <c r="G782" s="12">
        <v>1197547</v>
      </c>
      <c r="H782" s="11">
        <v>9.31</v>
      </c>
      <c r="I782" s="11">
        <v>60</v>
      </c>
      <c r="J782" s="11">
        <v>606</v>
      </c>
      <c r="K782" s="11" t="s">
        <v>1042</v>
      </c>
      <c r="L782" s="11" t="s">
        <v>1044</v>
      </c>
      <c r="M782" s="13">
        <v>43456</v>
      </c>
      <c r="N782" s="11" t="s">
        <v>1047</v>
      </c>
      <c r="O782" s="14">
        <f t="shared" si="61"/>
        <v>25039.667271894778</v>
      </c>
      <c r="P782" s="14">
        <f t="shared" si="62"/>
        <v>1502380.0363136868</v>
      </c>
      <c r="Q782" s="14">
        <f t="shared" si="63"/>
        <v>304833.03631368675</v>
      </c>
      <c r="R782" s="11">
        <f t="shared" ca="1" si="64"/>
        <v>7</v>
      </c>
      <c r="S782" s="11" t="str">
        <f t="shared" si="65"/>
        <v>600-649</v>
      </c>
    </row>
    <row r="783" spans="1:19" x14ac:dyDescent="0.3">
      <c r="A783" s="11" t="s">
        <v>795</v>
      </c>
      <c r="B783" s="11" t="s">
        <v>1028</v>
      </c>
      <c r="C783" s="11">
        <v>59</v>
      </c>
      <c r="D783" s="11" t="s">
        <v>1035</v>
      </c>
      <c r="E783" s="11" t="s">
        <v>1036</v>
      </c>
      <c r="F783" s="12">
        <v>1597731</v>
      </c>
      <c r="G783" s="12">
        <v>1943880</v>
      </c>
      <c r="H783" s="11">
        <v>13.88</v>
      </c>
      <c r="I783" s="11">
        <v>60</v>
      </c>
      <c r="J783" s="11">
        <v>667</v>
      </c>
      <c r="K783" s="11" t="s">
        <v>1040</v>
      </c>
      <c r="L783" s="11" t="s">
        <v>1043</v>
      </c>
      <c r="M783" s="13">
        <v>43973</v>
      </c>
      <c r="N783" s="11" t="s">
        <v>1047</v>
      </c>
      <c r="O783" s="14">
        <f t="shared" si="61"/>
        <v>45109.844912009103</v>
      </c>
      <c r="P783" s="14">
        <f t="shared" si="62"/>
        <v>2706590.6947205462</v>
      </c>
      <c r="Q783" s="14">
        <f t="shared" si="63"/>
        <v>762710.69472054625</v>
      </c>
      <c r="R783" s="11">
        <f t="shared" ca="1" si="64"/>
        <v>5</v>
      </c>
      <c r="S783" s="11" t="str">
        <f t="shared" si="65"/>
        <v>650-699</v>
      </c>
    </row>
    <row r="784" spans="1:19" x14ac:dyDescent="0.3">
      <c r="A784" s="11" t="s">
        <v>796</v>
      </c>
      <c r="B784" s="11" t="s">
        <v>1024</v>
      </c>
      <c r="C784" s="11">
        <v>35</v>
      </c>
      <c r="D784" s="11" t="s">
        <v>1034</v>
      </c>
      <c r="E784" s="11" t="s">
        <v>1036</v>
      </c>
      <c r="F784" s="12">
        <v>1203483</v>
      </c>
      <c r="G784" s="12">
        <v>223665</v>
      </c>
      <c r="H784" s="11">
        <v>11.68</v>
      </c>
      <c r="I784" s="11">
        <v>36</v>
      </c>
      <c r="J784" s="11">
        <v>810</v>
      </c>
      <c r="K784" s="11" t="s">
        <v>1041</v>
      </c>
      <c r="L784" s="11" t="s">
        <v>1044</v>
      </c>
      <c r="M784" s="13">
        <v>44160</v>
      </c>
      <c r="N784" s="11" t="s">
        <v>1047</v>
      </c>
      <c r="O784" s="14">
        <f t="shared" si="61"/>
        <v>7394.7404148181322</v>
      </c>
      <c r="P784" s="14">
        <f t="shared" si="62"/>
        <v>266210.65493345278</v>
      </c>
      <c r="Q784" s="14">
        <f t="shared" si="63"/>
        <v>42545.654933452781</v>
      </c>
      <c r="R784" s="11">
        <f t="shared" ca="1" si="64"/>
        <v>5</v>
      </c>
      <c r="S784" s="11" t="str">
        <f t="shared" si="65"/>
        <v>800-850</v>
      </c>
    </row>
    <row r="785" spans="1:19" x14ac:dyDescent="0.3">
      <c r="A785" s="11" t="s">
        <v>797</v>
      </c>
      <c r="B785" s="11" t="s">
        <v>1027</v>
      </c>
      <c r="C785" s="11">
        <v>48</v>
      </c>
      <c r="D785" s="11" t="s">
        <v>1034</v>
      </c>
      <c r="E785" s="11" t="s">
        <v>1038</v>
      </c>
      <c r="F785" s="12">
        <v>1167875</v>
      </c>
      <c r="G785" s="12">
        <v>246312</v>
      </c>
      <c r="H785" s="11">
        <v>9.2899999999999991</v>
      </c>
      <c r="I785" s="11">
        <v>48</v>
      </c>
      <c r="J785" s="11">
        <v>619</v>
      </c>
      <c r="K785" s="11" t="s">
        <v>1042</v>
      </c>
      <c r="L785" s="11" t="s">
        <v>1044</v>
      </c>
      <c r="M785" s="13">
        <v>44047</v>
      </c>
      <c r="N785" s="11" t="s">
        <v>1046</v>
      </c>
      <c r="O785" s="14">
        <f t="shared" si="61"/>
        <v>6163.4583214306731</v>
      </c>
      <c r="P785" s="14">
        <f t="shared" si="62"/>
        <v>295845.99942867231</v>
      </c>
      <c r="Q785" s="14">
        <f t="shared" si="63"/>
        <v>49533.999428672309</v>
      </c>
      <c r="R785" s="11">
        <f t="shared" ca="1" si="64"/>
        <v>5</v>
      </c>
      <c r="S785" s="11" t="str">
        <f t="shared" si="65"/>
        <v>600-649</v>
      </c>
    </row>
    <row r="786" spans="1:19" x14ac:dyDescent="0.3">
      <c r="A786" s="11" t="s">
        <v>798</v>
      </c>
      <c r="B786" s="11" t="s">
        <v>1018</v>
      </c>
      <c r="C786" s="11">
        <v>35</v>
      </c>
      <c r="D786" s="11" t="s">
        <v>1034</v>
      </c>
      <c r="E786" s="11" t="s">
        <v>1037</v>
      </c>
      <c r="F786" s="12">
        <v>394689</v>
      </c>
      <c r="G786" s="12">
        <v>1934101</v>
      </c>
      <c r="H786" s="11">
        <v>11.21</v>
      </c>
      <c r="I786" s="11">
        <v>72</v>
      </c>
      <c r="J786" s="11">
        <v>714</v>
      </c>
      <c r="K786" s="11" t="s">
        <v>1041</v>
      </c>
      <c r="L786" s="11" t="s">
        <v>1043</v>
      </c>
      <c r="M786" s="13">
        <v>43507</v>
      </c>
      <c r="N786" s="11" t="s">
        <v>1045</v>
      </c>
      <c r="O786" s="14">
        <f t="shared" si="61"/>
        <v>37022.198129176155</v>
      </c>
      <c r="P786" s="14">
        <f t="shared" si="62"/>
        <v>2665598.2653006832</v>
      </c>
      <c r="Q786" s="14">
        <f t="shared" si="63"/>
        <v>731497.26530068321</v>
      </c>
      <c r="R786" s="11">
        <f t="shared" ca="1" si="64"/>
        <v>6</v>
      </c>
      <c r="S786" s="11" t="str">
        <f t="shared" si="65"/>
        <v>700-749</v>
      </c>
    </row>
    <row r="787" spans="1:19" x14ac:dyDescent="0.3">
      <c r="A787" s="11" t="s">
        <v>799</v>
      </c>
      <c r="B787" s="11" t="s">
        <v>1022</v>
      </c>
      <c r="C787" s="11">
        <v>28</v>
      </c>
      <c r="D787" s="11" t="s">
        <v>1034</v>
      </c>
      <c r="E787" s="11" t="s">
        <v>1036</v>
      </c>
      <c r="F787" s="12">
        <v>990801</v>
      </c>
      <c r="G787" s="12">
        <v>741015</v>
      </c>
      <c r="H787" s="11">
        <v>11.32</v>
      </c>
      <c r="I787" s="11">
        <v>60</v>
      </c>
      <c r="J787" s="11">
        <v>755</v>
      </c>
      <c r="K787" s="11" t="s">
        <v>1039</v>
      </c>
      <c r="L787" s="11" t="s">
        <v>1044</v>
      </c>
      <c r="M787" s="13">
        <v>43890</v>
      </c>
      <c r="N787" s="11" t="s">
        <v>1047</v>
      </c>
      <c r="O787" s="14">
        <f t="shared" si="61"/>
        <v>16229.969853902163</v>
      </c>
      <c r="P787" s="14">
        <f t="shared" si="62"/>
        <v>973798.19123412971</v>
      </c>
      <c r="Q787" s="14">
        <f t="shared" si="63"/>
        <v>232783.19123412971</v>
      </c>
      <c r="R787" s="11">
        <f t="shared" ca="1" si="64"/>
        <v>5</v>
      </c>
      <c r="S787" s="11" t="str">
        <f t="shared" si="65"/>
        <v>750-799</v>
      </c>
    </row>
    <row r="788" spans="1:19" x14ac:dyDescent="0.3">
      <c r="A788" s="11" t="s">
        <v>800</v>
      </c>
      <c r="B788" s="11" t="s">
        <v>1032</v>
      </c>
      <c r="C788" s="11">
        <v>31</v>
      </c>
      <c r="D788" s="11" t="s">
        <v>1034</v>
      </c>
      <c r="E788" s="11" t="s">
        <v>1036</v>
      </c>
      <c r="F788" s="12">
        <v>525188</v>
      </c>
      <c r="G788" s="12">
        <v>582023</v>
      </c>
      <c r="H788" s="11">
        <v>10.53</v>
      </c>
      <c r="I788" s="11">
        <v>48</v>
      </c>
      <c r="J788" s="11">
        <v>613</v>
      </c>
      <c r="K788" s="11" t="s">
        <v>1041</v>
      </c>
      <c r="L788" s="11" t="s">
        <v>1044</v>
      </c>
      <c r="M788" s="13">
        <v>44688</v>
      </c>
      <c r="N788" s="11" t="s">
        <v>1048</v>
      </c>
      <c r="O788" s="14">
        <f t="shared" si="61"/>
        <v>14910.189773040182</v>
      </c>
      <c r="P788" s="14">
        <f t="shared" si="62"/>
        <v>715689.10910592868</v>
      </c>
      <c r="Q788" s="14">
        <f t="shared" si="63"/>
        <v>133666.10910592868</v>
      </c>
      <c r="R788" s="11">
        <f t="shared" ca="1" si="64"/>
        <v>3</v>
      </c>
      <c r="S788" s="11" t="str">
        <f t="shared" si="65"/>
        <v>600-649</v>
      </c>
    </row>
    <row r="789" spans="1:19" x14ac:dyDescent="0.3">
      <c r="A789" s="11" t="s">
        <v>801</v>
      </c>
      <c r="B789" s="11" t="s">
        <v>1015</v>
      </c>
      <c r="C789" s="11">
        <v>37</v>
      </c>
      <c r="D789" s="11" t="s">
        <v>1035</v>
      </c>
      <c r="E789" s="11" t="s">
        <v>1036</v>
      </c>
      <c r="F789" s="12">
        <v>620101</v>
      </c>
      <c r="G789" s="12">
        <v>1940304</v>
      </c>
      <c r="H789" s="11">
        <v>12.39</v>
      </c>
      <c r="I789" s="11">
        <v>120</v>
      </c>
      <c r="J789" s="11">
        <v>696</v>
      </c>
      <c r="K789" s="11" t="s">
        <v>1040</v>
      </c>
      <c r="L789" s="11" t="s">
        <v>1044</v>
      </c>
      <c r="M789" s="13">
        <v>44620</v>
      </c>
      <c r="N789" s="11" t="s">
        <v>1047</v>
      </c>
      <c r="O789" s="14">
        <f t="shared" si="61"/>
        <v>28276.921200641584</v>
      </c>
      <c r="P789" s="14">
        <f t="shared" si="62"/>
        <v>3393230.5440769899</v>
      </c>
      <c r="Q789" s="14">
        <f t="shared" si="63"/>
        <v>1452926.5440769899</v>
      </c>
      <c r="R789" s="11">
        <f t="shared" ca="1" si="64"/>
        <v>3</v>
      </c>
      <c r="S789" s="11" t="str">
        <f t="shared" si="65"/>
        <v>650-699</v>
      </c>
    </row>
    <row r="790" spans="1:19" x14ac:dyDescent="0.3">
      <c r="A790" s="11" t="s">
        <v>802</v>
      </c>
      <c r="B790" s="11" t="s">
        <v>1030</v>
      </c>
      <c r="C790" s="11">
        <v>35</v>
      </c>
      <c r="D790" s="11" t="s">
        <v>1035</v>
      </c>
      <c r="E790" s="11" t="s">
        <v>1037</v>
      </c>
      <c r="F790" s="12">
        <v>693035</v>
      </c>
      <c r="G790" s="12">
        <v>1262170</v>
      </c>
      <c r="H790" s="11">
        <v>10.74</v>
      </c>
      <c r="I790" s="11">
        <v>72</v>
      </c>
      <c r="J790" s="11">
        <v>617</v>
      </c>
      <c r="K790" s="11" t="s">
        <v>1042</v>
      </c>
      <c r="L790" s="11" t="s">
        <v>1044</v>
      </c>
      <c r="M790" s="13">
        <v>45424</v>
      </c>
      <c r="N790" s="11" t="s">
        <v>1048</v>
      </c>
      <c r="O790" s="14">
        <f t="shared" si="61"/>
        <v>23856.497467579862</v>
      </c>
      <c r="P790" s="14">
        <f t="shared" si="62"/>
        <v>1717667.8176657502</v>
      </c>
      <c r="Q790" s="14">
        <f t="shared" si="63"/>
        <v>455497.81766575016</v>
      </c>
      <c r="R790" s="11">
        <f t="shared" ca="1" si="64"/>
        <v>1</v>
      </c>
      <c r="S790" s="11" t="str">
        <f t="shared" si="65"/>
        <v>600-649</v>
      </c>
    </row>
    <row r="791" spans="1:19" x14ac:dyDescent="0.3">
      <c r="A791" s="11" t="s">
        <v>803</v>
      </c>
      <c r="B791" s="11" t="s">
        <v>1027</v>
      </c>
      <c r="C791" s="11">
        <v>36</v>
      </c>
      <c r="D791" s="11" t="s">
        <v>1035</v>
      </c>
      <c r="E791" s="11" t="s">
        <v>1036</v>
      </c>
      <c r="F791" s="12">
        <v>577051</v>
      </c>
      <c r="G791" s="12">
        <v>1729658</v>
      </c>
      <c r="H791" s="11">
        <v>12.63</v>
      </c>
      <c r="I791" s="11">
        <v>72</v>
      </c>
      <c r="J791" s="11">
        <v>832</v>
      </c>
      <c r="K791" s="11" t="s">
        <v>1039</v>
      </c>
      <c r="L791" s="11" t="s">
        <v>1044</v>
      </c>
      <c r="M791" s="13">
        <v>43780</v>
      </c>
      <c r="N791" s="11" t="s">
        <v>1048</v>
      </c>
      <c r="O791" s="14">
        <f t="shared" si="61"/>
        <v>34384.482519237623</v>
      </c>
      <c r="P791" s="14">
        <f t="shared" si="62"/>
        <v>2475682.7413851088</v>
      </c>
      <c r="Q791" s="14">
        <f t="shared" si="63"/>
        <v>746024.74138510879</v>
      </c>
      <c r="R791" s="11">
        <f t="shared" ca="1" si="64"/>
        <v>6</v>
      </c>
      <c r="S791" s="11" t="str">
        <f t="shared" si="65"/>
        <v>800-850</v>
      </c>
    </row>
    <row r="792" spans="1:19" x14ac:dyDescent="0.3">
      <c r="A792" s="11" t="s">
        <v>804</v>
      </c>
      <c r="B792" s="11" t="s">
        <v>1015</v>
      </c>
      <c r="C792" s="11">
        <v>55</v>
      </c>
      <c r="D792" s="11" t="s">
        <v>1034</v>
      </c>
      <c r="E792" s="11" t="s">
        <v>1037</v>
      </c>
      <c r="F792" s="12">
        <v>555754</v>
      </c>
      <c r="G792" s="12">
        <v>1462530</v>
      </c>
      <c r="H792" s="11">
        <v>10.3</v>
      </c>
      <c r="I792" s="11">
        <v>48</v>
      </c>
      <c r="J792" s="11">
        <v>779</v>
      </c>
      <c r="K792" s="11" t="s">
        <v>1039</v>
      </c>
      <c r="L792" s="11" t="s">
        <v>1044</v>
      </c>
      <c r="M792" s="13">
        <v>45426</v>
      </c>
      <c r="N792" s="11" t="s">
        <v>1047</v>
      </c>
      <c r="O792" s="14">
        <f t="shared" si="61"/>
        <v>37304.605680641645</v>
      </c>
      <c r="P792" s="14">
        <f t="shared" si="62"/>
        <v>1790621.072670799</v>
      </c>
      <c r="Q792" s="14">
        <f t="shared" si="63"/>
        <v>328091.07267079898</v>
      </c>
      <c r="R792" s="11">
        <f t="shared" ca="1" si="64"/>
        <v>1</v>
      </c>
      <c r="S792" s="11" t="str">
        <f t="shared" si="65"/>
        <v>750-799</v>
      </c>
    </row>
    <row r="793" spans="1:19" x14ac:dyDescent="0.3">
      <c r="A793" s="11" t="s">
        <v>805</v>
      </c>
      <c r="B793" s="11" t="s">
        <v>1019</v>
      </c>
      <c r="C793" s="11">
        <v>49</v>
      </c>
      <c r="D793" s="11" t="s">
        <v>1034</v>
      </c>
      <c r="E793" s="11" t="s">
        <v>1037</v>
      </c>
      <c r="F793" s="12">
        <v>1170573</v>
      </c>
      <c r="G793" s="12">
        <v>1587582</v>
      </c>
      <c r="H793" s="11">
        <v>9.7100000000000009</v>
      </c>
      <c r="I793" s="11">
        <v>120</v>
      </c>
      <c r="J793" s="11">
        <v>625</v>
      </c>
      <c r="K793" s="11" t="s">
        <v>1039</v>
      </c>
      <c r="L793" s="11" t="s">
        <v>1044</v>
      </c>
      <c r="M793" s="13">
        <v>44337</v>
      </c>
      <c r="N793" s="11" t="s">
        <v>1047</v>
      </c>
      <c r="O793" s="14">
        <f t="shared" si="61"/>
        <v>20725.896790605977</v>
      </c>
      <c r="P793" s="14">
        <f t="shared" si="62"/>
        <v>2487107.6148727173</v>
      </c>
      <c r="Q793" s="14">
        <f t="shared" si="63"/>
        <v>899525.6148727173</v>
      </c>
      <c r="R793" s="11">
        <f t="shared" ca="1" si="64"/>
        <v>4</v>
      </c>
      <c r="S793" s="11" t="str">
        <f t="shared" si="65"/>
        <v>600-649</v>
      </c>
    </row>
    <row r="794" spans="1:19" x14ac:dyDescent="0.3">
      <c r="A794" s="11" t="s">
        <v>806</v>
      </c>
      <c r="B794" s="11" t="s">
        <v>1014</v>
      </c>
      <c r="C794" s="11">
        <v>52</v>
      </c>
      <c r="D794" s="11" t="s">
        <v>1034</v>
      </c>
      <c r="E794" s="11" t="s">
        <v>1038</v>
      </c>
      <c r="F794" s="12">
        <v>1848427</v>
      </c>
      <c r="G794" s="12">
        <v>937655</v>
      </c>
      <c r="H794" s="11">
        <v>12</v>
      </c>
      <c r="I794" s="11">
        <v>120</v>
      </c>
      <c r="J794" s="11">
        <v>600</v>
      </c>
      <c r="K794" s="11" t="s">
        <v>1039</v>
      </c>
      <c r="L794" s="11" t="s">
        <v>1044</v>
      </c>
      <c r="M794" s="13">
        <v>44691</v>
      </c>
      <c r="N794" s="11" t="s">
        <v>1046</v>
      </c>
      <c r="O794" s="14">
        <f t="shared" si="61"/>
        <v>13452.625212442805</v>
      </c>
      <c r="P794" s="14">
        <f t="shared" si="62"/>
        <v>1614315.0254931366</v>
      </c>
      <c r="Q794" s="14">
        <f t="shared" si="63"/>
        <v>676660.02549313661</v>
      </c>
      <c r="R794" s="11">
        <f t="shared" ca="1" si="64"/>
        <v>3</v>
      </c>
      <c r="S794" s="11" t="str">
        <f t="shared" si="65"/>
        <v>600-649</v>
      </c>
    </row>
    <row r="795" spans="1:19" x14ac:dyDescent="0.3">
      <c r="A795" s="11" t="s">
        <v>807</v>
      </c>
      <c r="B795" s="11" t="s">
        <v>1031</v>
      </c>
      <c r="C795" s="11">
        <v>37</v>
      </c>
      <c r="D795" s="11" t="s">
        <v>1035</v>
      </c>
      <c r="E795" s="11" t="s">
        <v>1038</v>
      </c>
      <c r="F795" s="12">
        <v>1411566</v>
      </c>
      <c r="G795" s="12">
        <v>270812</v>
      </c>
      <c r="H795" s="11">
        <v>13.95</v>
      </c>
      <c r="I795" s="11">
        <v>36</v>
      </c>
      <c r="J795" s="11">
        <v>821</v>
      </c>
      <c r="K795" s="11" t="s">
        <v>1042</v>
      </c>
      <c r="L795" s="11" t="s">
        <v>1044</v>
      </c>
      <c r="M795" s="13">
        <v>45414</v>
      </c>
      <c r="N795" s="11" t="s">
        <v>1045</v>
      </c>
      <c r="O795" s="14">
        <f t="shared" si="61"/>
        <v>9249.1370873681917</v>
      </c>
      <c r="P795" s="14">
        <f t="shared" si="62"/>
        <v>332968.93514525489</v>
      </c>
      <c r="Q795" s="14">
        <f t="shared" si="63"/>
        <v>62156.935145254887</v>
      </c>
      <c r="R795" s="11">
        <f t="shared" ca="1" si="64"/>
        <v>1</v>
      </c>
      <c r="S795" s="11" t="str">
        <f t="shared" si="65"/>
        <v>800-850</v>
      </c>
    </row>
    <row r="796" spans="1:19" x14ac:dyDescent="0.3">
      <c r="A796" s="11" t="s">
        <v>808</v>
      </c>
      <c r="B796" s="11" t="s">
        <v>1020</v>
      </c>
      <c r="C796" s="11">
        <v>30</v>
      </c>
      <c r="D796" s="11" t="s">
        <v>1034</v>
      </c>
      <c r="E796" s="11" t="s">
        <v>1036</v>
      </c>
      <c r="F796" s="12">
        <v>654706</v>
      </c>
      <c r="G796" s="12">
        <v>1040626</v>
      </c>
      <c r="H796" s="11">
        <v>12.85</v>
      </c>
      <c r="I796" s="11">
        <v>84</v>
      </c>
      <c r="J796" s="11">
        <v>701</v>
      </c>
      <c r="K796" s="11" t="s">
        <v>1041</v>
      </c>
      <c r="L796" s="11" t="s">
        <v>1044</v>
      </c>
      <c r="M796" s="13">
        <v>44330</v>
      </c>
      <c r="N796" s="11" t="s">
        <v>1047</v>
      </c>
      <c r="O796" s="14">
        <f t="shared" si="61"/>
        <v>18846.271447425101</v>
      </c>
      <c r="P796" s="14">
        <f t="shared" si="62"/>
        <v>1583086.8015837085</v>
      </c>
      <c r="Q796" s="14">
        <f t="shared" si="63"/>
        <v>542460.8015837085</v>
      </c>
      <c r="R796" s="11">
        <f t="shared" ca="1" si="64"/>
        <v>4</v>
      </c>
      <c r="S796" s="11" t="str">
        <f t="shared" si="65"/>
        <v>700-749</v>
      </c>
    </row>
    <row r="797" spans="1:19" x14ac:dyDescent="0.3">
      <c r="A797" s="11" t="s">
        <v>809</v>
      </c>
      <c r="B797" s="11" t="s">
        <v>1022</v>
      </c>
      <c r="C797" s="11">
        <v>60</v>
      </c>
      <c r="D797" s="11" t="s">
        <v>1034</v>
      </c>
      <c r="E797" s="11" t="s">
        <v>1038</v>
      </c>
      <c r="F797" s="12">
        <v>1790100</v>
      </c>
      <c r="G797" s="12">
        <v>1796130</v>
      </c>
      <c r="H797" s="11">
        <v>10.119999999999999</v>
      </c>
      <c r="I797" s="11">
        <v>36</v>
      </c>
      <c r="J797" s="11">
        <v>699</v>
      </c>
      <c r="K797" s="11" t="s">
        <v>1042</v>
      </c>
      <c r="L797" s="11" t="s">
        <v>1044</v>
      </c>
      <c r="M797" s="13">
        <v>45478</v>
      </c>
      <c r="N797" s="11" t="s">
        <v>1047</v>
      </c>
      <c r="O797" s="14">
        <f t="shared" si="61"/>
        <v>58057.3083627265</v>
      </c>
      <c r="P797" s="14">
        <f t="shared" si="62"/>
        <v>2090063.1010581539</v>
      </c>
      <c r="Q797" s="14">
        <f t="shared" si="63"/>
        <v>293933.1010581539</v>
      </c>
      <c r="R797" s="11">
        <f t="shared" ca="1" si="64"/>
        <v>1</v>
      </c>
      <c r="S797" s="11" t="str">
        <f t="shared" si="65"/>
        <v>650-699</v>
      </c>
    </row>
    <row r="798" spans="1:19" x14ac:dyDescent="0.3">
      <c r="A798" s="11" t="s">
        <v>810</v>
      </c>
      <c r="B798" s="11" t="s">
        <v>1016</v>
      </c>
      <c r="C798" s="11">
        <v>27</v>
      </c>
      <c r="D798" s="11" t="s">
        <v>1035</v>
      </c>
      <c r="E798" s="11" t="s">
        <v>1036</v>
      </c>
      <c r="F798" s="12">
        <v>456657</v>
      </c>
      <c r="G798" s="12">
        <v>790823</v>
      </c>
      <c r="H798" s="11">
        <v>13.1</v>
      </c>
      <c r="I798" s="11">
        <v>84</v>
      </c>
      <c r="J798" s="11">
        <v>785</v>
      </c>
      <c r="K798" s="11" t="s">
        <v>1039</v>
      </c>
      <c r="L798" s="11" t="s">
        <v>1044</v>
      </c>
      <c r="M798" s="13">
        <v>45003</v>
      </c>
      <c r="N798" s="11" t="s">
        <v>1048</v>
      </c>
      <c r="O798" s="14">
        <f t="shared" si="61"/>
        <v>14429.651716473141</v>
      </c>
      <c r="P798" s="14">
        <f t="shared" si="62"/>
        <v>1212090.7441837438</v>
      </c>
      <c r="Q798" s="14">
        <f t="shared" si="63"/>
        <v>421267.74418374384</v>
      </c>
      <c r="R798" s="11">
        <f t="shared" ca="1" si="64"/>
        <v>2</v>
      </c>
      <c r="S798" s="11" t="str">
        <f t="shared" si="65"/>
        <v>750-799</v>
      </c>
    </row>
    <row r="799" spans="1:19" x14ac:dyDescent="0.3">
      <c r="A799" s="11" t="s">
        <v>811</v>
      </c>
      <c r="B799" s="11" t="s">
        <v>1017</v>
      </c>
      <c r="C799" s="11">
        <v>47</v>
      </c>
      <c r="D799" s="11" t="s">
        <v>1035</v>
      </c>
      <c r="E799" s="11" t="s">
        <v>1036</v>
      </c>
      <c r="F799" s="12">
        <v>468176</v>
      </c>
      <c r="G799" s="12">
        <v>1607370</v>
      </c>
      <c r="H799" s="11">
        <v>9.34</v>
      </c>
      <c r="I799" s="11">
        <v>120</v>
      </c>
      <c r="J799" s="11">
        <v>610</v>
      </c>
      <c r="K799" s="11" t="s">
        <v>1041</v>
      </c>
      <c r="L799" s="11" t="s">
        <v>1044</v>
      </c>
      <c r="M799" s="13">
        <v>44091</v>
      </c>
      <c r="N799" s="11" t="s">
        <v>1045</v>
      </c>
      <c r="O799" s="14">
        <f t="shared" si="61"/>
        <v>20658.426549799027</v>
      </c>
      <c r="P799" s="14">
        <f t="shared" si="62"/>
        <v>2479011.1859758832</v>
      </c>
      <c r="Q799" s="14">
        <f t="shared" si="63"/>
        <v>871641.18597588316</v>
      </c>
      <c r="R799" s="11">
        <f t="shared" ca="1" si="64"/>
        <v>5</v>
      </c>
      <c r="S799" s="11" t="str">
        <f t="shared" si="65"/>
        <v>600-649</v>
      </c>
    </row>
    <row r="800" spans="1:19" x14ac:dyDescent="0.3">
      <c r="A800" s="11" t="s">
        <v>812</v>
      </c>
      <c r="B800" s="11" t="s">
        <v>1017</v>
      </c>
      <c r="C800" s="11">
        <v>51</v>
      </c>
      <c r="D800" s="11" t="s">
        <v>1035</v>
      </c>
      <c r="E800" s="11" t="s">
        <v>1038</v>
      </c>
      <c r="F800" s="12">
        <v>1126591</v>
      </c>
      <c r="G800" s="12">
        <v>1403950</v>
      </c>
      <c r="H800" s="11">
        <v>10.85</v>
      </c>
      <c r="I800" s="11">
        <v>96</v>
      </c>
      <c r="J800" s="11">
        <v>786</v>
      </c>
      <c r="K800" s="11" t="s">
        <v>1039</v>
      </c>
      <c r="L800" s="11" t="s">
        <v>1044</v>
      </c>
      <c r="M800" s="13">
        <v>45541</v>
      </c>
      <c r="N800" s="11" t="s">
        <v>1048</v>
      </c>
      <c r="O800" s="14">
        <f t="shared" si="61"/>
        <v>21940.418713133276</v>
      </c>
      <c r="P800" s="14">
        <f t="shared" si="62"/>
        <v>2106280.1964607947</v>
      </c>
      <c r="Q800" s="14">
        <f t="shared" si="63"/>
        <v>702330.19646079466</v>
      </c>
      <c r="R800" s="11">
        <f t="shared" ca="1" si="64"/>
        <v>1</v>
      </c>
      <c r="S800" s="11" t="str">
        <f t="shared" si="65"/>
        <v>750-799</v>
      </c>
    </row>
    <row r="801" spans="1:19" x14ac:dyDescent="0.3">
      <c r="A801" s="11" t="s">
        <v>813</v>
      </c>
      <c r="B801" s="11" t="s">
        <v>1014</v>
      </c>
      <c r="C801" s="11">
        <v>30</v>
      </c>
      <c r="D801" s="11" t="s">
        <v>1034</v>
      </c>
      <c r="E801" s="11" t="s">
        <v>1037</v>
      </c>
      <c r="F801" s="12">
        <v>1810565</v>
      </c>
      <c r="G801" s="12">
        <v>938358</v>
      </c>
      <c r="H801" s="11">
        <v>12.89</v>
      </c>
      <c r="I801" s="11">
        <v>60</v>
      </c>
      <c r="J801" s="11">
        <v>816</v>
      </c>
      <c r="K801" s="11" t="s">
        <v>1039</v>
      </c>
      <c r="L801" s="11" t="s">
        <v>1044</v>
      </c>
      <c r="M801" s="13">
        <v>43563</v>
      </c>
      <c r="N801" s="11" t="s">
        <v>1048</v>
      </c>
      <c r="O801" s="14">
        <f t="shared" si="61"/>
        <v>21297.726307399094</v>
      </c>
      <c r="P801" s="14">
        <f t="shared" si="62"/>
        <v>1277863.5784439456</v>
      </c>
      <c r="Q801" s="14">
        <f t="shared" si="63"/>
        <v>339505.57844394562</v>
      </c>
      <c r="R801" s="11">
        <f t="shared" ca="1" si="64"/>
        <v>6</v>
      </c>
      <c r="S801" s="11" t="str">
        <f t="shared" si="65"/>
        <v>800-850</v>
      </c>
    </row>
    <row r="802" spans="1:19" x14ac:dyDescent="0.3">
      <c r="A802" s="11" t="s">
        <v>814</v>
      </c>
      <c r="B802" s="11" t="s">
        <v>1026</v>
      </c>
      <c r="C802" s="11">
        <v>29</v>
      </c>
      <c r="D802" s="11" t="s">
        <v>1035</v>
      </c>
      <c r="E802" s="11" t="s">
        <v>1037</v>
      </c>
      <c r="F802" s="12">
        <v>861043</v>
      </c>
      <c r="G802" s="12">
        <v>1747564</v>
      </c>
      <c r="H802" s="11">
        <v>14.51</v>
      </c>
      <c r="I802" s="11">
        <v>60</v>
      </c>
      <c r="J802" s="11">
        <v>642</v>
      </c>
      <c r="K802" s="11" t="s">
        <v>1039</v>
      </c>
      <c r="L802" s="11" t="s">
        <v>1044</v>
      </c>
      <c r="M802" s="13">
        <v>44039</v>
      </c>
      <c r="N802" s="11" t="s">
        <v>1048</v>
      </c>
      <c r="O802" s="14">
        <f t="shared" si="61"/>
        <v>41126.294282165385</v>
      </c>
      <c r="P802" s="14">
        <f t="shared" si="62"/>
        <v>2467577.6569299232</v>
      </c>
      <c r="Q802" s="14">
        <f t="shared" si="63"/>
        <v>720013.65692992322</v>
      </c>
      <c r="R802" s="11">
        <f t="shared" ca="1" si="64"/>
        <v>5</v>
      </c>
      <c r="S802" s="11" t="str">
        <f t="shared" si="65"/>
        <v>600-649</v>
      </c>
    </row>
    <row r="803" spans="1:19" x14ac:dyDescent="0.3">
      <c r="A803" s="11" t="s">
        <v>815</v>
      </c>
      <c r="B803" s="11" t="s">
        <v>1016</v>
      </c>
      <c r="C803" s="11">
        <v>40</v>
      </c>
      <c r="D803" s="11" t="s">
        <v>1035</v>
      </c>
      <c r="E803" s="11" t="s">
        <v>1036</v>
      </c>
      <c r="F803" s="12">
        <v>1481693</v>
      </c>
      <c r="G803" s="12">
        <v>904788</v>
      </c>
      <c r="H803" s="11">
        <v>11.19</v>
      </c>
      <c r="I803" s="11">
        <v>36</v>
      </c>
      <c r="J803" s="11">
        <v>675</v>
      </c>
      <c r="K803" s="11" t="s">
        <v>1039</v>
      </c>
      <c r="L803" s="11" t="s">
        <v>1043</v>
      </c>
      <c r="M803" s="13">
        <v>43318</v>
      </c>
      <c r="N803" s="11" t="s">
        <v>1046</v>
      </c>
      <c r="O803" s="14">
        <f t="shared" si="61"/>
        <v>29703.07488432739</v>
      </c>
      <c r="P803" s="14">
        <f t="shared" si="62"/>
        <v>1069310.6958357859</v>
      </c>
      <c r="Q803" s="14">
        <f t="shared" si="63"/>
        <v>164522.69583578594</v>
      </c>
      <c r="R803" s="11">
        <f t="shared" ca="1" si="64"/>
        <v>7</v>
      </c>
      <c r="S803" s="11" t="str">
        <f t="shared" si="65"/>
        <v>650-699</v>
      </c>
    </row>
    <row r="804" spans="1:19" x14ac:dyDescent="0.3">
      <c r="A804" s="11" t="s">
        <v>816</v>
      </c>
      <c r="B804" s="11" t="s">
        <v>1032</v>
      </c>
      <c r="C804" s="11">
        <v>42</v>
      </c>
      <c r="D804" s="11" t="s">
        <v>1035</v>
      </c>
      <c r="E804" s="11" t="s">
        <v>1038</v>
      </c>
      <c r="F804" s="12">
        <v>530297</v>
      </c>
      <c r="G804" s="12">
        <v>1163521</v>
      </c>
      <c r="H804" s="11">
        <v>11.91</v>
      </c>
      <c r="I804" s="11">
        <v>48</v>
      </c>
      <c r="J804" s="11">
        <v>815</v>
      </c>
      <c r="K804" s="11" t="s">
        <v>1042</v>
      </c>
      <c r="L804" s="11" t="s">
        <v>1043</v>
      </c>
      <c r="M804" s="13">
        <v>44881</v>
      </c>
      <c r="N804" s="11" t="s">
        <v>1047</v>
      </c>
      <c r="O804" s="14">
        <f t="shared" si="61"/>
        <v>30588.58067833215</v>
      </c>
      <c r="P804" s="14">
        <f t="shared" si="62"/>
        <v>1468251.8725599432</v>
      </c>
      <c r="Q804" s="14">
        <f t="shared" si="63"/>
        <v>304730.87255994324</v>
      </c>
      <c r="R804" s="11">
        <f t="shared" ca="1" si="64"/>
        <v>3</v>
      </c>
      <c r="S804" s="11" t="str">
        <f t="shared" si="65"/>
        <v>800-850</v>
      </c>
    </row>
    <row r="805" spans="1:19" x14ac:dyDescent="0.3">
      <c r="A805" s="11" t="s">
        <v>817</v>
      </c>
      <c r="B805" s="11" t="s">
        <v>1030</v>
      </c>
      <c r="C805" s="11">
        <v>30</v>
      </c>
      <c r="D805" s="11" t="s">
        <v>1034</v>
      </c>
      <c r="E805" s="11" t="s">
        <v>1037</v>
      </c>
      <c r="F805" s="12">
        <v>711043</v>
      </c>
      <c r="G805" s="12">
        <v>482816</v>
      </c>
      <c r="H805" s="11">
        <v>11.09</v>
      </c>
      <c r="I805" s="11">
        <v>72</v>
      </c>
      <c r="J805" s="11">
        <v>606</v>
      </c>
      <c r="K805" s="11" t="s">
        <v>1042</v>
      </c>
      <c r="L805" s="11" t="s">
        <v>1044</v>
      </c>
      <c r="M805" s="13">
        <v>45043</v>
      </c>
      <c r="N805" s="11" t="s">
        <v>1048</v>
      </c>
      <c r="O805" s="14">
        <f t="shared" si="61"/>
        <v>9212.2296575794298</v>
      </c>
      <c r="P805" s="14">
        <f t="shared" si="62"/>
        <v>663280.53534571896</v>
      </c>
      <c r="Q805" s="14">
        <f t="shared" si="63"/>
        <v>180464.53534571896</v>
      </c>
      <c r="R805" s="11">
        <f t="shared" ca="1" si="64"/>
        <v>2</v>
      </c>
      <c r="S805" s="11" t="str">
        <f t="shared" si="65"/>
        <v>600-649</v>
      </c>
    </row>
    <row r="806" spans="1:19" x14ac:dyDescent="0.3">
      <c r="A806" s="11" t="s">
        <v>818</v>
      </c>
      <c r="B806" s="11" t="s">
        <v>1024</v>
      </c>
      <c r="C806" s="11">
        <v>48</v>
      </c>
      <c r="D806" s="11" t="s">
        <v>1035</v>
      </c>
      <c r="E806" s="11" t="s">
        <v>1038</v>
      </c>
      <c r="F806" s="12">
        <v>1313351</v>
      </c>
      <c r="G806" s="12">
        <v>1861906</v>
      </c>
      <c r="H806" s="11">
        <v>13.52</v>
      </c>
      <c r="I806" s="11">
        <v>36</v>
      </c>
      <c r="J806" s="11">
        <v>829</v>
      </c>
      <c r="K806" s="11" t="s">
        <v>1040</v>
      </c>
      <c r="L806" s="11" t="s">
        <v>1044</v>
      </c>
      <c r="M806" s="13">
        <v>44294</v>
      </c>
      <c r="N806" s="11" t="s">
        <v>1048</v>
      </c>
      <c r="O806" s="14">
        <f t="shared" si="61"/>
        <v>63202.327866230633</v>
      </c>
      <c r="P806" s="14">
        <f t="shared" si="62"/>
        <v>2275283.803184303</v>
      </c>
      <c r="Q806" s="14">
        <f t="shared" si="63"/>
        <v>413377.80318430299</v>
      </c>
      <c r="R806" s="11">
        <f t="shared" ca="1" si="64"/>
        <v>4</v>
      </c>
      <c r="S806" s="11" t="str">
        <f t="shared" si="65"/>
        <v>800-850</v>
      </c>
    </row>
    <row r="807" spans="1:19" x14ac:dyDescent="0.3">
      <c r="A807" s="11" t="s">
        <v>819</v>
      </c>
      <c r="B807" s="11" t="s">
        <v>1019</v>
      </c>
      <c r="C807" s="11">
        <v>56</v>
      </c>
      <c r="D807" s="11" t="s">
        <v>1034</v>
      </c>
      <c r="E807" s="11" t="s">
        <v>1038</v>
      </c>
      <c r="F807" s="12">
        <v>1587686</v>
      </c>
      <c r="G807" s="12">
        <v>1543506</v>
      </c>
      <c r="H807" s="11">
        <v>10.85</v>
      </c>
      <c r="I807" s="11">
        <v>36</v>
      </c>
      <c r="J807" s="11">
        <v>671</v>
      </c>
      <c r="K807" s="11" t="s">
        <v>1040</v>
      </c>
      <c r="L807" s="11" t="s">
        <v>1044</v>
      </c>
      <c r="M807" s="13">
        <v>44005</v>
      </c>
      <c r="N807" s="11" t="s">
        <v>1048</v>
      </c>
      <c r="O807" s="14">
        <f t="shared" si="61"/>
        <v>50422.834654290331</v>
      </c>
      <c r="P807" s="14">
        <f t="shared" si="62"/>
        <v>1815222.047554452</v>
      </c>
      <c r="Q807" s="14">
        <f t="shared" si="63"/>
        <v>271716.04755445197</v>
      </c>
      <c r="R807" s="11">
        <f t="shared" ca="1" si="64"/>
        <v>5</v>
      </c>
      <c r="S807" s="11" t="str">
        <f t="shared" si="65"/>
        <v>650-699</v>
      </c>
    </row>
    <row r="808" spans="1:19" x14ac:dyDescent="0.3">
      <c r="A808" s="11" t="s">
        <v>820</v>
      </c>
      <c r="B808" s="11" t="s">
        <v>1015</v>
      </c>
      <c r="C808" s="11">
        <v>56</v>
      </c>
      <c r="D808" s="11" t="s">
        <v>1035</v>
      </c>
      <c r="E808" s="11" t="s">
        <v>1037</v>
      </c>
      <c r="F808" s="12">
        <v>1284675</v>
      </c>
      <c r="G808" s="12">
        <v>938812</v>
      </c>
      <c r="H808" s="11">
        <v>9.49</v>
      </c>
      <c r="I808" s="11">
        <v>84</v>
      </c>
      <c r="J808" s="11">
        <v>754</v>
      </c>
      <c r="K808" s="11" t="s">
        <v>1041</v>
      </c>
      <c r="L808" s="11" t="s">
        <v>1044</v>
      </c>
      <c r="M808" s="13">
        <v>44225</v>
      </c>
      <c r="N808" s="11" t="s">
        <v>1048</v>
      </c>
      <c r="O808" s="14">
        <f t="shared" si="61"/>
        <v>15339.118814184698</v>
      </c>
      <c r="P808" s="14">
        <f t="shared" si="62"/>
        <v>1288485.9803915147</v>
      </c>
      <c r="Q808" s="14">
        <f t="shared" si="63"/>
        <v>349673.98039151472</v>
      </c>
      <c r="R808" s="11">
        <f t="shared" ca="1" si="64"/>
        <v>4</v>
      </c>
      <c r="S808" s="11" t="str">
        <f t="shared" si="65"/>
        <v>750-799</v>
      </c>
    </row>
    <row r="809" spans="1:19" x14ac:dyDescent="0.3">
      <c r="A809" s="11" t="s">
        <v>821</v>
      </c>
      <c r="B809" s="11" t="s">
        <v>1031</v>
      </c>
      <c r="C809" s="11">
        <v>48</v>
      </c>
      <c r="D809" s="11" t="s">
        <v>1035</v>
      </c>
      <c r="E809" s="11" t="s">
        <v>1038</v>
      </c>
      <c r="F809" s="12">
        <v>1250592</v>
      </c>
      <c r="G809" s="12">
        <v>211672</v>
      </c>
      <c r="H809" s="11">
        <v>14.14</v>
      </c>
      <c r="I809" s="11">
        <v>72</v>
      </c>
      <c r="J809" s="11">
        <v>612</v>
      </c>
      <c r="K809" s="11" t="s">
        <v>1041</v>
      </c>
      <c r="L809" s="11" t="s">
        <v>1043</v>
      </c>
      <c r="M809" s="13">
        <v>44316</v>
      </c>
      <c r="N809" s="11" t="s">
        <v>1045</v>
      </c>
      <c r="O809" s="14">
        <f t="shared" si="61"/>
        <v>4377.5420317556964</v>
      </c>
      <c r="P809" s="14">
        <f t="shared" si="62"/>
        <v>315183.02628641017</v>
      </c>
      <c r="Q809" s="14">
        <f t="shared" si="63"/>
        <v>103511.02628641017</v>
      </c>
      <c r="R809" s="11">
        <f t="shared" ca="1" si="64"/>
        <v>4</v>
      </c>
      <c r="S809" s="11" t="str">
        <f t="shared" si="65"/>
        <v>600-649</v>
      </c>
    </row>
    <row r="810" spans="1:19" x14ac:dyDescent="0.3">
      <c r="A810" s="11" t="s">
        <v>822</v>
      </c>
      <c r="B810" s="11" t="s">
        <v>1022</v>
      </c>
      <c r="C810" s="11">
        <v>60</v>
      </c>
      <c r="D810" s="11" t="s">
        <v>1035</v>
      </c>
      <c r="E810" s="11" t="s">
        <v>1038</v>
      </c>
      <c r="F810" s="12">
        <v>1231015</v>
      </c>
      <c r="G810" s="12">
        <v>739999</v>
      </c>
      <c r="H810" s="11">
        <v>9.7100000000000009</v>
      </c>
      <c r="I810" s="11">
        <v>120</v>
      </c>
      <c r="J810" s="11">
        <v>770</v>
      </c>
      <c r="K810" s="11" t="s">
        <v>1041</v>
      </c>
      <c r="L810" s="11" t="s">
        <v>1044</v>
      </c>
      <c r="M810" s="13">
        <v>43808</v>
      </c>
      <c r="N810" s="11" t="s">
        <v>1047</v>
      </c>
      <c r="O810" s="14">
        <f t="shared" si="61"/>
        <v>9660.6933683750703</v>
      </c>
      <c r="P810" s="14">
        <f t="shared" si="62"/>
        <v>1159283.2042050085</v>
      </c>
      <c r="Q810" s="14">
        <f t="shared" si="63"/>
        <v>419284.20420500846</v>
      </c>
      <c r="R810" s="11">
        <f t="shared" ca="1" si="64"/>
        <v>6</v>
      </c>
      <c r="S810" s="11" t="str">
        <f t="shared" si="65"/>
        <v>750-799</v>
      </c>
    </row>
    <row r="811" spans="1:19" x14ac:dyDescent="0.3">
      <c r="A811" s="11" t="s">
        <v>823</v>
      </c>
      <c r="B811" s="11" t="s">
        <v>1017</v>
      </c>
      <c r="C811" s="11">
        <v>35</v>
      </c>
      <c r="D811" s="11" t="s">
        <v>1034</v>
      </c>
      <c r="E811" s="11" t="s">
        <v>1038</v>
      </c>
      <c r="F811" s="12">
        <v>1687449</v>
      </c>
      <c r="G811" s="12">
        <v>1435814</v>
      </c>
      <c r="H811" s="11">
        <v>13.62</v>
      </c>
      <c r="I811" s="11">
        <v>72</v>
      </c>
      <c r="J811" s="11">
        <v>730</v>
      </c>
      <c r="K811" s="11" t="s">
        <v>1041</v>
      </c>
      <c r="L811" s="11" t="s">
        <v>1044</v>
      </c>
      <c r="M811" s="13">
        <v>44437</v>
      </c>
      <c r="N811" s="11" t="s">
        <v>1046</v>
      </c>
      <c r="O811" s="14">
        <f t="shared" si="61"/>
        <v>29294.645949874961</v>
      </c>
      <c r="P811" s="14">
        <f t="shared" si="62"/>
        <v>2109214.5083909971</v>
      </c>
      <c r="Q811" s="14">
        <f t="shared" si="63"/>
        <v>673400.50839099707</v>
      </c>
      <c r="R811" s="11">
        <f t="shared" ca="1" si="64"/>
        <v>4</v>
      </c>
      <c r="S811" s="11" t="str">
        <f t="shared" si="65"/>
        <v>700-749</v>
      </c>
    </row>
    <row r="812" spans="1:19" x14ac:dyDescent="0.3">
      <c r="A812" s="11" t="s">
        <v>824</v>
      </c>
      <c r="B812" s="11" t="s">
        <v>1025</v>
      </c>
      <c r="C812" s="11">
        <v>48</v>
      </c>
      <c r="D812" s="11" t="s">
        <v>1034</v>
      </c>
      <c r="E812" s="11" t="s">
        <v>1037</v>
      </c>
      <c r="F812" s="12">
        <v>1784970</v>
      </c>
      <c r="G812" s="12">
        <v>1467703</v>
      </c>
      <c r="H812" s="11">
        <v>14.7</v>
      </c>
      <c r="I812" s="11">
        <v>72</v>
      </c>
      <c r="J812" s="11">
        <v>759</v>
      </c>
      <c r="K812" s="11" t="s">
        <v>1039</v>
      </c>
      <c r="L812" s="11" t="s">
        <v>1044</v>
      </c>
      <c r="M812" s="13">
        <v>43676</v>
      </c>
      <c r="N812" s="11" t="s">
        <v>1046</v>
      </c>
      <c r="O812" s="14">
        <f t="shared" si="61"/>
        <v>30795.981435018843</v>
      </c>
      <c r="P812" s="14">
        <f t="shared" si="62"/>
        <v>2217310.6633213568</v>
      </c>
      <c r="Q812" s="14">
        <f t="shared" si="63"/>
        <v>749607.66332135675</v>
      </c>
      <c r="R812" s="11">
        <f t="shared" ca="1" si="64"/>
        <v>6</v>
      </c>
      <c r="S812" s="11" t="str">
        <f t="shared" si="65"/>
        <v>750-799</v>
      </c>
    </row>
    <row r="813" spans="1:19" x14ac:dyDescent="0.3">
      <c r="A813" s="11" t="s">
        <v>825</v>
      </c>
      <c r="B813" s="11" t="s">
        <v>1023</v>
      </c>
      <c r="C813" s="11">
        <v>34</v>
      </c>
      <c r="D813" s="11" t="s">
        <v>1035</v>
      </c>
      <c r="E813" s="11" t="s">
        <v>1038</v>
      </c>
      <c r="F813" s="12">
        <v>610047</v>
      </c>
      <c r="G813" s="12">
        <v>250423</v>
      </c>
      <c r="H813" s="11">
        <v>9.16</v>
      </c>
      <c r="I813" s="11">
        <v>48</v>
      </c>
      <c r="J813" s="11">
        <v>616</v>
      </c>
      <c r="K813" s="11" t="s">
        <v>1041</v>
      </c>
      <c r="L813" s="11" t="s">
        <v>1044</v>
      </c>
      <c r="M813" s="13">
        <v>44675</v>
      </c>
      <c r="N813" s="11" t="s">
        <v>1048</v>
      </c>
      <c r="O813" s="14">
        <f t="shared" si="61"/>
        <v>6250.8298458211875</v>
      </c>
      <c r="P813" s="14">
        <f t="shared" si="62"/>
        <v>300039.83259941702</v>
      </c>
      <c r="Q813" s="14">
        <f t="shared" si="63"/>
        <v>49616.832599417015</v>
      </c>
      <c r="R813" s="11">
        <f t="shared" ca="1" si="64"/>
        <v>3</v>
      </c>
      <c r="S813" s="11" t="str">
        <f t="shared" si="65"/>
        <v>600-649</v>
      </c>
    </row>
    <row r="814" spans="1:19" x14ac:dyDescent="0.3">
      <c r="A814" s="11" t="s">
        <v>826</v>
      </c>
      <c r="B814" s="11" t="s">
        <v>1024</v>
      </c>
      <c r="C814" s="11">
        <v>43</v>
      </c>
      <c r="D814" s="11" t="s">
        <v>1035</v>
      </c>
      <c r="E814" s="11" t="s">
        <v>1038</v>
      </c>
      <c r="F814" s="12">
        <v>1619522</v>
      </c>
      <c r="G814" s="12">
        <v>1357406</v>
      </c>
      <c r="H814" s="11">
        <v>11.17</v>
      </c>
      <c r="I814" s="11">
        <v>120</v>
      </c>
      <c r="J814" s="11">
        <v>829</v>
      </c>
      <c r="K814" s="11" t="s">
        <v>1040</v>
      </c>
      <c r="L814" s="11" t="s">
        <v>1044</v>
      </c>
      <c r="M814" s="13">
        <v>45335</v>
      </c>
      <c r="N814" s="11" t="s">
        <v>1048</v>
      </c>
      <c r="O814" s="14">
        <f t="shared" si="61"/>
        <v>18829.130092026113</v>
      </c>
      <c r="P814" s="14">
        <f t="shared" si="62"/>
        <v>2259495.6110431338</v>
      </c>
      <c r="Q814" s="14">
        <f t="shared" si="63"/>
        <v>902089.61104313377</v>
      </c>
      <c r="R814" s="11">
        <f t="shared" ca="1" si="64"/>
        <v>1</v>
      </c>
      <c r="S814" s="11" t="str">
        <f t="shared" si="65"/>
        <v>800-850</v>
      </c>
    </row>
    <row r="815" spans="1:19" x14ac:dyDescent="0.3">
      <c r="A815" s="11" t="s">
        <v>827</v>
      </c>
      <c r="B815" s="11" t="s">
        <v>1023</v>
      </c>
      <c r="C815" s="11">
        <v>35</v>
      </c>
      <c r="D815" s="11" t="s">
        <v>1035</v>
      </c>
      <c r="E815" s="11" t="s">
        <v>1038</v>
      </c>
      <c r="F815" s="12">
        <v>1422163</v>
      </c>
      <c r="G815" s="12">
        <v>926381</v>
      </c>
      <c r="H815" s="11">
        <v>7.51</v>
      </c>
      <c r="I815" s="11">
        <v>96</v>
      </c>
      <c r="J815" s="11">
        <v>801</v>
      </c>
      <c r="K815" s="11" t="s">
        <v>1041</v>
      </c>
      <c r="L815" s="11" t="s">
        <v>1044</v>
      </c>
      <c r="M815" s="13">
        <v>43600</v>
      </c>
      <c r="N815" s="11" t="s">
        <v>1047</v>
      </c>
      <c r="O815" s="14">
        <f t="shared" si="61"/>
        <v>12866.413782532196</v>
      </c>
      <c r="P815" s="14">
        <f t="shared" si="62"/>
        <v>1235175.7231230908</v>
      </c>
      <c r="Q815" s="14">
        <f t="shared" si="63"/>
        <v>308794.72312309081</v>
      </c>
      <c r="R815" s="11">
        <f t="shared" ca="1" si="64"/>
        <v>6</v>
      </c>
      <c r="S815" s="11" t="str">
        <f t="shared" si="65"/>
        <v>800-850</v>
      </c>
    </row>
    <row r="816" spans="1:19" x14ac:dyDescent="0.3">
      <c r="A816" s="11" t="s">
        <v>828</v>
      </c>
      <c r="B816" s="11" t="s">
        <v>1024</v>
      </c>
      <c r="C816" s="11">
        <v>42</v>
      </c>
      <c r="D816" s="11" t="s">
        <v>1034</v>
      </c>
      <c r="E816" s="11" t="s">
        <v>1038</v>
      </c>
      <c r="F816" s="12">
        <v>1544957</v>
      </c>
      <c r="G816" s="12">
        <v>1703245</v>
      </c>
      <c r="H816" s="11">
        <v>7.77</v>
      </c>
      <c r="I816" s="11">
        <v>72</v>
      </c>
      <c r="J816" s="11">
        <v>661</v>
      </c>
      <c r="K816" s="11" t="s">
        <v>1040</v>
      </c>
      <c r="L816" s="11" t="s">
        <v>1043</v>
      </c>
      <c r="M816" s="13">
        <v>45383</v>
      </c>
      <c r="N816" s="11" t="s">
        <v>1047</v>
      </c>
      <c r="O816" s="14">
        <f t="shared" si="61"/>
        <v>29672.488025729916</v>
      </c>
      <c r="P816" s="14">
        <f t="shared" si="62"/>
        <v>2136419.1378525537</v>
      </c>
      <c r="Q816" s="14">
        <f t="shared" si="63"/>
        <v>433174.13785255374</v>
      </c>
      <c r="R816" s="11">
        <f t="shared" ca="1" si="64"/>
        <v>1</v>
      </c>
      <c r="S816" s="11" t="str">
        <f t="shared" si="65"/>
        <v>650-699</v>
      </c>
    </row>
    <row r="817" spans="1:19" x14ac:dyDescent="0.3">
      <c r="A817" s="11" t="s">
        <v>829</v>
      </c>
      <c r="B817" s="11" t="s">
        <v>1029</v>
      </c>
      <c r="C817" s="11">
        <v>34</v>
      </c>
      <c r="D817" s="11" t="s">
        <v>1034</v>
      </c>
      <c r="E817" s="11" t="s">
        <v>1038</v>
      </c>
      <c r="F817" s="12">
        <v>440045</v>
      </c>
      <c r="G817" s="12">
        <v>1257102</v>
      </c>
      <c r="H817" s="11">
        <v>10.61</v>
      </c>
      <c r="I817" s="11">
        <v>60</v>
      </c>
      <c r="J817" s="11">
        <v>780</v>
      </c>
      <c r="K817" s="11" t="s">
        <v>1042</v>
      </c>
      <c r="L817" s="11" t="s">
        <v>1044</v>
      </c>
      <c r="M817" s="13">
        <v>44248</v>
      </c>
      <c r="N817" s="11" t="s">
        <v>1047</v>
      </c>
      <c r="O817" s="14">
        <f t="shared" si="61"/>
        <v>27088.577625598115</v>
      </c>
      <c r="P817" s="14">
        <f t="shared" si="62"/>
        <v>1625314.6575358869</v>
      </c>
      <c r="Q817" s="14">
        <f t="shared" si="63"/>
        <v>368212.65753588686</v>
      </c>
      <c r="R817" s="11">
        <f t="shared" ca="1" si="64"/>
        <v>4</v>
      </c>
      <c r="S817" s="11" t="str">
        <f t="shared" si="65"/>
        <v>750-799</v>
      </c>
    </row>
    <row r="818" spans="1:19" x14ac:dyDescent="0.3">
      <c r="A818" s="11" t="s">
        <v>830</v>
      </c>
      <c r="B818" s="11" t="s">
        <v>1031</v>
      </c>
      <c r="C818" s="11">
        <v>60</v>
      </c>
      <c r="D818" s="11" t="s">
        <v>1034</v>
      </c>
      <c r="E818" s="11" t="s">
        <v>1037</v>
      </c>
      <c r="F818" s="12">
        <v>804013</v>
      </c>
      <c r="G818" s="12">
        <v>1120804</v>
      </c>
      <c r="H818" s="11">
        <v>14.56</v>
      </c>
      <c r="I818" s="11">
        <v>72</v>
      </c>
      <c r="J818" s="11">
        <v>724</v>
      </c>
      <c r="K818" s="11" t="s">
        <v>1040</v>
      </c>
      <c r="L818" s="11" t="s">
        <v>1043</v>
      </c>
      <c r="M818" s="13">
        <v>44951</v>
      </c>
      <c r="N818" s="11" t="s">
        <v>1047</v>
      </c>
      <c r="O818" s="14">
        <f t="shared" si="61"/>
        <v>23432.421783721715</v>
      </c>
      <c r="P818" s="14">
        <f t="shared" si="62"/>
        <v>1687134.3684279635</v>
      </c>
      <c r="Q818" s="14">
        <f t="shared" si="63"/>
        <v>566330.36842796346</v>
      </c>
      <c r="R818" s="11">
        <f t="shared" ca="1" si="64"/>
        <v>2</v>
      </c>
      <c r="S818" s="11" t="str">
        <f t="shared" si="65"/>
        <v>700-749</v>
      </c>
    </row>
    <row r="819" spans="1:19" x14ac:dyDescent="0.3">
      <c r="A819" s="11" t="s">
        <v>831</v>
      </c>
      <c r="B819" s="11" t="s">
        <v>1026</v>
      </c>
      <c r="C819" s="11">
        <v>30</v>
      </c>
      <c r="D819" s="11" t="s">
        <v>1034</v>
      </c>
      <c r="E819" s="11" t="s">
        <v>1037</v>
      </c>
      <c r="F819" s="12">
        <v>580358</v>
      </c>
      <c r="G819" s="12">
        <v>1803907</v>
      </c>
      <c r="H819" s="11">
        <v>12.18</v>
      </c>
      <c r="I819" s="11">
        <v>60</v>
      </c>
      <c r="J819" s="11">
        <v>728</v>
      </c>
      <c r="K819" s="11" t="s">
        <v>1042</v>
      </c>
      <c r="L819" s="11" t="s">
        <v>1044</v>
      </c>
      <c r="M819" s="13">
        <v>44153</v>
      </c>
      <c r="N819" s="11" t="s">
        <v>1045</v>
      </c>
      <c r="O819" s="14">
        <f t="shared" si="61"/>
        <v>40291.190919189336</v>
      </c>
      <c r="P819" s="14">
        <f t="shared" si="62"/>
        <v>2417471.45515136</v>
      </c>
      <c r="Q819" s="14">
        <f t="shared" si="63"/>
        <v>613564.45515136002</v>
      </c>
      <c r="R819" s="11">
        <f t="shared" ca="1" si="64"/>
        <v>5</v>
      </c>
      <c r="S819" s="11" t="str">
        <f t="shared" si="65"/>
        <v>700-749</v>
      </c>
    </row>
    <row r="820" spans="1:19" x14ac:dyDescent="0.3">
      <c r="A820" s="11" t="s">
        <v>832</v>
      </c>
      <c r="B820" s="11" t="s">
        <v>1022</v>
      </c>
      <c r="C820" s="11">
        <v>36</v>
      </c>
      <c r="D820" s="11" t="s">
        <v>1035</v>
      </c>
      <c r="E820" s="11" t="s">
        <v>1036</v>
      </c>
      <c r="F820" s="12">
        <v>977897</v>
      </c>
      <c r="G820" s="12">
        <v>1927163</v>
      </c>
      <c r="H820" s="11">
        <v>13.4</v>
      </c>
      <c r="I820" s="11">
        <v>96</v>
      </c>
      <c r="J820" s="11">
        <v>685</v>
      </c>
      <c r="K820" s="11" t="s">
        <v>1042</v>
      </c>
      <c r="L820" s="11" t="s">
        <v>1043</v>
      </c>
      <c r="M820" s="13">
        <v>43184</v>
      </c>
      <c r="N820" s="11" t="s">
        <v>1045</v>
      </c>
      <c r="O820" s="14">
        <f t="shared" si="61"/>
        <v>32823.022287386055</v>
      </c>
      <c r="P820" s="14">
        <f t="shared" si="62"/>
        <v>3151010.139589061</v>
      </c>
      <c r="Q820" s="14">
        <f t="shared" si="63"/>
        <v>1223847.139589061</v>
      </c>
      <c r="R820" s="11">
        <f t="shared" ca="1" si="64"/>
        <v>7</v>
      </c>
      <c r="S820" s="11" t="str">
        <f t="shared" si="65"/>
        <v>650-699</v>
      </c>
    </row>
    <row r="821" spans="1:19" x14ac:dyDescent="0.3">
      <c r="A821" s="11" t="s">
        <v>833</v>
      </c>
      <c r="B821" s="11" t="s">
        <v>1033</v>
      </c>
      <c r="C821" s="11">
        <v>44</v>
      </c>
      <c r="D821" s="11" t="s">
        <v>1034</v>
      </c>
      <c r="E821" s="11" t="s">
        <v>1037</v>
      </c>
      <c r="F821" s="12">
        <v>818162</v>
      </c>
      <c r="G821" s="12">
        <v>282089</v>
      </c>
      <c r="H821" s="11">
        <v>12.75</v>
      </c>
      <c r="I821" s="11">
        <v>72</v>
      </c>
      <c r="J821" s="11">
        <v>738</v>
      </c>
      <c r="K821" s="11" t="s">
        <v>1040</v>
      </c>
      <c r="L821" s="11" t="s">
        <v>1044</v>
      </c>
      <c r="M821" s="13">
        <v>44217</v>
      </c>
      <c r="N821" s="11" t="s">
        <v>1047</v>
      </c>
      <c r="O821" s="14">
        <f t="shared" si="61"/>
        <v>5625.5316805469492</v>
      </c>
      <c r="P821" s="14">
        <f t="shared" si="62"/>
        <v>405038.28099938034</v>
      </c>
      <c r="Q821" s="14">
        <f t="shared" si="63"/>
        <v>122949.28099938034</v>
      </c>
      <c r="R821" s="11">
        <f t="shared" ca="1" si="64"/>
        <v>4</v>
      </c>
      <c r="S821" s="11" t="str">
        <f t="shared" si="65"/>
        <v>700-749</v>
      </c>
    </row>
    <row r="822" spans="1:19" x14ac:dyDescent="0.3">
      <c r="A822" s="11" t="s">
        <v>834</v>
      </c>
      <c r="B822" s="11" t="s">
        <v>1017</v>
      </c>
      <c r="C822" s="11">
        <v>33</v>
      </c>
      <c r="D822" s="11" t="s">
        <v>1034</v>
      </c>
      <c r="E822" s="11" t="s">
        <v>1038</v>
      </c>
      <c r="F822" s="12">
        <v>1735949</v>
      </c>
      <c r="G822" s="12">
        <v>1067518</v>
      </c>
      <c r="H822" s="11">
        <v>9.4499999999999993</v>
      </c>
      <c r="I822" s="11">
        <v>48</v>
      </c>
      <c r="J822" s="11">
        <v>816</v>
      </c>
      <c r="K822" s="11" t="s">
        <v>1040</v>
      </c>
      <c r="L822" s="11" t="s">
        <v>1043</v>
      </c>
      <c r="M822" s="13">
        <v>44867</v>
      </c>
      <c r="N822" s="11" t="s">
        <v>1048</v>
      </c>
      <c r="O822" s="14">
        <f t="shared" si="61"/>
        <v>26793.918597278123</v>
      </c>
      <c r="P822" s="14">
        <f t="shared" si="62"/>
        <v>1286108.0926693499</v>
      </c>
      <c r="Q822" s="14">
        <f t="shared" si="63"/>
        <v>218590.09266934986</v>
      </c>
      <c r="R822" s="11">
        <f t="shared" ca="1" si="64"/>
        <v>3</v>
      </c>
      <c r="S822" s="11" t="str">
        <f t="shared" si="65"/>
        <v>800-850</v>
      </c>
    </row>
    <row r="823" spans="1:19" x14ac:dyDescent="0.3">
      <c r="A823" s="11" t="s">
        <v>835</v>
      </c>
      <c r="B823" s="11" t="s">
        <v>1024</v>
      </c>
      <c r="C823" s="11">
        <v>53</v>
      </c>
      <c r="D823" s="11" t="s">
        <v>1034</v>
      </c>
      <c r="E823" s="11" t="s">
        <v>1037</v>
      </c>
      <c r="F823" s="12">
        <v>452774</v>
      </c>
      <c r="G823" s="12">
        <v>900291</v>
      </c>
      <c r="H823" s="11">
        <v>10.8</v>
      </c>
      <c r="I823" s="11">
        <v>84</v>
      </c>
      <c r="J823" s="11">
        <v>664</v>
      </c>
      <c r="K823" s="11" t="s">
        <v>1039</v>
      </c>
      <c r="L823" s="11" t="s">
        <v>1044</v>
      </c>
      <c r="M823" s="13">
        <v>43123</v>
      </c>
      <c r="N823" s="11" t="s">
        <v>1046</v>
      </c>
      <c r="O823" s="14">
        <f t="shared" si="61"/>
        <v>15320.665222745727</v>
      </c>
      <c r="P823" s="14">
        <f t="shared" si="62"/>
        <v>1286935.8787106411</v>
      </c>
      <c r="Q823" s="14">
        <f t="shared" si="63"/>
        <v>386644.87871064106</v>
      </c>
      <c r="R823" s="11">
        <f t="shared" ca="1" si="64"/>
        <v>7</v>
      </c>
      <c r="S823" s="11" t="str">
        <f t="shared" si="65"/>
        <v>650-699</v>
      </c>
    </row>
    <row r="824" spans="1:19" x14ac:dyDescent="0.3">
      <c r="A824" s="11" t="s">
        <v>836</v>
      </c>
      <c r="B824" s="11" t="s">
        <v>1029</v>
      </c>
      <c r="C824" s="11">
        <v>49</v>
      </c>
      <c r="D824" s="11" t="s">
        <v>1034</v>
      </c>
      <c r="E824" s="11" t="s">
        <v>1036</v>
      </c>
      <c r="F824" s="12">
        <v>970938</v>
      </c>
      <c r="G824" s="12">
        <v>725775</v>
      </c>
      <c r="H824" s="11">
        <v>11.66</v>
      </c>
      <c r="I824" s="11">
        <v>48</v>
      </c>
      <c r="J824" s="11">
        <v>819</v>
      </c>
      <c r="K824" s="11" t="s">
        <v>1042</v>
      </c>
      <c r="L824" s="11" t="s">
        <v>1043</v>
      </c>
      <c r="M824" s="13">
        <v>43877</v>
      </c>
      <c r="N824" s="11" t="s">
        <v>1048</v>
      </c>
      <c r="O824" s="14">
        <f t="shared" si="61"/>
        <v>18991.505192400848</v>
      </c>
      <c r="P824" s="14">
        <f t="shared" si="62"/>
        <v>911592.24923524074</v>
      </c>
      <c r="Q824" s="14">
        <f t="shared" si="63"/>
        <v>185817.24923524074</v>
      </c>
      <c r="R824" s="11">
        <f t="shared" ca="1" si="64"/>
        <v>5</v>
      </c>
      <c r="S824" s="11" t="str">
        <f t="shared" si="65"/>
        <v>800-850</v>
      </c>
    </row>
    <row r="825" spans="1:19" x14ac:dyDescent="0.3">
      <c r="A825" s="11" t="s">
        <v>837</v>
      </c>
      <c r="B825" s="11" t="s">
        <v>1030</v>
      </c>
      <c r="C825" s="11">
        <v>60</v>
      </c>
      <c r="D825" s="11" t="s">
        <v>1034</v>
      </c>
      <c r="E825" s="11" t="s">
        <v>1037</v>
      </c>
      <c r="F825" s="12">
        <v>1242886</v>
      </c>
      <c r="G825" s="12">
        <v>511216</v>
      </c>
      <c r="H825" s="11">
        <v>8.3699999999999992</v>
      </c>
      <c r="I825" s="11">
        <v>48</v>
      </c>
      <c r="J825" s="11">
        <v>670</v>
      </c>
      <c r="K825" s="11" t="s">
        <v>1039</v>
      </c>
      <c r="L825" s="11" t="s">
        <v>1044</v>
      </c>
      <c r="M825" s="13">
        <v>44340</v>
      </c>
      <c r="N825" s="11" t="s">
        <v>1045</v>
      </c>
      <c r="O825" s="14">
        <f t="shared" si="61"/>
        <v>12569.254269053725</v>
      </c>
      <c r="P825" s="14">
        <f t="shared" si="62"/>
        <v>603324.20491457882</v>
      </c>
      <c r="Q825" s="14">
        <f t="shared" si="63"/>
        <v>92108.204914578819</v>
      </c>
      <c r="R825" s="11">
        <f t="shared" ca="1" si="64"/>
        <v>4</v>
      </c>
      <c r="S825" s="11" t="str">
        <f t="shared" si="65"/>
        <v>650-699</v>
      </c>
    </row>
    <row r="826" spans="1:19" x14ac:dyDescent="0.3">
      <c r="A826" s="11" t="s">
        <v>838</v>
      </c>
      <c r="B826" s="11" t="s">
        <v>1024</v>
      </c>
      <c r="C826" s="11">
        <v>33</v>
      </c>
      <c r="D826" s="11" t="s">
        <v>1035</v>
      </c>
      <c r="E826" s="11" t="s">
        <v>1037</v>
      </c>
      <c r="F826" s="12">
        <v>1035028</v>
      </c>
      <c r="G826" s="12">
        <v>1183559</v>
      </c>
      <c r="H826" s="11">
        <v>12.47</v>
      </c>
      <c r="I826" s="11">
        <v>96</v>
      </c>
      <c r="J826" s="11">
        <v>841</v>
      </c>
      <c r="K826" s="11" t="s">
        <v>1041</v>
      </c>
      <c r="L826" s="11" t="s">
        <v>1044</v>
      </c>
      <c r="M826" s="13">
        <v>45135</v>
      </c>
      <c r="N826" s="11" t="s">
        <v>1046</v>
      </c>
      <c r="O826" s="14">
        <f t="shared" si="61"/>
        <v>19543.139836865754</v>
      </c>
      <c r="P826" s="14">
        <f t="shared" si="62"/>
        <v>1876141.4243391124</v>
      </c>
      <c r="Q826" s="14">
        <f t="shared" si="63"/>
        <v>692582.42433911236</v>
      </c>
      <c r="R826" s="11">
        <f t="shared" ca="1" si="64"/>
        <v>2</v>
      </c>
      <c r="S826" s="11" t="str">
        <f t="shared" si="65"/>
        <v>800-850</v>
      </c>
    </row>
    <row r="827" spans="1:19" x14ac:dyDescent="0.3">
      <c r="A827" s="11" t="s">
        <v>839</v>
      </c>
      <c r="B827" s="11" t="s">
        <v>1030</v>
      </c>
      <c r="C827" s="11">
        <v>39</v>
      </c>
      <c r="D827" s="11" t="s">
        <v>1034</v>
      </c>
      <c r="E827" s="11" t="s">
        <v>1038</v>
      </c>
      <c r="F827" s="12">
        <v>730182</v>
      </c>
      <c r="G827" s="12">
        <v>715709</v>
      </c>
      <c r="H827" s="11">
        <v>13.07</v>
      </c>
      <c r="I827" s="11">
        <v>72</v>
      </c>
      <c r="J827" s="11">
        <v>768</v>
      </c>
      <c r="K827" s="11" t="s">
        <v>1041</v>
      </c>
      <c r="L827" s="11" t="s">
        <v>1044</v>
      </c>
      <c r="M827" s="13">
        <v>45375</v>
      </c>
      <c r="N827" s="11" t="s">
        <v>1047</v>
      </c>
      <c r="O827" s="14">
        <f t="shared" si="61"/>
        <v>14393.673223557649</v>
      </c>
      <c r="P827" s="14">
        <f t="shared" si="62"/>
        <v>1036344.4720961507</v>
      </c>
      <c r="Q827" s="14">
        <f t="shared" si="63"/>
        <v>320635.47209615074</v>
      </c>
      <c r="R827" s="11">
        <f t="shared" ca="1" si="64"/>
        <v>1</v>
      </c>
      <c r="S827" s="11" t="str">
        <f t="shared" si="65"/>
        <v>750-799</v>
      </c>
    </row>
    <row r="828" spans="1:19" x14ac:dyDescent="0.3">
      <c r="A828" s="11" t="s">
        <v>840</v>
      </c>
      <c r="B828" s="11" t="s">
        <v>1033</v>
      </c>
      <c r="C828" s="11">
        <v>52</v>
      </c>
      <c r="D828" s="11" t="s">
        <v>1035</v>
      </c>
      <c r="E828" s="11" t="s">
        <v>1038</v>
      </c>
      <c r="F828" s="12">
        <v>1609334</v>
      </c>
      <c r="G828" s="12">
        <v>841977</v>
      </c>
      <c r="H828" s="11">
        <v>14.94</v>
      </c>
      <c r="I828" s="11">
        <v>72</v>
      </c>
      <c r="J828" s="11">
        <v>785</v>
      </c>
      <c r="K828" s="11" t="s">
        <v>1042</v>
      </c>
      <c r="L828" s="11" t="s">
        <v>1044</v>
      </c>
      <c r="M828" s="13">
        <v>43622</v>
      </c>
      <c r="N828" s="11" t="s">
        <v>1046</v>
      </c>
      <c r="O828" s="14">
        <f t="shared" si="61"/>
        <v>17776.191436556768</v>
      </c>
      <c r="P828" s="14">
        <f t="shared" si="62"/>
        <v>1279885.7834320874</v>
      </c>
      <c r="Q828" s="14">
        <f t="shared" si="63"/>
        <v>437908.7834320874</v>
      </c>
      <c r="R828" s="11">
        <f t="shared" ca="1" si="64"/>
        <v>6</v>
      </c>
      <c r="S828" s="11" t="str">
        <f t="shared" si="65"/>
        <v>750-799</v>
      </c>
    </row>
    <row r="829" spans="1:19" x14ac:dyDescent="0.3">
      <c r="A829" s="11" t="s">
        <v>841</v>
      </c>
      <c r="B829" s="11" t="s">
        <v>1018</v>
      </c>
      <c r="C829" s="11">
        <v>36</v>
      </c>
      <c r="D829" s="11" t="s">
        <v>1035</v>
      </c>
      <c r="E829" s="11" t="s">
        <v>1036</v>
      </c>
      <c r="F829" s="12">
        <v>1758197</v>
      </c>
      <c r="G829" s="12">
        <v>1308727</v>
      </c>
      <c r="H829" s="11">
        <v>13.98</v>
      </c>
      <c r="I829" s="11">
        <v>60</v>
      </c>
      <c r="J829" s="11">
        <v>666</v>
      </c>
      <c r="K829" s="11" t="s">
        <v>1040</v>
      </c>
      <c r="L829" s="11" t="s">
        <v>1044</v>
      </c>
      <c r="M829" s="13">
        <v>43593</v>
      </c>
      <c r="N829" s="11" t="s">
        <v>1047</v>
      </c>
      <c r="O829" s="14">
        <f t="shared" si="61"/>
        <v>30438.21997482502</v>
      </c>
      <c r="P829" s="14">
        <f t="shared" si="62"/>
        <v>1826293.1984895011</v>
      </c>
      <c r="Q829" s="14">
        <f t="shared" si="63"/>
        <v>517566.19848950114</v>
      </c>
      <c r="R829" s="11">
        <f t="shared" ca="1" si="64"/>
        <v>6</v>
      </c>
      <c r="S829" s="11" t="str">
        <f t="shared" si="65"/>
        <v>650-699</v>
      </c>
    </row>
    <row r="830" spans="1:19" x14ac:dyDescent="0.3">
      <c r="A830" s="11" t="s">
        <v>842</v>
      </c>
      <c r="B830" s="11" t="s">
        <v>1022</v>
      </c>
      <c r="C830" s="11">
        <v>50</v>
      </c>
      <c r="D830" s="11" t="s">
        <v>1035</v>
      </c>
      <c r="E830" s="11" t="s">
        <v>1037</v>
      </c>
      <c r="F830" s="12">
        <v>1942054</v>
      </c>
      <c r="G830" s="12">
        <v>857525</v>
      </c>
      <c r="H830" s="11">
        <v>12.32</v>
      </c>
      <c r="I830" s="11">
        <v>96</v>
      </c>
      <c r="J830" s="11">
        <v>849</v>
      </c>
      <c r="K830" s="11" t="s">
        <v>1040</v>
      </c>
      <c r="L830" s="11" t="s">
        <v>1044</v>
      </c>
      <c r="M830" s="13">
        <v>43539</v>
      </c>
      <c r="N830" s="11" t="s">
        <v>1047</v>
      </c>
      <c r="O830" s="14">
        <f t="shared" si="61"/>
        <v>14088.427235331124</v>
      </c>
      <c r="P830" s="14">
        <f t="shared" si="62"/>
        <v>1352489.0145917879</v>
      </c>
      <c r="Q830" s="14">
        <f t="shared" si="63"/>
        <v>494964.01459178794</v>
      </c>
      <c r="R830" s="11">
        <f t="shared" ca="1" si="64"/>
        <v>6</v>
      </c>
      <c r="S830" s="11" t="str">
        <f t="shared" si="65"/>
        <v>800-850</v>
      </c>
    </row>
    <row r="831" spans="1:19" x14ac:dyDescent="0.3">
      <c r="A831" s="11" t="s">
        <v>843</v>
      </c>
      <c r="B831" s="11" t="s">
        <v>1017</v>
      </c>
      <c r="C831" s="11">
        <v>47</v>
      </c>
      <c r="D831" s="11" t="s">
        <v>1035</v>
      </c>
      <c r="E831" s="11" t="s">
        <v>1038</v>
      </c>
      <c r="F831" s="12">
        <v>1119385</v>
      </c>
      <c r="G831" s="12">
        <v>649521</v>
      </c>
      <c r="H831" s="11">
        <v>14.59</v>
      </c>
      <c r="I831" s="11">
        <v>36</v>
      </c>
      <c r="J831" s="11">
        <v>626</v>
      </c>
      <c r="K831" s="11" t="s">
        <v>1039</v>
      </c>
      <c r="L831" s="11" t="s">
        <v>1044</v>
      </c>
      <c r="M831" s="13">
        <v>44436</v>
      </c>
      <c r="N831" s="11" t="s">
        <v>1047</v>
      </c>
      <c r="O831" s="14">
        <f t="shared" si="61"/>
        <v>22385.667635233236</v>
      </c>
      <c r="P831" s="14">
        <f t="shared" si="62"/>
        <v>805884.03486839647</v>
      </c>
      <c r="Q831" s="14">
        <f t="shared" si="63"/>
        <v>156363.03486839647</v>
      </c>
      <c r="R831" s="11">
        <f t="shared" ca="1" si="64"/>
        <v>4</v>
      </c>
      <c r="S831" s="11" t="str">
        <f t="shared" si="65"/>
        <v>600-649</v>
      </c>
    </row>
    <row r="832" spans="1:19" x14ac:dyDescent="0.3">
      <c r="A832" s="11" t="s">
        <v>844</v>
      </c>
      <c r="B832" s="11" t="s">
        <v>1033</v>
      </c>
      <c r="C832" s="11">
        <v>40</v>
      </c>
      <c r="D832" s="11" t="s">
        <v>1034</v>
      </c>
      <c r="E832" s="11" t="s">
        <v>1038</v>
      </c>
      <c r="F832" s="12">
        <v>1998235</v>
      </c>
      <c r="G832" s="12">
        <v>386590</v>
      </c>
      <c r="H832" s="11">
        <v>8.23</v>
      </c>
      <c r="I832" s="11">
        <v>96</v>
      </c>
      <c r="J832" s="11">
        <v>677</v>
      </c>
      <c r="K832" s="11" t="s">
        <v>1040</v>
      </c>
      <c r="L832" s="11" t="s">
        <v>1044</v>
      </c>
      <c r="M832" s="13">
        <v>43913</v>
      </c>
      <c r="N832" s="11" t="s">
        <v>1046</v>
      </c>
      <c r="O832" s="14">
        <f t="shared" si="61"/>
        <v>5510.3993063355674</v>
      </c>
      <c r="P832" s="14">
        <f t="shared" si="62"/>
        <v>528998.3334082145</v>
      </c>
      <c r="Q832" s="14">
        <f t="shared" si="63"/>
        <v>142408.3334082145</v>
      </c>
      <c r="R832" s="11">
        <f t="shared" ca="1" si="64"/>
        <v>5</v>
      </c>
      <c r="S832" s="11" t="str">
        <f t="shared" si="65"/>
        <v>650-699</v>
      </c>
    </row>
    <row r="833" spans="1:19" x14ac:dyDescent="0.3">
      <c r="A833" s="11" t="s">
        <v>845</v>
      </c>
      <c r="B833" s="11" t="s">
        <v>1024</v>
      </c>
      <c r="C833" s="11">
        <v>39</v>
      </c>
      <c r="D833" s="11" t="s">
        <v>1034</v>
      </c>
      <c r="E833" s="11" t="s">
        <v>1038</v>
      </c>
      <c r="F833" s="12">
        <v>1546900</v>
      </c>
      <c r="G833" s="12">
        <v>601780</v>
      </c>
      <c r="H833" s="11">
        <v>13.5</v>
      </c>
      <c r="I833" s="11">
        <v>96</v>
      </c>
      <c r="J833" s="11">
        <v>656</v>
      </c>
      <c r="K833" s="11" t="s">
        <v>1042</v>
      </c>
      <c r="L833" s="11" t="s">
        <v>1044</v>
      </c>
      <c r="M833" s="13">
        <v>43983</v>
      </c>
      <c r="N833" s="11" t="s">
        <v>1048</v>
      </c>
      <c r="O833" s="14">
        <f t="shared" si="61"/>
        <v>10283.312742468703</v>
      </c>
      <c r="P833" s="14">
        <f t="shared" si="62"/>
        <v>987198.0232769954</v>
      </c>
      <c r="Q833" s="14">
        <f t="shared" si="63"/>
        <v>385418.0232769954</v>
      </c>
      <c r="R833" s="11">
        <f t="shared" ca="1" si="64"/>
        <v>5</v>
      </c>
      <c r="S833" s="11" t="str">
        <f t="shared" si="65"/>
        <v>650-699</v>
      </c>
    </row>
    <row r="834" spans="1:19" x14ac:dyDescent="0.3">
      <c r="A834" s="11" t="s">
        <v>846</v>
      </c>
      <c r="B834" s="11" t="s">
        <v>1031</v>
      </c>
      <c r="C834" s="11">
        <v>39</v>
      </c>
      <c r="D834" s="11" t="s">
        <v>1035</v>
      </c>
      <c r="E834" s="11" t="s">
        <v>1036</v>
      </c>
      <c r="F834" s="12">
        <v>1205216</v>
      </c>
      <c r="G834" s="12">
        <v>462031</v>
      </c>
      <c r="H834" s="11">
        <v>12.01</v>
      </c>
      <c r="I834" s="11">
        <v>96</v>
      </c>
      <c r="J834" s="11">
        <v>689</v>
      </c>
      <c r="K834" s="11" t="s">
        <v>1040</v>
      </c>
      <c r="L834" s="11" t="s">
        <v>1044</v>
      </c>
      <c r="M834" s="13">
        <v>44884</v>
      </c>
      <c r="N834" s="11" t="s">
        <v>1045</v>
      </c>
      <c r="O834" s="14">
        <f t="shared" si="61"/>
        <v>7511.8553980346096</v>
      </c>
      <c r="P834" s="14">
        <f t="shared" si="62"/>
        <v>721138.11821132246</v>
      </c>
      <c r="Q834" s="14">
        <f t="shared" si="63"/>
        <v>259107.11821132246</v>
      </c>
      <c r="R834" s="11">
        <f t="shared" ca="1" si="64"/>
        <v>3</v>
      </c>
      <c r="S834" s="11" t="str">
        <f t="shared" si="65"/>
        <v>650-699</v>
      </c>
    </row>
    <row r="835" spans="1:19" x14ac:dyDescent="0.3">
      <c r="A835" s="11" t="s">
        <v>847</v>
      </c>
      <c r="B835" s="11" t="s">
        <v>1031</v>
      </c>
      <c r="C835" s="11">
        <v>46</v>
      </c>
      <c r="D835" s="11" t="s">
        <v>1035</v>
      </c>
      <c r="E835" s="11" t="s">
        <v>1038</v>
      </c>
      <c r="F835" s="12">
        <v>1721658</v>
      </c>
      <c r="G835" s="12">
        <v>1644568</v>
      </c>
      <c r="H835" s="11">
        <v>12.5</v>
      </c>
      <c r="I835" s="11">
        <v>72</v>
      </c>
      <c r="J835" s="11">
        <v>655</v>
      </c>
      <c r="K835" s="11" t="s">
        <v>1039</v>
      </c>
      <c r="L835" s="11" t="s">
        <v>1044</v>
      </c>
      <c r="M835" s="13">
        <v>44013</v>
      </c>
      <c r="N835" s="11" t="s">
        <v>1048</v>
      </c>
      <c r="O835" s="14">
        <f t="shared" ref="O835:O898" si="66">PMT(H835/1200,I835,-G835)</f>
        <v>32580.830534990571</v>
      </c>
      <c r="P835" s="14">
        <f t="shared" ref="P835:P898" si="67">O835*I835</f>
        <v>2345819.7985193213</v>
      </c>
      <c r="Q835" s="14">
        <f t="shared" ref="Q835:Q898" si="68">P835-G835</f>
        <v>701251.79851932125</v>
      </c>
      <c r="R835" s="11">
        <f t="shared" ref="R835:R898" ca="1" si="69">(YEAR(TODAY())-YEAR(M835))</f>
        <v>5</v>
      </c>
      <c r="S835" s="11" t="str">
        <f t="shared" ref="S835:S898" si="70">IF(J835&lt;650,"600-649",
IF(J835&lt;700,"650-699",
IF(J835&lt;750,"700-749",
IF(J835&lt;800,"750-799","800-850"))))</f>
        <v>650-699</v>
      </c>
    </row>
    <row r="836" spans="1:19" x14ac:dyDescent="0.3">
      <c r="A836" s="11" t="s">
        <v>848</v>
      </c>
      <c r="B836" s="11" t="s">
        <v>1029</v>
      </c>
      <c r="C836" s="11">
        <v>54</v>
      </c>
      <c r="D836" s="11" t="s">
        <v>1034</v>
      </c>
      <c r="E836" s="11" t="s">
        <v>1038</v>
      </c>
      <c r="F836" s="12">
        <v>362256</v>
      </c>
      <c r="G836" s="12">
        <v>1369306</v>
      </c>
      <c r="H836" s="11">
        <v>12.72</v>
      </c>
      <c r="I836" s="11">
        <v>48</v>
      </c>
      <c r="J836" s="11">
        <v>649</v>
      </c>
      <c r="K836" s="11" t="s">
        <v>1041</v>
      </c>
      <c r="L836" s="11" t="s">
        <v>1043</v>
      </c>
      <c r="M836" s="13">
        <v>43690</v>
      </c>
      <c r="N836" s="11" t="s">
        <v>1047</v>
      </c>
      <c r="O836" s="14">
        <f t="shared" si="66"/>
        <v>36545.04289228734</v>
      </c>
      <c r="P836" s="14">
        <f t="shared" si="67"/>
        <v>1754162.0588297923</v>
      </c>
      <c r="Q836" s="14">
        <f t="shared" si="68"/>
        <v>384856.05882979231</v>
      </c>
      <c r="R836" s="11">
        <f t="shared" ca="1" si="69"/>
        <v>6</v>
      </c>
      <c r="S836" s="11" t="str">
        <f t="shared" si="70"/>
        <v>600-649</v>
      </c>
    </row>
    <row r="837" spans="1:19" x14ac:dyDescent="0.3">
      <c r="A837" s="11" t="s">
        <v>849</v>
      </c>
      <c r="B837" s="11" t="s">
        <v>1021</v>
      </c>
      <c r="C837" s="11">
        <v>51</v>
      </c>
      <c r="D837" s="11" t="s">
        <v>1034</v>
      </c>
      <c r="E837" s="11" t="s">
        <v>1038</v>
      </c>
      <c r="F837" s="12">
        <v>1515386</v>
      </c>
      <c r="G837" s="12">
        <v>928695</v>
      </c>
      <c r="H837" s="11">
        <v>9.8000000000000007</v>
      </c>
      <c r="I837" s="11">
        <v>84</v>
      </c>
      <c r="J837" s="11">
        <v>763</v>
      </c>
      <c r="K837" s="11" t="s">
        <v>1040</v>
      </c>
      <c r="L837" s="11" t="s">
        <v>1044</v>
      </c>
      <c r="M837" s="13">
        <v>43715</v>
      </c>
      <c r="N837" s="11" t="s">
        <v>1048</v>
      </c>
      <c r="O837" s="14">
        <f t="shared" si="66"/>
        <v>15321.636099258376</v>
      </c>
      <c r="P837" s="14">
        <f t="shared" si="67"/>
        <v>1287017.4323377036</v>
      </c>
      <c r="Q837" s="14">
        <f t="shared" si="68"/>
        <v>358322.43233770365</v>
      </c>
      <c r="R837" s="11">
        <f t="shared" ca="1" si="69"/>
        <v>6</v>
      </c>
      <c r="S837" s="11" t="str">
        <f t="shared" si="70"/>
        <v>750-799</v>
      </c>
    </row>
    <row r="838" spans="1:19" x14ac:dyDescent="0.3">
      <c r="A838" s="11" t="s">
        <v>850</v>
      </c>
      <c r="B838" s="11" t="s">
        <v>1024</v>
      </c>
      <c r="C838" s="11">
        <v>30</v>
      </c>
      <c r="D838" s="11" t="s">
        <v>1035</v>
      </c>
      <c r="E838" s="11" t="s">
        <v>1037</v>
      </c>
      <c r="F838" s="12">
        <v>1763950</v>
      </c>
      <c r="G838" s="12">
        <v>1312959</v>
      </c>
      <c r="H838" s="11">
        <v>11.84</v>
      </c>
      <c r="I838" s="11">
        <v>84</v>
      </c>
      <c r="J838" s="11">
        <v>805</v>
      </c>
      <c r="K838" s="11" t="s">
        <v>1039</v>
      </c>
      <c r="L838" s="11" t="s">
        <v>1044</v>
      </c>
      <c r="M838" s="13">
        <v>43218</v>
      </c>
      <c r="N838" s="11" t="s">
        <v>1048</v>
      </c>
      <c r="O838" s="14">
        <f t="shared" si="66"/>
        <v>23065.121095747629</v>
      </c>
      <c r="P838" s="14">
        <f t="shared" si="67"/>
        <v>1937470.1720428008</v>
      </c>
      <c r="Q838" s="14">
        <f t="shared" si="68"/>
        <v>624511.17204280081</v>
      </c>
      <c r="R838" s="11">
        <f t="shared" ca="1" si="69"/>
        <v>7</v>
      </c>
      <c r="S838" s="11" t="str">
        <f t="shared" si="70"/>
        <v>800-850</v>
      </c>
    </row>
    <row r="839" spans="1:19" x14ac:dyDescent="0.3">
      <c r="A839" s="11" t="s">
        <v>851</v>
      </c>
      <c r="B839" s="11" t="s">
        <v>1014</v>
      </c>
      <c r="C839" s="11">
        <v>30</v>
      </c>
      <c r="D839" s="11" t="s">
        <v>1035</v>
      </c>
      <c r="E839" s="11" t="s">
        <v>1037</v>
      </c>
      <c r="F839" s="12">
        <v>1003229</v>
      </c>
      <c r="G839" s="12">
        <v>1046181</v>
      </c>
      <c r="H839" s="11">
        <v>9.6</v>
      </c>
      <c r="I839" s="11">
        <v>84</v>
      </c>
      <c r="J839" s="11">
        <v>773</v>
      </c>
      <c r="K839" s="11" t="s">
        <v>1041</v>
      </c>
      <c r="L839" s="11" t="s">
        <v>1044</v>
      </c>
      <c r="M839" s="13">
        <v>43183</v>
      </c>
      <c r="N839" s="11" t="s">
        <v>1047</v>
      </c>
      <c r="O839" s="14">
        <f t="shared" si="66"/>
        <v>17152.387133084445</v>
      </c>
      <c r="P839" s="14">
        <f t="shared" si="67"/>
        <v>1440800.5191790934</v>
      </c>
      <c r="Q839" s="14">
        <f t="shared" si="68"/>
        <v>394619.51917909342</v>
      </c>
      <c r="R839" s="11">
        <f t="shared" ca="1" si="69"/>
        <v>7</v>
      </c>
      <c r="S839" s="11" t="str">
        <f t="shared" si="70"/>
        <v>750-799</v>
      </c>
    </row>
    <row r="840" spans="1:19" x14ac:dyDescent="0.3">
      <c r="A840" s="11" t="s">
        <v>852</v>
      </c>
      <c r="B840" s="11" t="s">
        <v>1019</v>
      </c>
      <c r="C840" s="11">
        <v>34</v>
      </c>
      <c r="D840" s="11" t="s">
        <v>1035</v>
      </c>
      <c r="E840" s="11" t="s">
        <v>1036</v>
      </c>
      <c r="F840" s="12">
        <v>1816198</v>
      </c>
      <c r="G840" s="12">
        <v>627216</v>
      </c>
      <c r="H840" s="11">
        <v>10.66</v>
      </c>
      <c r="I840" s="11">
        <v>48</v>
      </c>
      <c r="J840" s="11">
        <v>850</v>
      </c>
      <c r="K840" s="11" t="s">
        <v>1040</v>
      </c>
      <c r="L840" s="11" t="s">
        <v>1044</v>
      </c>
      <c r="M840" s="13">
        <v>43628</v>
      </c>
      <c r="N840" s="11" t="s">
        <v>1045</v>
      </c>
      <c r="O840" s="14">
        <f t="shared" si="66"/>
        <v>16107.357917283978</v>
      </c>
      <c r="P840" s="14">
        <f t="shared" si="67"/>
        <v>773153.18002963089</v>
      </c>
      <c r="Q840" s="14">
        <f t="shared" si="68"/>
        <v>145937.18002963089</v>
      </c>
      <c r="R840" s="11">
        <f t="shared" ca="1" si="69"/>
        <v>6</v>
      </c>
      <c r="S840" s="11" t="str">
        <f t="shared" si="70"/>
        <v>800-850</v>
      </c>
    </row>
    <row r="841" spans="1:19" x14ac:dyDescent="0.3">
      <c r="A841" s="11" t="s">
        <v>853</v>
      </c>
      <c r="B841" s="11" t="s">
        <v>1019</v>
      </c>
      <c r="C841" s="11">
        <v>41</v>
      </c>
      <c r="D841" s="11" t="s">
        <v>1035</v>
      </c>
      <c r="E841" s="11" t="s">
        <v>1036</v>
      </c>
      <c r="F841" s="12">
        <v>596240</v>
      </c>
      <c r="G841" s="12">
        <v>1529360</v>
      </c>
      <c r="H841" s="11">
        <v>8.6999999999999993</v>
      </c>
      <c r="I841" s="11">
        <v>84</v>
      </c>
      <c r="J841" s="11">
        <v>792</v>
      </c>
      <c r="K841" s="11" t="s">
        <v>1041</v>
      </c>
      <c r="L841" s="11" t="s">
        <v>1044</v>
      </c>
      <c r="M841" s="13">
        <v>43130</v>
      </c>
      <c r="N841" s="11" t="s">
        <v>1047</v>
      </c>
      <c r="O841" s="14">
        <f t="shared" si="66"/>
        <v>24373.784351565231</v>
      </c>
      <c r="P841" s="14">
        <f t="shared" si="67"/>
        <v>2047397.8855314795</v>
      </c>
      <c r="Q841" s="14">
        <f t="shared" si="68"/>
        <v>518037.88553147949</v>
      </c>
      <c r="R841" s="11">
        <f t="shared" ca="1" si="69"/>
        <v>7</v>
      </c>
      <c r="S841" s="11" t="str">
        <f t="shared" si="70"/>
        <v>750-799</v>
      </c>
    </row>
    <row r="842" spans="1:19" x14ac:dyDescent="0.3">
      <c r="A842" s="11" t="s">
        <v>854</v>
      </c>
      <c r="B842" s="11" t="s">
        <v>1020</v>
      </c>
      <c r="C842" s="11">
        <v>34</v>
      </c>
      <c r="D842" s="11" t="s">
        <v>1035</v>
      </c>
      <c r="E842" s="11" t="s">
        <v>1036</v>
      </c>
      <c r="F842" s="12">
        <v>871336</v>
      </c>
      <c r="G842" s="12">
        <v>340605</v>
      </c>
      <c r="H842" s="11">
        <v>12.2</v>
      </c>
      <c r="I842" s="11">
        <v>84</v>
      </c>
      <c r="J842" s="11">
        <v>638</v>
      </c>
      <c r="K842" s="11" t="s">
        <v>1039</v>
      </c>
      <c r="L842" s="11" t="s">
        <v>1043</v>
      </c>
      <c r="M842" s="13">
        <v>44966</v>
      </c>
      <c r="N842" s="11" t="s">
        <v>1045</v>
      </c>
      <c r="O842" s="14">
        <f t="shared" si="66"/>
        <v>6049.0997738271763</v>
      </c>
      <c r="P842" s="14">
        <f t="shared" si="67"/>
        <v>508124.38100148283</v>
      </c>
      <c r="Q842" s="14">
        <f t="shared" si="68"/>
        <v>167519.38100148283</v>
      </c>
      <c r="R842" s="11">
        <f t="shared" ca="1" si="69"/>
        <v>2</v>
      </c>
      <c r="S842" s="11" t="str">
        <f t="shared" si="70"/>
        <v>600-649</v>
      </c>
    </row>
    <row r="843" spans="1:19" x14ac:dyDescent="0.3">
      <c r="A843" s="11" t="s">
        <v>855</v>
      </c>
      <c r="B843" s="11" t="s">
        <v>1016</v>
      </c>
      <c r="C843" s="11">
        <v>42</v>
      </c>
      <c r="D843" s="11" t="s">
        <v>1034</v>
      </c>
      <c r="E843" s="11" t="s">
        <v>1037</v>
      </c>
      <c r="F843" s="12">
        <v>1870381</v>
      </c>
      <c r="G843" s="12">
        <v>1045517</v>
      </c>
      <c r="H843" s="11">
        <v>13.77</v>
      </c>
      <c r="I843" s="11">
        <v>120</v>
      </c>
      <c r="J843" s="11">
        <v>614</v>
      </c>
      <c r="K843" s="11" t="s">
        <v>1040</v>
      </c>
      <c r="L843" s="11" t="s">
        <v>1044</v>
      </c>
      <c r="M843" s="13">
        <v>44809</v>
      </c>
      <c r="N843" s="11" t="s">
        <v>1048</v>
      </c>
      <c r="O843" s="14">
        <f t="shared" si="66"/>
        <v>16089.097355732507</v>
      </c>
      <c r="P843" s="14">
        <f t="shared" si="67"/>
        <v>1930691.6826879007</v>
      </c>
      <c r="Q843" s="14">
        <f t="shared" si="68"/>
        <v>885174.68268790073</v>
      </c>
      <c r="R843" s="11">
        <f t="shared" ca="1" si="69"/>
        <v>3</v>
      </c>
      <c r="S843" s="11" t="str">
        <f t="shared" si="70"/>
        <v>600-649</v>
      </c>
    </row>
    <row r="844" spans="1:19" x14ac:dyDescent="0.3">
      <c r="A844" s="11" t="s">
        <v>856</v>
      </c>
      <c r="B844" s="11" t="s">
        <v>1029</v>
      </c>
      <c r="C844" s="11">
        <v>57</v>
      </c>
      <c r="D844" s="11" t="s">
        <v>1035</v>
      </c>
      <c r="E844" s="11" t="s">
        <v>1037</v>
      </c>
      <c r="F844" s="12">
        <v>1952828</v>
      </c>
      <c r="G844" s="12">
        <v>909771</v>
      </c>
      <c r="H844" s="11">
        <v>11.02</v>
      </c>
      <c r="I844" s="11">
        <v>60</v>
      </c>
      <c r="J844" s="11">
        <v>816</v>
      </c>
      <c r="K844" s="11" t="s">
        <v>1041</v>
      </c>
      <c r="L844" s="11" t="s">
        <v>1044</v>
      </c>
      <c r="M844" s="13">
        <v>45397</v>
      </c>
      <c r="N844" s="11" t="s">
        <v>1046</v>
      </c>
      <c r="O844" s="14">
        <f t="shared" si="66"/>
        <v>19789.701407209581</v>
      </c>
      <c r="P844" s="14">
        <f t="shared" si="67"/>
        <v>1187382.0844325749</v>
      </c>
      <c r="Q844" s="14">
        <f t="shared" si="68"/>
        <v>277611.08443257492</v>
      </c>
      <c r="R844" s="11">
        <f t="shared" ca="1" si="69"/>
        <v>1</v>
      </c>
      <c r="S844" s="11" t="str">
        <f t="shared" si="70"/>
        <v>800-850</v>
      </c>
    </row>
    <row r="845" spans="1:19" x14ac:dyDescent="0.3">
      <c r="A845" s="11" t="s">
        <v>857</v>
      </c>
      <c r="B845" s="11" t="s">
        <v>1023</v>
      </c>
      <c r="C845" s="11">
        <v>31</v>
      </c>
      <c r="D845" s="11" t="s">
        <v>1034</v>
      </c>
      <c r="E845" s="11" t="s">
        <v>1038</v>
      </c>
      <c r="F845" s="12">
        <v>539966</v>
      </c>
      <c r="G845" s="12">
        <v>763152</v>
      </c>
      <c r="H845" s="11">
        <v>10.23</v>
      </c>
      <c r="I845" s="11">
        <v>96</v>
      </c>
      <c r="J845" s="11">
        <v>800</v>
      </c>
      <c r="K845" s="11" t="s">
        <v>1039</v>
      </c>
      <c r="L845" s="11" t="s">
        <v>1043</v>
      </c>
      <c r="M845" s="13">
        <v>43820</v>
      </c>
      <c r="N845" s="11" t="s">
        <v>1048</v>
      </c>
      <c r="O845" s="14">
        <f t="shared" si="66"/>
        <v>11673.277758973858</v>
      </c>
      <c r="P845" s="14">
        <f t="shared" si="67"/>
        <v>1120634.6648614905</v>
      </c>
      <c r="Q845" s="14">
        <f t="shared" si="68"/>
        <v>357482.66486149048</v>
      </c>
      <c r="R845" s="11">
        <f t="shared" ca="1" si="69"/>
        <v>6</v>
      </c>
      <c r="S845" s="11" t="str">
        <f t="shared" si="70"/>
        <v>800-850</v>
      </c>
    </row>
    <row r="846" spans="1:19" x14ac:dyDescent="0.3">
      <c r="A846" s="11" t="s">
        <v>858</v>
      </c>
      <c r="B846" s="11" t="s">
        <v>1014</v>
      </c>
      <c r="C846" s="11">
        <v>29</v>
      </c>
      <c r="D846" s="11" t="s">
        <v>1035</v>
      </c>
      <c r="E846" s="11" t="s">
        <v>1037</v>
      </c>
      <c r="F846" s="12">
        <v>1970799</v>
      </c>
      <c r="G846" s="12">
        <v>711141</v>
      </c>
      <c r="H846" s="11">
        <v>12.59</v>
      </c>
      <c r="I846" s="11">
        <v>96</v>
      </c>
      <c r="J846" s="11">
        <v>805</v>
      </c>
      <c r="K846" s="11" t="s">
        <v>1040</v>
      </c>
      <c r="L846" s="11" t="s">
        <v>1044</v>
      </c>
      <c r="M846" s="13">
        <v>43496</v>
      </c>
      <c r="N846" s="11" t="s">
        <v>1046</v>
      </c>
      <c r="O846" s="14">
        <f t="shared" si="66"/>
        <v>11789.826465614193</v>
      </c>
      <c r="P846" s="14">
        <f t="shared" si="67"/>
        <v>1131823.3406989626</v>
      </c>
      <c r="Q846" s="14">
        <f t="shared" si="68"/>
        <v>420682.34069896257</v>
      </c>
      <c r="R846" s="11">
        <f t="shared" ca="1" si="69"/>
        <v>6</v>
      </c>
      <c r="S846" s="11" t="str">
        <f t="shared" si="70"/>
        <v>800-850</v>
      </c>
    </row>
    <row r="847" spans="1:19" x14ac:dyDescent="0.3">
      <c r="A847" s="11" t="s">
        <v>859</v>
      </c>
      <c r="B847" s="11" t="s">
        <v>1033</v>
      </c>
      <c r="C847" s="11">
        <v>31</v>
      </c>
      <c r="D847" s="11" t="s">
        <v>1034</v>
      </c>
      <c r="E847" s="11" t="s">
        <v>1037</v>
      </c>
      <c r="F847" s="12">
        <v>1411868</v>
      </c>
      <c r="G847" s="12">
        <v>398759</v>
      </c>
      <c r="H847" s="11">
        <v>13.46</v>
      </c>
      <c r="I847" s="11">
        <v>60</v>
      </c>
      <c r="J847" s="11">
        <v>754</v>
      </c>
      <c r="K847" s="11" t="s">
        <v>1042</v>
      </c>
      <c r="L847" s="11" t="s">
        <v>1044</v>
      </c>
      <c r="M847" s="13">
        <v>43962</v>
      </c>
      <c r="N847" s="11" t="s">
        <v>1045</v>
      </c>
      <c r="O847" s="14">
        <f t="shared" si="66"/>
        <v>9167.1679650158676</v>
      </c>
      <c r="P847" s="14">
        <f t="shared" si="67"/>
        <v>550030.07790095208</v>
      </c>
      <c r="Q847" s="14">
        <f t="shared" si="68"/>
        <v>151271.07790095208</v>
      </c>
      <c r="R847" s="11">
        <f t="shared" ca="1" si="69"/>
        <v>5</v>
      </c>
      <c r="S847" s="11" t="str">
        <f t="shared" si="70"/>
        <v>750-799</v>
      </c>
    </row>
    <row r="848" spans="1:19" x14ac:dyDescent="0.3">
      <c r="A848" s="11" t="s">
        <v>860</v>
      </c>
      <c r="B848" s="11" t="s">
        <v>1016</v>
      </c>
      <c r="C848" s="11">
        <v>34</v>
      </c>
      <c r="D848" s="11" t="s">
        <v>1034</v>
      </c>
      <c r="E848" s="11" t="s">
        <v>1037</v>
      </c>
      <c r="F848" s="12">
        <v>1144430</v>
      </c>
      <c r="G848" s="12">
        <v>705317</v>
      </c>
      <c r="H848" s="11">
        <v>14.73</v>
      </c>
      <c r="I848" s="11">
        <v>84</v>
      </c>
      <c r="J848" s="11">
        <v>672</v>
      </c>
      <c r="K848" s="11" t="s">
        <v>1041</v>
      </c>
      <c r="L848" s="11" t="s">
        <v>1044</v>
      </c>
      <c r="M848" s="13">
        <v>43795</v>
      </c>
      <c r="N848" s="11" t="s">
        <v>1045</v>
      </c>
      <c r="O848" s="14">
        <f t="shared" si="66"/>
        <v>13503.706170812768</v>
      </c>
      <c r="P848" s="14">
        <f t="shared" si="67"/>
        <v>1134311.3183482725</v>
      </c>
      <c r="Q848" s="14">
        <f t="shared" si="68"/>
        <v>428994.31834827247</v>
      </c>
      <c r="R848" s="11">
        <f t="shared" ca="1" si="69"/>
        <v>6</v>
      </c>
      <c r="S848" s="11" t="str">
        <f t="shared" si="70"/>
        <v>650-699</v>
      </c>
    </row>
    <row r="849" spans="1:19" x14ac:dyDescent="0.3">
      <c r="A849" s="11" t="s">
        <v>861</v>
      </c>
      <c r="B849" s="11" t="s">
        <v>1028</v>
      </c>
      <c r="C849" s="11">
        <v>38</v>
      </c>
      <c r="D849" s="11" t="s">
        <v>1035</v>
      </c>
      <c r="E849" s="11" t="s">
        <v>1036</v>
      </c>
      <c r="F849" s="12">
        <v>1081841</v>
      </c>
      <c r="G849" s="12">
        <v>1742023</v>
      </c>
      <c r="H849" s="11">
        <v>13.2</v>
      </c>
      <c r="I849" s="11">
        <v>36</v>
      </c>
      <c r="J849" s="11">
        <v>689</v>
      </c>
      <c r="K849" s="11" t="s">
        <v>1039</v>
      </c>
      <c r="L849" s="11" t="s">
        <v>1044</v>
      </c>
      <c r="M849" s="13">
        <v>44976</v>
      </c>
      <c r="N849" s="11" t="s">
        <v>1046</v>
      </c>
      <c r="O849" s="14">
        <f t="shared" si="66"/>
        <v>58863.593297981795</v>
      </c>
      <c r="P849" s="14">
        <f t="shared" si="67"/>
        <v>2119089.3587273448</v>
      </c>
      <c r="Q849" s="14">
        <f t="shared" si="68"/>
        <v>377066.35872734478</v>
      </c>
      <c r="R849" s="11">
        <f t="shared" ca="1" si="69"/>
        <v>2</v>
      </c>
      <c r="S849" s="11" t="str">
        <f t="shared" si="70"/>
        <v>650-699</v>
      </c>
    </row>
    <row r="850" spans="1:19" x14ac:dyDescent="0.3">
      <c r="A850" s="11" t="s">
        <v>862</v>
      </c>
      <c r="B850" s="11" t="s">
        <v>1029</v>
      </c>
      <c r="C850" s="11">
        <v>59</v>
      </c>
      <c r="D850" s="11" t="s">
        <v>1035</v>
      </c>
      <c r="E850" s="11" t="s">
        <v>1037</v>
      </c>
      <c r="F850" s="12">
        <v>974963</v>
      </c>
      <c r="G850" s="12">
        <v>1578873</v>
      </c>
      <c r="H850" s="11">
        <v>9.41</v>
      </c>
      <c r="I850" s="11">
        <v>60</v>
      </c>
      <c r="J850" s="11">
        <v>814</v>
      </c>
      <c r="K850" s="11" t="s">
        <v>1040</v>
      </c>
      <c r="L850" s="11" t="s">
        <v>1044</v>
      </c>
      <c r="M850" s="13">
        <v>43827</v>
      </c>
      <c r="N850" s="11" t="s">
        <v>1047</v>
      </c>
      <c r="O850" s="14">
        <f t="shared" si="66"/>
        <v>33089.872369756173</v>
      </c>
      <c r="P850" s="14">
        <f t="shared" si="67"/>
        <v>1985392.3421853704</v>
      </c>
      <c r="Q850" s="14">
        <f t="shared" si="68"/>
        <v>406519.34218537039</v>
      </c>
      <c r="R850" s="11">
        <f t="shared" ca="1" si="69"/>
        <v>6</v>
      </c>
      <c r="S850" s="11" t="str">
        <f t="shared" si="70"/>
        <v>800-850</v>
      </c>
    </row>
    <row r="851" spans="1:19" x14ac:dyDescent="0.3">
      <c r="A851" s="11" t="s">
        <v>863</v>
      </c>
      <c r="B851" s="11" t="s">
        <v>1015</v>
      </c>
      <c r="C851" s="11">
        <v>56</v>
      </c>
      <c r="D851" s="11" t="s">
        <v>1034</v>
      </c>
      <c r="E851" s="11" t="s">
        <v>1036</v>
      </c>
      <c r="F851" s="12">
        <v>1115729</v>
      </c>
      <c r="G851" s="12">
        <v>1864579</v>
      </c>
      <c r="H851" s="11">
        <v>14.72</v>
      </c>
      <c r="I851" s="11">
        <v>84</v>
      </c>
      <c r="J851" s="11">
        <v>847</v>
      </c>
      <c r="K851" s="11" t="s">
        <v>1039</v>
      </c>
      <c r="L851" s="11" t="s">
        <v>1044</v>
      </c>
      <c r="M851" s="13">
        <v>44440</v>
      </c>
      <c r="N851" s="11" t="s">
        <v>1046</v>
      </c>
      <c r="O851" s="14">
        <f t="shared" si="66"/>
        <v>35688.037496973084</v>
      </c>
      <c r="P851" s="14">
        <f t="shared" si="67"/>
        <v>2997795.1497457391</v>
      </c>
      <c r="Q851" s="14">
        <f t="shared" si="68"/>
        <v>1133216.1497457391</v>
      </c>
      <c r="R851" s="11">
        <f t="shared" ca="1" si="69"/>
        <v>4</v>
      </c>
      <c r="S851" s="11" t="str">
        <f t="shared" si="70"/>
        <v>800-850</v>
      </c>
    </row>
    <row r="852" spans="1:19" x14ac:dyDescent="0.3">
      <c r="A852" s="11" t="s">
        <v>864</v>
      </c>
      <c r="B852" s="11" t="s">
        <v>1025</v>
      </c>
      <c r="C852" s="11">
        <v>45</v>
      </c>
      <c r="D852" s="11" t="s">
        <v>1035</v>
      </c>
      <c r="E852" s="11" t="s">
        <v>1038</v>
      </c>
      <c r="F852" s="12">
        <v>1452516</v>
      </c>
      <c r="G852" s="12">
        <v>629406</v>
      </c>
      <c r="H852" s="11">
        <v>8.9</v>
      </c>
      <c r="I852" s="11">
        <v>60</v>
      </c>
      <c r="J852" s="11">
        <v>845</v>
      </c>
      <c r="K852" s="11" t="s">
        <v>1042</v>
      </c>
      <c r="L852" s="11" t="s">
        <v>1044</v>
      </c>
      <c r="M852" s="13">
        <v>45411</v>
      </c>
      <c r="N852" s="11" t="s">
        <v>1048</v>
      </c>
      <c r="O852" s="14">
        <f t="shared" si="66"/>
        <v>13034.907448910881</v>
      </c>
      <c r="P852" s="14">
        <f t="shared" si="67"/>
        <v>782094.44693465286</v>
      </c>
      <c r="Q852" s="14">
        <f t="shared" si="68"/>
        <v>152688.44693465286</v>
      </c>
      <c r="R852" s="11">
        <f t="shared" ca="1" si="69"/>
        <v>1</v>
      </c>
      <c r="S852" s="11" t="str">
        <f t="shared" si="70"/>
        <v>800-850</v>
      </c>
    </row>
    <row r="853" spans="1:19" x14ac:dyDescent="0.3">
      <c r="A853" s="11" t="s">
        <v>865</v>
      </c>
      <c r="B853" s="11" t="s">
        <v>1027</v>
      </c>
      <c r="C853" s="11">
        <v>37</v>
      </c>
      <c r="D853" s="11" t="s">
        <v>1035</v>
      </c>
      <c r="E853" s="11" t="s">
        <v>1036</v>
      </c>
      <c r="F853" s="12">
        <v>1422598</v>
      </c>
      <c r="G853" s="12">
        <v>1657198</v>
      </c>
      <c r="H853" s="11">
        <v>9.89</v>
      </c>
      <c r="I853" s="11">
        <v>60</v>
      </c>
      <c r="J853" s="11">
        <v>683</v>
      </c>
      <c r="K853" s="11" t="s">
        <v>1039</v>
      </c>
      <c r="L853" s="11" t="s">
        <v>1044</v>
      </c>
      <c r="M853" s="13">
        <v>43570</v>
      </c>
      <c r="N853" s="11" t="s">
        <v>1048</v>
      </c>
      <c r="O853" s="14">
        <f t="shared" si="66"/>
        <v>35120.932091710521</v>
      </c>
      <c r="P853" s="14">
        <f t="shared" si="67"/>
        <v>2107255.9255026313</v>
      </c>
      <c r="Q853" s="14">
        <f t="shared" si="68"/>
        <v>450057.92550263135</v>
      </c>
      <c r="R853" s="11">
        <f t="shared" ca="1" si="69"/>
        <v>6</v>
      </c>
      <c r="S853" s="11" t="str">
        <f t="shared" si="70"/>
        <v>650-699</v>
      </c>
    </row>
    <row r="854" spans="1:19" x14ac:dyDescent="0.3">
      <c r="A854" s="11" t="s">
        <v>866</v>
      </c>
      <c r="B854" s="11" t="s">
        <v>1020</v>
      </c>
      <c r="C854" s="11">
        <v>43</v>
      </c>
      <c r="D854" s="11" t="s">
        <v>1034</v>
      </c>
      <c r="E854" s="11" t="s">
        <v>1036</v>
      </c>
      <c r="F854" s="12">
        <v>793896</v>
      </c>
      <c r="G854" s="12">
        <v>1194101</v>
      </c>
      <c r="H854" s="11">
        <v>12.36</v>
      </c>
      <c r="I854" s="11">
        <v>120</v>
      </c>
      <c r="J854" s="11">
        <v>762</v>
      </c>
      <c r="K854" s="11" t="s">
        <v>1039</v>
      </c>
      <c r="L854" s="11" t="s">
        <v>1044</v>
      </c>
      <c r="M854" s="13">
        <v>44698</v>
      </c>
      <c r="N854" s="11" t="s">
        <v>1048</v>
      </c>
      <c r="O854" s="14">
        <f t="shared" si="66"/>
        <v>17381.302221388931</v>
      </c>
      <c r="P854" s="14">
        <f t="shared" si="67"/>
        <v>2085756.2665666717</v>
      </c>
      <c r="Q854" s="14">
        <f t="shared" si="68"/>
        <v>891655.26656667166</v>
      </c>
      <c r="R854" s="11">
        <f t="shared" ca="1" si="69"/>
        <v>3</v>
      </c>
      <c r="S854" s="11" t="str">
        <f t="shared" si="70"/>
        <v>750-799</v>
      </c>
    </row>
    <row r="855" spans="1:19" x14ac:dyDescent="0.3">
      <c r="A855" s="11" t="s">
        <v>867</v>
      </c>
      <c r="B855" s="11" t="s">
        <v>1016</v>
      </c>
      <c r="C855" s="11">
        <v>34</v>
      </c>
      <c r="D855" s="11" t="s">
        <v>1035</v>
      </c>
      <c r="E855" s="11" t="s">
        <v>1036</v>
      </c>
      <c r="F855" s="12">
        <v>421405</v>
      </c>
      <c r="G855" s="12">
        <v>802188</v>
      </c>
      <c r="H855" s="11">
        <v>14.97</v>
      </c>
      <c r="I855" s="11">
        <v>96</v>
      </c>
      <c r="J855" s="11">
        <v>721</v>
      </c>
      <c r="K855" s="11" t="s">
        <v>1040</v>
      </c>
      <c r="L855" s="11" t="s">
        <v>1044</v>
      </c>
      <c r="M855" s="13">
        <v>45302</v>
      </c>
      <c r="N855" s="11" t="s">
        <v>1048</v>
      </c>
      <c r="O855" s="14">
        <f t="shared" si="66"/>
        <v>14381.666070700549</v>
      </c>
      <c r="P855" s="14">
        <f t="shared" si="67"/>
        <v>1380639.9427872526</v>
      </c>
      <c r="Q855" s="14">
        <f t="shared" si="68"/>
        <v>578451.9427872526</v>
      </c>
      <c r="R855" s="11">
        <f t="shared" ca="1" si="69"/>
        <v>1</v>
      </c>
      <c r="S855" s="11" t="str">
        <f t="shared" si="70"/>
        <v>700-749</v>
      </c>
    </row>
    <row r="856" spans="1:19" x14ac:dyDescent="0.3">
      <c r="A856" s="11" t="s">
        <v>868</v>
      </c>
      <c r="B856" s="11" t="s">
        <v>1025</v>
      </c>
      <c r="C856" s="11">
        <v>43</v>
      </c>
      <c r="D856" s="11" t="s">
        <v>1034</v>
      </c>
      <c r="E856" s="11" t="s">
        <v>1038</v>
      </c>
      <c r="F856" s="12">
        <v>1354811</v>
      </c>
      <c r="G856" s="12">
        <v>649509</v>
      </c>
      <c r="H856" s="11">
        <v>10.039999999999999</v>
      </c>
      <c r="I856" s="11">
        <v>96</v>
      </c>
      <c r="J856" s="11">
        <v>712</v>
      </c>
      <c r="K856" s="11" t="s">
        <v>1041</v>
      </c>
      <c r="L856" s="11" t="s">
        <v>1044</v>
      </c>
      <c r="M856" s="13">
        <v>43359</v>
      </c>
      <c r="N856" s="11" t="s">
        <v>1048</v>
      </c>
      <c r="O856" s="14">
        <f t="shared" si="66"/>
        <v>9869.5086123550282</v>
      </c>
      <c r="P856" s="14">
        <f t="shared" si="67"/>
        <v>947472.8267860827</v>
      </c>
      <c r="Q856" s="14">
        <f t="shared" si="68"/>
        <v>297963.8267860827</v>
      </c>
      <c r="R856" s="11">
        <f t="shared" ca="1" si="69"/>
        <v>7</v>
      </c>
      <c r="S856" s="11" t="str">
        <f t="shared" si="70"/>
        <v>700-749</v>
      </c>
    </row>
    <row r="857" spans="1:19" x14ac:dyDescent="0.3">
      <c r="A857" s="11" t="s">
        <v>869</v>
      </c>
      <c r="B857" s="11" t="s">
        <v>1015</v>
      </c>
      <c r="C857" s="11">
        <v>56</v>
      </c>
      <c r="D857" s="11" t="s">
        <v>1034</v>
      </c>
      <c r="E857" s="11" t="s">
        <v>1037</v>
      </c>
      <c r="F857" s="12">
        <v>738111</v>
      </c>
      <c r="G857" s="12">
        <v>1917726</v>
      </c>
      <c r="H857" s="11">
        <v>7.92</v>
      </c>
      <c r="I857" s="11">
        <v>36</v>
      </c>
      <c r="J857" s="11">
        <v>754</v>
      </c>
      <c r="K857" s="11" t="s">
        <v>1039</v>
      </c>
      <c r="L857" s="11" t="s">
        <v>1043</v>
      </c>
      <c r="M857" s="13">
        <v>44784</v>
      </c>
      <c r="N857" s="11" t="s">
        <v>1046</v>
      </c>
      <c r="O857" s="14">
        <f t="shared" si="66"/>
        <v>60023.813159593243</v>
      </c>
      <c r="P857" s="14">
        <f t="shared" si="67"/>
        <v>2160857.2737453566</v>
      </c>
      <c r="Q857" s="14">
        <f t="shared" si="68"/>
        <v>243131.27374535659</v>
      </c>
      <c r="R857" s="11">
        <f t="shared" ca="1" si="69"/>
        <v>3</v>
      </c>
      <c r="S857" s="11" t="str">
        <f t="shared" si="70"/>
        <v>750-799</v>
      </c>
    </row>
    <row r="858" spans="1:19" x14ac:dyDescent="0.3">
      <c r="A858" s="11" t="s">
        <v>870</v>
      </c>
      <c r="B858" s="11" t="s">
        <v>1031</v>
      </c>
      <c r="C858" s="11">
        <v>54</v>
      </c>
      <c r="D858" s="11" t="s">
        <v>1034</v>
      </c>
      <c r="E858" s="11" t="s">
        <v>1037</v>
      </c>
      <c r="F858" s="12">
        <v>1110484</v>
      </c>
      <c r="G858" s="12">
        <v>1739554</v>
      </c>
      <c r="H858" s="11">
        <v>7.71</v>
      </c>
      <c r="I858" s="11">
        <v>48</v>
      </c>
      <c r="J858" s="11">
        <v>671</v>
      </c>
      <c r="K858" s="11" t="s">
        <v>1042</v>
      </c>
      <c r="L858" s="11" t="s">
        <v>1044</v>
      </c>
      <c r="M858" s="13">
        <v>45188</v>
      </c>
      <c r="N858" s="11" t="s">
        <v>1046</v>
      </c>
      <c r="O858" s="14">
        <f t="shared" si="66"/>
        <v>42231.195287471397</v>
      </c>
      <c r="P858" s="14">
        <f t="shared" si="67"/>
        <v>2027097.3737986269</v>
      </c>
      <c r="Q858" s="14">
        <f t="shared" si="68"/>
        <v>287543.37379862694</v>
      </c>
      <c r="R858" s="11">
        <f t="shared" ca="1" si="69"/>
        <v>2</v>
      </c>
      <c r="S858" s="11" t="str">
        <f t="shared" si="70"/>
        <v>650-699</v>
      </c>
    </row>
    <row r="859" spans="1:19" x14ac:dyDescent="0.3">
      <c r="A859" s="11" t="s">
        <v>871</v>
      </c>
      <c r="B859" s="11" t="s">
        <v>1022</v>
      </c>
      <c r="C859" s="11">
        <v>39</v>
      </c>
      <c r="D859" s="11" t="s">
        <v>1035</v>
      </c>
      <c r="E859" s="11" t="s">
        <v>1036</v>
      </c>
      <c r="F859" s="12">
        <v>1405253</v>
      </c>
      <c r="G859" s="12">
        <v>925519</v>
      </c>
      <c r="H859" s="11">
        <v>10.83</v>
      </c>
      <c r="I859" s="11">
        <v>72</v>
      </c>
      <c r="J859" s="11">
        <v>739</v>
      </c>
      <c r="K859" s="11" t="s">
        <v>1039</v>
      </c>
      <c r="L859" s="11" t="s">
        <v>1044</v>
      </c>
      <c r="M859" s="13">
        <v>43247</v>
      </c>
      <c r="N859" s="11" t="s">
        <v>1046</v>
      </c>
      <c r="O859" s="14">
        <f t="shared" si="66"/>
        <v>17535.920168347679</v>
      </c>
      <c r="P859" s="14">
        <f t="shared" si="67"/>
        <v>1262586.2521210329</v>
      </c>
      <c r="Q859" s="14">
        <f t="shared" si="68"/>
        <v>337067.25212103291</v>
      </c>
      <c r="R859" s="11">
        <f t="shared" ca="1" si="69"/>
        <v>7</v>
      </c>
      <c r="S859" s="11" t="str">
        <f t="shared" si="70"/>
        <v>700-749</v>
      </c>
    </row>
    <row r="860" spans="1:19" x14ac:dyDescent="0.3">
      <c r="A860" s="11" t="s">
        <v>872</v>
      </c>
      <c r="B860" s="11" t="s">
        <v>1027</v>
      </c>
      <c r="C860" s="11">
        <v>25</v>
      </c>
      <c r="D860" s="11" t="s">
        <v>1035</v>
      </c>
      <c r="E860" s="11" t="s">
        <v>1036</v>
      </c>
      <c r="F860" s="12">
        <v>1401551</v>
      </c>
      <c r="G860" s="12">
        <v>385006</v>
      </c>
      <c r="H860" s="11">
        <v>11.02</v>
      </c>
      <c r="I860" s="11">
        <v>72</v>
      </c>
      <c r="J860" s="11">
        <v>835</v>
      </c>
      <c r="K860" s="11" t="s">
        <v>1040</v>
      </c>
      <c r="L860" s="11" t="s">
        <v>1044</v>
      </c>
      <c r="M860" s="13">
        <v>44328</v>
      </c>
      <c r="N860" s="11" t="s">
        <v>1045</v>
      </c>
      <c r="O860" s="14">
        <f t="shared" si="66"/>
        <v>7332.1791438629461</v>
      </c>
      <c r="P860" s="14">
        <f t="shared" si="67"/>
        <v>527916.89835813211</v>
      </c>
      <c r="Q860" s="14">
        <f t="shared" si="68"/>
        <v>142910.89835813211</v>
      </c>
      <c r="R860" s="11">
        <f t="shared" ca="1" si="69"/>
        <v>4</v>
      </c>
      <c r="S860" s="11" t="str">
        <f t="shared" si="70"/>
        <v>800-850</v>
      </c>
    </row>
    <row r="861" spans="1:19" x14ac:dyDescent="0.3">
      <c r="A861" s="11" t="s">
        <v>873</v>
      </c>
      <c r="B861" s="11" t="s">
        <v>1026</v>
      </c>
      <c r="C861" s="11">
        <v>41</v>
      </c>
      <c r="D861" s="11" t="s">
        <v>1035</v>
      </c>
      <c r="E861" s="11" t="s">
        <v>1036</v>
      </c>
      <c r="F861" s="12">
        <v>399243</v>
      </c>
      <c r="G861" s="12">
        <v>1696415</v>
      </c>
      <c r="H861" s="11">
        <v>14.21</v>
      </c>
      <c r="I861" s="11">
        <v>60</v>
      </c>
      <c r="J861" s="11">
        <v>746</v>
      </c>
      <c r="K861" s="11" t="s">
        <v>1041</v>
      </c>
      <c r="L861" s="11" t="s">
        <v>1044</v>
      </c>
      <c r="M861" s="13">
        <v>44244</v>
      </c>
      <c r="N861" s="11" t="s">
        <v>1045</v>
      </c>
      <c r="O861" s="14">
        <f t="shared" si="66"/>
        <v>39657.544618683627</v>
      </c>
      <c r="P861" s="14">
        <f t="shared" si="67"/>
        <v>2379452.6771210176</v>
      </c>
      <c r="Q861" s="14">
        <f t="shared" si="68"/>
        <v>683037.67712101759</v>
      </c>
      <c r="R861" s="11">
        <f t="shared" ca="1" si="69"/>
        <v>4</v>
      </c>
      <c r="S861" s="11" t="str">
        <f t="shared" si="70"/>
        <v>700-749</v>
      </c>
    </row>
    <row r="862" spans="1:19" x14ac:dyDescent="0.3">
      <c r="A862" s="11" t="s">
        <v>874</v>
      </c>
      <c r="B862" s="11" t="s">
        <v>1020</v>
      </c>
      <c r="C862" s="11">
        <v>38</v>
      </c>
      <c r="D862" s="11" t="s">
        <v>1034</v>
      </c>
      <c r="E862" s="11" t="s">
        <v>1038</v>
      </c>
      <c r="F862" s="12">
        <v>393407</v>
      </c>
      <c r="G862" s="12">
        <v>728169</v>
      </c>
      <c r="H862" s="11">
        <v>13.48</v>
      </c>
      <c r="I862" s="11">
        <v>96</v>
      </c>
      <c r="J862" s="11">
        <v>719</v>
      </c>
      <c r="K862" s="11" t="s">
        <v>1041</v>
      </c>
      <c r="L862" s="11" t="s">
        <v>1044</v>
      </c>
      <c r="M862" s="13">
        <v>45135</v>
      </c>
      <c r="N862" s="11" t="s">
        <v>1046</v>
      </c>
      <c r="O862" s="14">
        <f t="shared" si="66"/>
        <v>12434.852143846081</v>
      </c>
      <c r="P862" s="14">
        <f t="shared" si="67"/>
        <v>1193745.8058092238</v>
      </c>
      <c r="Q862" s="14">
        <f t="shared" si="68"/>
        <v>465576.80580922379</v>
      </c>
      <c r="R862" s="11">
        <f t="shared" ca="1" si="69"/>
        <v>2</v>
      </c>
      <c r="S862" s="11" t="str">
        <f t="shared" si="70"/>
        <v>700-749</v>
      </c>
    </row>
    <row r="863" spans="1:19" x14ac:dyDescent="0.3">
      <c r="A863" s="11" t="s">
        <v>875</v>
      </c>
      <c r="B863" s="11" t="s">
        <v>1028</v>
      </c>
      <c r="C863" s="11">
        <v>57</v>
      </c>
      <c r="D863" s="11" t="s">
        <v>1035</v>
      </c>
      <c r="E863" s="11" t="s">
        <v>1036</v>
      </c>
      <c r="F863" s="12">
        <v>596502</v>
      </c>
      <c r="G863" s="12">
        <v>1376803</v>
      </c>
      <c r="H863" s="11">
        <v>8.42</v>
      </c>
      <c r="I863" s="11">
        <v>48</v>
      </c>
      <c r="J863" s="11">
        <v>671</v>
      </c>
      <c r="K863" s="11" t="s">
        <v>1040</v>
      </c>
      <c r="L863" s="11" t="s">
        <v>1043</v>
      </c>
      <c r="M863" s="13">
        <v>45361</v>
      </c>
      <c r="N863" s="11" t="s">
        <v>1046</v>
      </c>
      <c r="O863" s="14">
        <f t="shared" si="66"/>
        <v>33883.880544062893</v>
      </c>
      <c r="P863" s="14">
        <f t="shared" si="67"/>
        <v>1626426.2661150189</v>
      </c>
      <c r="Q863" s="14">
        <f t="shared" si="68"/>
        <v>249623.26611501887</v>
      </c>
      <c r="R863" s="11">
        <f t="shared" ca="1" si="69"/>
        <v>1</v>
      </c>
      <c r="S863" s="11" t="str">
        <f t="shared" si="70"/>
        <v>650-699</v>
      </c>
    </row>
    <row r="864" spans="1:19" x14ac:dyDescent="0.3">
      <c r="A864" s="11" t="s">
        <v>876</v>
      </c>
      <c r="B864" s="11" t="s">
        <v>1020</v>
      </c>
      <c r="C864" s="11">
        <v>41</v>
      </c>
      <c r="D864" s="11" t="s">
        <v>1035</v>
      </c>
      <c r="E864" s="11" t="s">
        <v>1037</v>
      </c>
      <c r="F864" s="12">
        <v>1213565</v>
      </c>
      <c r="G864" s="12">
        <v>488284</v>
      </c>
      <c r="H864" s="11">
        <v>14.98</v>
      </c>
      <c r="I864" s="11">
        <v>84</v>
      </c>
      <c r="J864" s="11">
        <v>732</v>
      </c>
      <c r="K864" s="11" t="s">
        <v>1040</v>
      </c>
      <c r="L864" s="11" t="s">
        <v>1044</v>
      </c>
      <c r="M864" s="13">
        <v>44001</v>
      </c>
      <c r="N864" s="11" t="s">
        <v>1045</v>
      </c>
      <c r="O864" s="14">
        <f t="shared" si="66"/>
        <v>9416.8184095501365</v>
      </c>
      <c r="P864" s="14">
        <f t="shared" si="67"/>
        <v>791012.74640221149</v>
      </c>
      <c r="Q864" s="14">
        <f t="shared" si="68"/>
        <v>302728.74640221149</v>
      </c>
      <c r="R864" s="11">
        <f t="shared" ca="1" si="69"/>
        <v>5</v>
      </c>
      <c r="S864" s="11" t="str">
        <f t="shared" si="70"/>
        <v>700-749</v>
      </c>
    </row>
    <row r="865" spans="1:19" x14ac:dyDescent="0.3">
      <c r="A865" s="11" t="s">
        <v>877</v>
      </c>
      <c r="B865" s="11" t="s">
        <v>1022</v>
      </c>
      <c r="C865" s="11">
        <v>47</v>
      </c>
      <c r="D865" s="11" t="s">
        <v>1035</v>
      </c>
      <c r="E865" s="11" t="s">
        <v>1038</v>
      </c>
      <c r="F865" s="12">
        <v>1013214</v>
      </c>
      <c r="G865" s="12">
        <v>1154026</v>
      </c>
      <c r="H865" s="11">
        <v>10.08</v>
      </c>
      <c r="I865" s="11">
        <v>36</v>
      </c>
      <c r="J865" s="11">
        <v>838</v>
      </c>
      <c r="K865" s="11" t="s">
        <v>1039</v>
      </c>
      <c r="L865" s="11" t="s">
        <v>1044</v>
      </c>
      <c r="M865" s="13">
        <v>44517</v>
      </c>
      <c r="N865" s="11" t="s">
        <v>1047</v>
      </c>
      <c r="O865" s="14">
        <f t="shared" si="66"/>
        <v>37280.532705569545</v>
      </c>
      <c r="P865" s="14">
        <f t="shared" si="67"/>
        <v>1342099.1774005035</v>
      </c>
      <c r="Q865" s="14">
        <f t="shared" si="68"/>
        <v>188073.17740050354</v>
      </c>
      <c r="R865" s="11">
        <f t="shared" ca="1" si="69"/>
        <v>4</v>
      </c>
      <c r="S865" s="11" t="str">
        <f t="shared" si="70"/>
        <v>800-850</v>
      </c>
    </row>
    <row r="866" spans="1:19" x14ac:dyDescent="0.3">
      <c r="A866" s="11" t="s">
        <v>878</v>
      </c>
      <c r="B866" s="11" t="s">
        <v>1030</v>
      </c>
      <c r="C866" s="11">
        <v>32</v>
      </c>
      <c r="D866" s="11" t="s">
        <v>1034</v>
      </c>
      <c r="E866" s="11" t="s">
        <v>1036</v>
      </c>
      <c r="F866" s="12">
        <v>1873484</v>
      </c>
      <c r="G866" s="12">
        <v>417095</v>
      </c>
      <c r="H866" s="11">
        <v>9.1</v>
      </c>
      <c r="I866" s="11">
        <v>72</v>
      </c>
      <c r="J866" s="11">
        <v>618</v>
      </c>
      <c r="K866" s="11" t="s">
        <v>1042</v>
      </c>
      <c r="L866" s="11" t="s">
        <v>1043</v>
      </c>
      <c r="M866" s="13">
        <v>45318</v>
      </c>
      <c r="N866" s="11" t="s">
        <v>1047</v>
      </c>
      <c r="O866" s="14">
        <f t="shared" si="66"/>
        <v>7539.0789033528699</v>
      </c>
      <c r="P866" s="14">
        <f t="shared" si="67"/>
        <v>542813.68104140658</v>
      </c>
      <c r="Q866" s="14">
        <f t="shared" si="68"/>
        <v>125718.68104140658</v>
      </c>
      <c r="R866" s="11">
        <f t="shared" ca="1" si="69"/>
        <v>1</v>
      </c>
      <c r="S866" s="11" t="str">
        <f t="shared" si="70"/>
        <v>600-649</v>
      </c>
    </row>
    <row r="867" spans="1:19" x14ac:dyDescent="0.3">
      <c r="A867" s="11" t="s">
        <v>879</v>
      </c>
      <c r="B867" s="11" t="s">
        <v>1023</v>
      </c>
      <c r="C867" s="11">
        <v>42</v>
      </c>
      <c r="D867" s="11" t="s">
        <v>1035</v>
      </c>
      <c r="E867" s="11" t="s">
        <v>1038</v>
      </c>
      <c r="F867" s="12">
        <v>761501</v>
      </c>
      <c r="G867" s="12">
        <v>940378</v>
      </c>
      <c r="H867" s="11">
        <v>10.14</v>
      </c>
      <c r="I867" s="11">
        <v>72</v>
      </c>
      <c r="J867" s="11">
        <v>720</v>
      </c>
      <c r="K867" s="11" t="s">
        <v>1040</v>
      </c>
      <c r="L867" s="11" t="s">
        <v>1044</v>
      </c>
      <c r="M867" s="13">
        <v>45162</v>
      </c>
      <c r="N867" s="11" t="s">
        <v>1045</v>
      </c>
      <c r="O867" s="14">
        <f t="shared" si="66"/>
        <v>17487.753614656045</v>
      </c>
      <c r="P867" s="14">
        <f t="shared" si="67"/>
        <v>1259118.2602552352</v>
      </c>
      <c r="Q867" s="14">
        <f t="shared" si="68"/>
        <v>318740.26025523525</v>
      </c>
      <c r="R867" s="11">
        <f t="shared" ca="1" si="69"/>
        <v>2</v>
      </c>
      <c r="S867" s="11" t="str">
        <f t="shared" si="70"/>
        <v>700-749</v>
      </c>
    </row>
    <row r="868" spans="1:19" x14ac:dyDescent="0.3">
      <c r="A868" s="11" t="s">
        <v>880</v>
      </c>
      <c r="B868" s="11" t="s">
        <v>1019</v>
      </c>
      <c r="C868" s="11">
        <v>44</v>
      </c>
      <c r="D868" s="11" t="s">
        <v>1035</v>
      </c>
      <c r="E868" s="11" t="s">
        <v>1037</v>
      </c>
      <c r="F868" s="12">
        <v>918931</v>
      </c>
      <c r="G868" s="12">
        <v>283244</v>
      </c>
      <c r="H868" s="11">
        <v>11.11</v>
      </c>
      <c r="I868" s="11">
        <v>84</v>
      </c>
      <c r="J868" s="11">
        <v>745</v>
      </c>
      <c r="K868" s="11" t="s">
        <v>1041</v>
      </c>
      <c r="L868" s="11" t="s">
        <v>1044</v>
      </c>
      <c r="M868" s="13">
        <v>43141</v>
      </c>
      <c r="N868" s="11" t="s">
        <v>1047</v>
      </c>
      <c r="O868" s="14">
        <f t="shared" si="66"/>
        <v>4866.2248982080782</v>
      </c>
      <c r="P868" s="14">
        <f t="shared" si="67"/>
        <v>408762.89144947857</v>
      </c>
      <c r="Q868" s="14">
        <f t="shared" si="68"/>
        <v>125518.89144947857</v>
      </c>
      <c r="R868" s="11">
        <f t="shared" ca="1" si="69"/>
        <v>7</v>
      </c>
      <c r="S868" s="11" t="str">
        <f t="shared" si="70"/>
        <v>700-749</v>
      </c>
    </row>
    <row r="869" spans="1:19" x14ac:dyDescent="0.3">
      <c r="A869" s="11" t="s">
        <v>881</v>
      </c>
      <c r="B869" s="11" t="s">
        <v>1018</v>
      </c>
      <c r="C869" s="11">
        <v>41</v>
      </c>
      <c r="D869" s="11" t="s">
        <v>1034</v>
      </c>
      <c r="E869" s="11" t="s">
        <v>1038</v>
      </c>
      <c r="F869" s="12">
        <v>596068</v>
      </c>
      <c r="G869" s="12">
        <v>857772</v>
      </c>
      <c r="H869" s="11">
        <v>10.82</v>
      </c>
      <c r="I869" s="11">
        <v>96</v>
      </c>
      <c r="J869" s="11">
        <v>847</v>
      </c>
      <c r="K869" s="11" t="s">
        <v>1041</v>
      </c>
      <c r="L869" s="11" t="s">
        <v>1043</v>
      </c>
      <c r="M869" s="13">
        <v>45385</v>
      </c>
      <c r="N869" s="11" t="s">
        <v>1047</v>
      </c>
      <c r="O869" s="14">
        <f t="shared" si="66"/>
        <v>13391.111701126345</v>
      </c>
      <c r="P869" s="14">
        <f t="shared" si="67"/>
        <v>1285546.7233081292</v>
      </c>
      <c r="Q869" s="14">
        <f t="shared" si="68"/>
        <v>427774.72330812924</v>
      </c>
      <c r="R869" s="11">
        <f t="shared" ca="1" si="69"/>
        <v>1</v>
      </c>
      <c r="S869" s="11" t="str">
        <f t="shared" si="70"/>
        <v>800-850</v>
      </c>
    </row>
    <row r="870" spans="1:19" x14ac:dyDescent="0.3">
      <c r="A870" s="11" t="s">
        <v>882</v>
      </c>
      <c r="B870" s="11" t="s">
        <v>1014</v>
      </c>
      <c r="C870" s="11">
        <v>59</v>
      </c>
      <c r="D870" s="11" t="s">
        <v>1034</v>
      </c>
      <c r="E870" s="11" t="s">
        <v>1037</v>
      </c>
      <c r="F870" s="12">
        <v>314997</v>
      </c>
      <c r="G870" s="12">
        <v>320785</v>
      </c>
      <c r="H870" s="11">
        <v>12.94</v>
      </c>
      <c r="I870" s="11">
        <v>96</v>
      </c>
      <c r="J870" s="11">
        <v>609</v>
      </c>
      <c r="K870" s="11" t="s">
        <v>1041</v>
      </c>
      <c r="L870" s="11" t="s">
        <v>1043</v>
      </c>
      <c r="M870" s="13">
        <v>43927</v>
      </c>
      <c r="N870" s="11" t="s">
        <v>1047</v>
      </c>
      <c r="O870" s="14">
        <f t="shared" si="66"/>
        <v>5380.7549737638656</v>
      </c>
      <c r="P870" s="14">
        <f t="shared" si="67"/>
        <v>516552.47748133109</v>
      </c>
      <c r="Q870" s="14">
        <f t="shared" si="68"/>
        <v>195767.47748133109</v>
      </c>
      <c r="R870" s="11">
        <f t="shared" ca="1" si="69"/>
        <v>5</v>
      </c>
      <c r="S870" s="11" t="str">
        <f t="shared" si="70"/>
        <v>600-649</v>
      </c>
    </row>
    <row r="871" spans="1:19" x14ac:dyDescent="0.3">
      <c r="A871" s="11" t="s">
        <v>883</v>
      </c>
      <c r="B871" s="11" t="s">
        <v>1026</v>
      </c>
      <c r="C871" s="11">
        <v>31</v>
      </c>
      <c r="D871" s="11" t="s">
        <v>1034</v>
      </c>
      <c r="E871" s="11" t="s">
        <v>1036</v>
      </c>
      <c r="F871" s="12">
        <v>435580</v>
      </c>
      <c r="G871" s="12">
        <v>551825</v>
      </c>
      <c r="H871" s="11">
        <v>7.88</v>
      </c>
      <c r="I871" s="11">
        <v>120</v>
      </c>
      <c r="J871" s="11">
        <v>774</v>
      </c>
      <c r="K871" s="11" t="s">
        <v>1039</v>
      </c>
      <c r="L871" s="11" t="s">
        <v>1043</v>
      </c>
      <c r="M871" s="13">
        <v>43324</v>
      </c>
      <c r="N871" s="11" t="s">
        <v>1048</v>
      </c>
      <c r="O871" s="14">
        <f t="shared" si="66"/>
        <v>6660.2211062173456</v>
      </c>
      <c r="P871" s="14">
        <f t="shared" si="67"/>
        <v>799226.53274608147</v>
      </c>
      <c r="Q871" s="14">
        <f t="shared" si="68"/>
        <v>247401.53274608147</v>
      </c>
      <c r="R871" s="11">
        <f t="shared" ca="1" si="69"/>
        <v>7</v>
      </c>
      <c r="S871" s="11" t="str">
        <f t="shared" si="70"/>
        <v>750-799</v>
      </c>
    </row>
    <row r="872" spans="1:19" x14ac:dyDescent="0.3">
      <c r="A872" s="11" t="s">
        <v>884</v>
      </c>
      <c r="B872" s="11" t="s">
        <v>1027</v>
      </c>
      <c r="C872" s="11">
        <v>51</v>
      </c>
      <c r="D872" s="11" t="s">
        <v>1034</v>
      </c>
      <c r="E872" s="11" t="s">
        <v>1038</v>
      </c>
      <c r="F872" s="12">
        <v>605888</v>
      </c>
      <c r="G872" s="12">
        <v>1284548</v>
      </c>
      <c r="H872" s="11">
        <v>9.8000000000000007</v>
      </c>
      <c r="I872" s="11">
        <v>48</v>
      </c>
      <c r="J872" s="11">
        <v>613</v>
      </c>
      <c r="K872" s="11" t="s">
        <v>1040</v>
      </c>
      <c r="L872" s="11" t="s">
        <v>1044</v>
      </c>
      <c r="M872" s="13">
        <v>43977</v>
      </c>
      <c r="N872" s="11" t="s">
        <v>1048</v>
      </c>
      <c r="O872" s="14">
        <f t="shared" si="66"/>
        <v>32456.215240990718</v>
      </c>
      <c r="P872" s="14">
        <f t="shared" si="67"/>
        <v>1557898.3315675545</v>
      </c>
      <c r="Q872" s="14">
        <f t="shared" si="68"/>
        <v>273350.3315675545</v>
      </c>
      <c r="R872" s="11">
        <f t="shared" ca="1" si="69"/>
        <v>5</v>
      </c>
      <c r="S872" s="11" t="str">
        <f t="shared" si="70"/>
        <v>600-649</v>
      </c>
    </row>
    <row r="873" spans="1:19" x14ac:dyDescent="0.3">
      <c r="A873" s="11" t="s">
        <v>885</v>
      </c>
      <c r="B873" s="11" t="s">
        <v>1028</v>
      </c>
      <c r="C873" s="11">
        <v>48</v>
      </c>
      <c r="D873" s="11" t="s">
        <v>1035</v>
      </c>
      <c r="E873" s="11" t="s">
        <v>1038</v>
      </c>
      <c r="F873" s="12">
        <v>1518485</v>
      </c>
      <c r="G873" s="12">
        <v>1831293</v>
      </c>
      <c r="H873" s="11">
        <v>11.39</v>
      </c>
      <c r="I873" s="11">
        <v>60</v>
      </c>
      <c r="J873" s="11">
        <v>639</v>
      </c>
      <c r="K873" s="11" t="s">
        <v>1040</v>
      </c>
      <c r="L873" s="11" t="s">
        <v>1044</v>
      </c>
      <c r="M873" s="13">
        <v>44088</v>
      </c>
      <c r="N873" s="11" t="s">
        <v>1047</v>
      </c>
      <c r="O873" s="14">
        <f t="shared" si="66"/>
        <v>40173.852006823297</v>
      </c>
      <c r="P873" s="14">
        <f t="shared" si="67"/>
        <v>2410431.1204093979</v>
      </c>
      <c r="Q873" s="14">
        <f t="shared" si="68"/>
        <v>579138.12040939787</v>
      </c>
      <c r="R873" s="11">
        <f t="shared" ca="1" si="69"/>
        <v>5</v>
      </c>
      <c r="S873" s="11" t="str">
        <f t="shared" si="70"/>
        <v>600-649</v>
      </c>
    </row>
    <row r="874" spans="1:19" x14ac:dyDescent="0.3">
      <c r="A874" s="11" t="s">
        <v>886</v>
      </c>
      <c r="B874" s="11" t="s">
        <v>1018</v>
      </c>
      <c r="C874" s="11">
        <v>57</v>
      </c>
      <c r="D874" s="11" t="s">
        <v>1035</v>
      </c>
      <c r="E874" s="11" t="s">
        <v>1036</v>
      </c>
      <c r="F874" s="12">
        <v>1389748</v>
      </c>
      <c r="G874" s="12">
        <v>340764</v>
      </c>
      <c r="H874" s="11">
        <v>13.22</v>
      </c>
      <c r="I874" s="11">
        <v>84</v>
      </c>
      <c r="J874" s="11">
        <v>850</v>
      </c>
      <c r="K874" s="11" t="s">
        <v>1041</v>
      </c>
      <c r="L874" s="11" t="s">
        <v>1044</v>
      </c>
      <c r="M874" s="13">
        <v>44095</v>
      </c>
      <c r="N874" s="11" t="s">
        <v>1046</v>
      </c>
      <c r="O874" s="14">
        <f t="shared" si="66"/>
        <v>6239.9959438064907</v>
      </c>
      <c r="P874" s="14">
        <f t="shared" si="67"/>
        <v>524159.65927974519</v>
      </c>
      <c r="Q874" s="14">
        <f t="shared" si="68"/>
        <v>183395.65927974519</v>
      </c>
      <c r="R874" s="11">
        <f t="shared" ca="1" si="69"/>
        <v>5</v>
      </c>
      <c r="S874" s="11" t="str">
        <f t="shared" si="70"/>
        <v>800-850</v>
      </c>
    </row>
    <row r="875" spans="1:19" x14ac:dyDescent="0.3">
      <c r="A875" s="11" t="s">
        <v>887</v>
      </c>
      <c r="B875" s="11" t="s">
        <v>1022</v>
      </c>
      <c r="C875" s="11">
        <v>45</v>
      </c>
      <c r="D875" s="11" t="s">
        <v>1035</v>
      </c>
      <c r="E875" s="11" t="s">
        <v>1036</v>
      </c>
      <c r="F875" s="12">
        <v>577883</v>
      </c>
      <c r="G875" s="12">
        <v>1803810</v>
      </c>
      <c r="H875" s="11">
        <v>10.220000000000001</v>
      </c>
      <c r="I875" s="11">
        <v>60</v>
      </c>
      <c r="J875" s="11">
        <v>768</v>
      </c>
      <c r="K875" s="11" t="s">
        <v>1040</v>
      </c>
      <c r="L875" s="11" t="s">
        <v>1044</v>
      </c>
      <c r="M875" s="13">
        <v>44658</v>
      </c>
      <c r="N875" s="11" t="s">
        <v>1046</v>
      </c>
      <c r="O875" s="14">
        <f t="shared" si="66"/>
        <v>38521.1841621774</v>
      </c>
      <c r="P875" s="14">
        <f t="shared" si="67"/>
        <v>2311271.0497306441</v>
      </c>
      <c r="Q875" s="14">
        <f t="shared" si="68"/>
        <v>507461.0497306441</v>
      </c>
      <c r="R875" s="11">
        <f t="shared" ca="1" si="69"/>
        <v>3</v>
      </c>
      <c r="S875" s="11" t="str">
        <f t="shared" si="70"/>
        <v>750-799</v>
      </c>
    </row>
    <row r="876" spans="1:19" x14ac:dyDescent="0.3">
      <c r="A876" s="11" t="s">
        <v>888</v>
      </c>
      <c r="B876" s="11" t="s">
        <v>1020</v>
      </c>
      <c r="C876" s="11">
        <v>28</v>
      </c>
      <c r="D876" s="11" t="s">
        <v>1035</v>
      </c>
      <c r="E876" s="11" t="s">
        <v>1037</v>
      </c>
      <c r="F876" s="12">
        <v>793795</v>
      </c>
      <c r="G876" s="12">
        <v>1476828</v>
      </c>
      <c r="H876" s="11">
        <v>11.76</v>
      </c>
      <c r="I876" s="11">
        <v>96</v>
      </c>
      <c r="J876" s="11">
        <v>654</v>
      </c>
      <c r="K876" s="11" t="s">
        <v>1040</v>
      </c>
      <c r="L876" s="11" t="s">
        <v>1043</v>
      </c>
      <c r="M876" s="13">
        <v>44203</v>
      </c>
      <c r="N876" s="11" t="s">
        <v>1048</v>
      </c>
      <c r="O876" s="14">
        <f t="shared" si="66"/>
        <v>23808.333752034538</v>
      </c>
      <c r="P876" s="14">
        <f t="shared" si="67"/>
        <v>2285600.0401953156</v>
      </c>
      <c r="Q876" s="14">
        <f t="shared" si="68"/>
        <v>808772.04019531561</v>
      </c>
      <c r="R876" s="11">
        <f t="shared" ca="1" si="69"/>
        <v>4</v>
      </c>
      <c r="S876" s="11" t="str">
        <f t="shared" si="70"/>
        <v>650-699</v>
      </c>
    </row>
    <row r="877" spans="1:19" x14ac:dyDescent="0.3">
      <c r="A877" s="11" t="s">
        <v>889</v>
      </c>
      <c r="B877" s="11" t="s">
        <v>1014</v>
      </c>
      <c r="C877" s="11">
        <v>25</v>
      </c>
      <c r="D877" s="11" t="s">
        <v>1035</v>
      </c>
      <c r="E877" s="11" t="s">
        <v>1038</v>
      </c>
      <c r="F877" s="12">
        <v>382595</v>
      </c>
      <c r="G877" s="12">
        <v>691499</v>
      </c>
      <c r="H877" s="11">
        <v>13.19</v>
      </c>
      <c r="I877" s="11">
        <v>120</v>
      </c>
      <c r="J877" s="11">
        <v>607</v>
      </c>
      <c r="K877" s="11" t="s">
        <v>1041</v>
      </c>
      <c r="L877" s="11" t="s">
        <v>1044</v>
      </c>
      <c r="M877" s="13">
        <v>43769</v>
      </c>
      <c r="N877" s="11" t="s">
        <v>1045</v>
      </c>
      <c r="O877" s="14">
        <f t="shared" si="66"/>
        <v>10402.461173416126</v>
      </c>
      <c r="P877" s="14">
        <f t="shared" si="67"/>
        <v>1248295.3408099352</v>
      </c>
      <c r="Q877" s="14">
        <f t="shared" si="68"/>
        <v>556796.34080993524</v>
      </c>
      <c r="R877" s="11">
        <f t="shared" ca="1" si="69"/>
        <v>6</v>
      </c>
      <c r="S877" s="11" t="str">
        <f t="shared" si="70"/>
        <v>600-649</v>
      </c>
    </row>
    <row r="878" spans="1:19" x14ac:dyDescent="0.3">
      <c r="A878" s="11" t="s">
        <v>890</v>
      </c>
      <c r="B878" s="11" t="s">
        <v>1023</v>
      </c>
      <c r="C878" s="11">
        <v>54</v>
      </c>
      <c r="D878" s="11" t="s">
        <v>1034</v>
      </c>
      <c r="E878" s="11" t="s">
        <v>1037</v>
      </c>
      <c r="F878" s="12">
        <v>848585</v>
      </c>
      <c r="G878" s="12">
        <v>1237338</v>
      </c>
      <c r="H878" s="11">
        <v>9.3000000000000007</v>
      </c>
      <c r="I878" s="11">
        <v>96</v>
      </c>
      <c r="J878" s="11">
        <v>710</v>
      </c>
      <c r="K878" s="11" t="s">
        <v>1042</v>
      </c>
      <c r="L878" s="11" t="s">
        <v>1044</v>
      </c>
      <c r="M878" s="13">
        <v>44953</v>
      </c>
      <c r="N878" s="11" t="s">
        <v>1046</v>
      </c>
      <c r="O878" s="14">
        <f t="shared" si="66"/>
        <v>18320.399657935206</v>
      </c>
      <c r="P878" s="14">
        <f t="shared" si="67"/>
        <v>1758758.3671617797</v>
      </c>
      <c r="Q878" s="14">
        <f t="shared" si="68"/>
        <v>521420.36716177966</v>
      </c>
      <c r="R878" s="11">
        <f t="shared" ca="1" si="69"/>
        <v>2</v>
      </c>
      <c r="S878" s="11" t="str">
        <f t="shared" si="70"/>
        <v>700-749</v>
      </c>
    </row>
    <row r="879" spans="1:19" x14ac:dyDescent="0.3">
      <c r="A879" s="11" t="s">
        <v>891</v>
      </c>
      <c r="B879" s="11" t="s">
        <v>1027</v>
      </c>
      <c r="C879" s="11">
        <v>52</v>
      </c>
      <c r="D879" s="11" t="s">
        <v>1034</v>
      </c>
      <c r="E879" s="11" t="s">
        <v>1037</v>
      </c>
      <c r="F879" s="12">
        <v>1411812</v>
      </c>
      <c r="G879" s="12">
        <v>1335406</v>
      </c>
      <c r="H879" s="11">
        <v>11.59</v>
      </c>
      <c r="I879" s="11">
        <v>48</v>
      </c>
      <c r="J879" s="11">
        <v>669</v>
      </c>
      <c r="K879" s="11" t="s">
        <v>1041</v>
      </c>
      <c r="L879" s="11" t="s">
        <v>1044</v>
      </c>
      <c r="M879" s="13">
        <v>43242</v>
      </c>
      <c r="N879" s="11" t="s">
        <v>1047</v>
      </c>
      <c r="O879" s="14">
        <f t="shared" si="66"/>
        <v>34898.136775448249</v>
      </c>
      <c r="P879" s="14">
        <f t="shared" si="67"/>
        <v>1675110.5652215159</v>
      </c>
      <c r="Q879" s="14">
        <f t="shared" si="68"/>
        <v>339704.56522151595</v>
      </c>
      <c r="R879" s="11">
        <f t="shared" ca="1" si="69"/>
        <v>7</v>
      </c>
      <c r="S879" s="11" t="str">
        <f t="shared" si="70"/>
        <v>650-699</v>
      </c>
    </row>
    <row r="880" spans="1:19" x14ac:dyDescent="0.3">
      <c r="A880" s="11" t="s">
        <v>892</v>
      </c>
      <c r="B880" s="11" t="s">
        <v>1024</v>
      </c>
      <c r="C880" s="11">
        <v>40</v>
      </c>
      <c r="D880" s="11" t="s">
        <v>1035</v>
      </c>
      <c r="E880" s="11" t="s">
        <v>1036</v>
      </c>
      <c r="F880" s="12">
        <v>1399644</v>
      </c>
      <c r="G880" s="12">
        <v>1098992</v>
      </c>
      <c r="H880" s="11">
        <v>7.73</v>
      </c>
      <c r="I880" s="11">
        <v>84</v>
      </c>
      <c r="J880" s="11">
        <v>796</v>
      </c>
      <c r="K880" s="11" t="s">
        <v>1040</v>
      </c>
      <c r="L880" s="11" t="s">
        <v>1044</v>
      </c>
      <c r="M880" s="13">
        <v>44621</v>
      </c>
      <c r="N880" s="11" t="s">
        <v>1048</v>
      </c>
      <c r="O880" s="14">
        <f t="shared" si="66"/>
        <v>16981.665299000964</v>
      </c>
      <c r="P880" s="14">
        <f t="shared" si="67"/>
        <v>1426459.885116081</v>
      </c>
      <c r="Q880" s="14">
        <f t="shared" si="68"/>
        <v>327467.88511608099</v>
      </c>
      <c r="R880" s="11">
        <f t="shared" ca="1" si="69"/>
        <v>3</v>
      </c>
      <c r="S880" s="11" t="str">
        <f t="shared" si="70"/>
        <v>750-799</v>
      </c>
    </row>
    <row r="881" spans="1:19" x14ac:dyDescent="0.3">
      <c r="A881" s="11" t="s">
        <v>893</v>
      </c>
      <c r="B881" s="11" t="s">
        <v>1022</v>
      </c>
      <c r="C881" s="11">
        <v>45</v>
      </c>
      <c r="D881" s="11" t="s">
        <v>1035</v>
      </c>
      <c r="E881" s="11" t="s">
        <v>1037</v>
      </c>
      <c r="F881" s="12">
        <v>996353</v>
      </c>
      <c r="G881" s="12">
        <v>753779</v>
      </c>
      <c r="H881" s="11">
        <v>12.02</v>
      </c>
      <c r="I881" s="11">
        <v>96</v>
      </c>
      <c r="J881" s="11">
        <v>788</v>
      </c>
      <c r="K881" s="11" t="s">
        <v>1039</v>
      </c>
      <c r="L881" s="11" t="s">
        <v>1044</v>
      </c>
      <c r="M881" s="13">
        <v>44690</v>
      </c>
      <c r="N881" s="11" t="s">
        <v>1045</v>
      </c>
      <c r="O881" s="14">
        <f t="shared" si="66"/>
        <v>12259.335214283377</v>
      </c>
      <c r="P881" s="14">
        <f t="shared" si="67"/>
        <v>1176896.1805712043</v>
      </c>
      <c r="Q881" s="14">
        <f t="shared" si="68"/>
        <v>423117.18057120428</v>
      </c>
      <c r="R881" s="11">
        <f t="shared" ca="1" si="69"/>
        <v>3</v>
      </c>
      <c r="S881" s="11" t="str">
        <f t="shared" si="70"/>
        <v>750-799</v>
      </c>
    </row>
    <row r="882" spans="1:19" x14ac:dyDescent="0.3">
      <c r="A882" s="11" t="s">
        <v>894</v>
      </c>
      <c r="B882" s="11" t="s">
        <v>1015</v>
      </c>
      <c r="C882" s="11">
        <v>59</v>
      </c>
      <c r="D882" s="11" t="s">
        <v>1035</v>
      </c>
      <c r="E882" s="11" t="s">
        <v>1036</v>
      </c>
      <c r="F882" s="12">
        <v>593729</v>
      </c>
      <c r="G882" s="12">
        <v>1371658</v>
      </c>
      <c r="H882" s="11">
        <v>10.64</v>
      </c>
      <c r="I882" s="11">
        <v>36</v>
      </c>
      <c r="J882" s="11">
        <v>710</v>
      </c>
      <c r="K882" s="11" t="s">
        <v>1042</v>
      </c>
      <c r="L882" s="11" t="s">
        <v>1044</v>
      </c>
      <c r="M882" s="13">
        <v>44092</v>
      </c>
      <c r="N882" s="11" t="s">
        <v>1048</v>
      </c>
      <c r="O882" s="14">
        <f t="shared" si="66"/>
        <v>44672.840336030968</v>
      </c>
      <c r="P882" s="14">
        <f t="shared" si="67"/>
        <v>1608222.2520971149</v>
      </c>
      <c r="Q882" s="14">
        <f t="shared" si="68"/>
        <v>236564.25209711492</v>
      </c>
      <c r="R882" s="11">
        <f t="shared" ca="1" si="69"/>
        <v>5</v>
      </c>
      <c r="S882" s="11" t="str">
        <f t="shared" si="70"/>
        <v>700-749</v>
      </c>
    </row>
    <row r="883" spans="1:19" x14ac:dyDescent="0.3">
      <c r="A883" s="11" t="s">
        <v>895</v>
      </c>
      <c r="B883" s="11" t="s">
        <v>1014</v>
      </c>
      <c r="C883" s="11">
        <v>53</v>
      </c>
      <c r="D883" s="11" t="s">
        <v>1035</v>
      </c>
      <c r="E883" s="11" t="s">
        <v>1038</v>
      </c>
      <c r="F883" s="12">
        <v>1419671</v>
      </c>
      <c r="G883" s="12">
        <v>1154063</v>
      </c>
      <c r="H883" s="11">
        <v>14.71</v>
      </c>
      <c r="I883" s="11">
        <v>60</v>
      </c>
      <c r="J883" s="11">
        <v>827</v>
      </c>
      <c r="K883" s="11" t="s">
        <v>1042</v>
      </c>
      <c r="L883" s="11" t="s">
        <v>1044</v>
      </c>
      <c r="M883" s="13">
        <v>44053</v>
      </c>
      <c r="N883" s="11" t="s">
        <v>1045</v>
      </c>
      <c r="O883" s="14">
        <f t="shared" si="66"/>
        <v>27279.714516781249</v>
      </c>
      <c r="P883" s="14">
        <f t="shared" si="67"/>
        <v>1636782.8710068748</v>
      </c>
      <c r="Q883" s="14">
        <f t="shared" si="68"/>
        <v>482719.87100687483</v>
      </c>
      <c r="R883" s="11">
        <f t="shared" ca="1" si="69"/>
        <v>5</v>
      </c>
      <c r="S883" s="11" t="str">
        <f t="shared" si="70"/>
        <v>800-850</v>
      </c>
    </row>
    <row r="884" spans="1:19" x14ac:dyDescent="0.3">
      <c r="A884" s="11" t="s">
        <v>896</v>
      </c>
      <c r="B884" s="11" t="s">
        <v>1031</v>
      </c>
      <c r="C884" s="11">
        <v>31</v>
      </c>
      <c r="D884" s="11" t="s">
        <v>1034</v>
      </c>
      <c r="E884" s="11" t="s">
        <v>1038</v>
      </c>
      <c r="F884" s="12">
        <v>885205</v>
      </c>
      <c r="G884" s="12">
        <v>1194995</v>
      </c>
      <c r="H884" s="11">
        <v>14.63</v>
      </c>
      <c r="I884" s="11">
        <v>120</v>
      </c>
      <c r="J884" s="11">
        <v>644</v>
      </c>
      <c r="K884" s="11" t="s">
        <v>1040</v>
      </c>
      <c r="L884" s="11" t="s">
        <v>1044</v>
      </c>
      <c r="M884" s="13">
        <v>44429</v>
      </c>
      <c r="N884" s="11" t="s">
        <v>1045</v>
      </c>
      <c r="O884" s="14">
        <f t="shared" si="66"/>
        <v>19009.580550768576</v>
      </c>
      <c r="P884" s="14">
        <f t="shared" si="67"/>
        <v>2281149.6660922291</v>
      </c>
      <c r="Q884" s="14">
        <f t="shared" si="68"/>
        <v>1086154.6660922291</v>
      </c>
      <c r="R884" s="11">
        <f t="shared" ca="1" si="69"/>
        <v>4</v>
      </c>
      <c r="S884" s="11" t="str">
        <f t="shared" si="70"/>
        <v>600-649</v>
      </c>
    </row>
    <row r="885" spans="1:19" x14ac:dyDescent="0.3">
      <c r="A885" s="11" t="s">
        <v>897</v>
      </c>
      <c r="B885" s="11" t="s">
        <v>1018</v>
      </c>
      <c r="C885" s="11">
        <v>25</v>
      </c>
      <c r="D885" s="11" t="s">
        <v>1035</v>
      </c>
      <c r="E885" s="11" t="s">
        <v>1036</v>
      </c>
      <c r="F885" s="12">
        <v>331416</v>
      </c>
      <c r="G885" s="12">
        <v>902660</v>
      </c>
      <c r="H885" s="11">
        <v>8.09</v>
      </c>
      <c r="I885" s="11">
        <v>120</v>
      </c>
      <c r="J885" s="11">
        <v>840</v>
      </c>
      <c r="K885" s="11" t="s">
        <v>1039</v>
      </c>
      <c r="L885" s="11" t="s">
        <v>1044</v>
      </c>
      <c r="M885" s="13">
        <v>43149</v>
      </c>
      <c r="N885" s="11" t="s">
        <v>1046</v>
      </c>
      <c r="O885" s="14">
        <f t="shared" si="66"/>
        <v>10994.730782402805</v>
      </c>
      <c r="P885" s="14">
        <f t="shared" si="67"/>
        <v>1319367.6938883367</v>
      </c>
      <c r="Q885" s="14">
        <f t="shared" si="68"/>
        <v>416707.69388833665</v>
      </c>
      <c r="R885" s="11">
        <f t="shared" ca="1" si="69"/>
        <v>7</v>
      </c>
      <c r="S885" s="11" t="str">
        <f t="shared" si="70"/>
        <v>800-850</v>
      </c>
    </row>
    <row r="886" spans="1:19" x14ac:dyDescent="0.3">
      <c r="A886" s="11" t="s">
        <v>898</v>
      </c>
      <c r="B886" s="11" t="s">
        <v>1014</v>
      </c>
      <c r="C886" s="11">
        <v>60</v>
      </c>
      <c r="D886" s="11" t="s">
        <v>1035</v>
      </c>
      <c r="E886" s="11" t="s">
        <v>1036</v>
      </c>
      <c r="F886" s="12">
        <v>1892805</v>
      </c>
      <c r="G886" s="12">
        <v>632163</v>
      </c>
      <c r="H886" s="11">
        <v>11.5</v>
      </c>
      <c r="I886" s="11">
        <v>120</v>
      </c>
      <c r="J886" s="11">
        <v>661</v>
      </c>
      <c r="K886" s="11" t="s">
        <v>1039</v>
      </c>
      <c r="L886" s="11" t="s">
        <v>1043</v>
      </c>
      <c r="M886" s="13">
        <v>43943</v>
      </c>
      <c r="N886" s="11" t="s">
        <v>1046</v>
      </c>
      <c r="O886" s="14">
        <f t="shared" si="66"/>
        <v>8887.9237652084121</v>
      </c>
      <c r="P886" s="14">
        <f t="shared" si="67"/>
        <v>1066550.8518250096</v>
      </c>
      <c r="Q886" s="14">
        <f t="shared" si="68"/>
        <v>434387.85182500957</v>
      </c>
      <c r="R886" s="11">
        <f t="shared" ca="1" si="69"/>
        <v>5</v>
      </c>
      <c r="S886" s="11" t="str">
        <f t="shared" si="70"/>
        <v>650-699</v>
      </c>
    </row>
    <row r="887" spans="1:19" x14ac:dyDescent="0.3">
      <c r="A887" s="11" t="s">
        <v>899</v>
      </c>
      <c r="B887" s="11" t="s">
        <v>1022</v>
      </c>
      <c r="C887" s="11">
        <v>57</v>
      </c>
      <c r="D887" s="11" t="s">
        <v>1034</v>
      </c>
      <c r="E887" s="11" t="s">
        <v>1036</v>
      </c>
      <c r="F887" s="12">
        <v>1888152</v>
      </c>
      <c r="G887" s="12">
        <v>1372811</v>
      </c>
      <c r="H887" s="11">
        <v>12.08</v>
      </c>
      <c r="I887" s="11">
        <v>48</v>
      </c>
      <c r="J887" s="11">
        <v>805</v>
      </c>
      <c r="K887" s="11" t="s">
        <v>1041</v>
      </c>
      <c r="L887" s="11" t="s">
        <v>1044</v>
      </c>
      <c r="M887" s="13">
        <v>45426</v>
      </c>
      <c r="N887" s="11" t="s">
        <v>1048</v>
      </c>
      <c r="O887" s="14">
        <f t="shared" si="66"/>
        <v>36205.325481450942</v>
      </c>
      <c r="P887" s="14">
        <f t="shared" si="67"/>
        <v>1737855.6231096452</v>
      </c>
      <c r="Q887" s="14">
        <f t="shared" si="68"/>
        <v>365044.62310964521</v>
      </c>
      <c r="R887" s="11">
        <f t="shared" ca="1" si="69"/>
        <v>1</v>
      </c>
      <c r="S887" s="11" t="str">
        <f t="shared" si="70"/>
        <v>800-850</v>
      </c>
    </row>
    <row r="888" spans="1:19" x14ac:dyDescent="0.3">
      <c r="A888" s="11" t="s">
        <v>900</v>
      </c>
      <c r="B888" s="11" t="s">
        <v>1025</v>
      </c>
      <c r="C888" s="11">
        <v>41</v>
      </c>
      <c r="D888" s="11" t="s">
        <v>1034</v>
      </c>
      <c r="E888" s="11" t="s">
        <v>1037</v>
      </c>
      <c r="F888" s="12">
        <v>899484</v>
      </c>
      <c r="G888" s="12">
        <v>1219303</v>
      </c>
      <c r="H888" s="11">
        <v>13.13</v>
      </c>
      <c r="I888" s="11">
        <v>36</v>
      </c>
      <c r="J888" s="11">
        <v>623</v>
      </c>
      <c r="K888" s="11" t="s">
        <v>1039</v>
      </c>
      <c r="L888" s="11" t="s">
        <v>1043</v>
      </c>
      <c r="M888" s="13">
        <v>45182</v>
      </c>
      <c r="N888" s="11" t="s">
        <v>1047</v>
      </c>
      <c r="O888" s="14">
        <f t="shared" si="66"/>
        <v>41159.526337507894</v>
      </c>
      <c r="P888" s="14">
        <f t="shared" si="67"/>
        <v>1481742.9481502841</v>
      </c>
      <c r="Q888" s="14">
        <f t="shared" si="68"/>
        <v>262439.94815028412</v>
      </c>
      <c r="R888" s="11">
        <f t="shared" ca="1" si="69"/>
        <v>2</v>
      </c>
      <c r="S888" s="11" t="str">
        <f t="shared" si="70"/>
        <v>600-649</v>
      </c>
    </row>
    <row r="889" spans="1:19" x14ac:dyDescent="0.3">
      <c r="A889" s="11" t="s">
        <v>901</v>
      </c>
      <c r="B889" s="11" t="s">
        <v>1031</v>
      </c>
      <c r="C889" s="11">
        <v>46</v>
      </c>
      <c r="D889" s="11" t="s">
        <v>1034</v>
      </c>
      <c r="E889" s="11" t="s">
        <v>1038</v>
      </c>
      <c r="F889" s="12">
        <v>472525</v>
      </c>
      <c r="G889" s="12">
        <v>672132</v>
      </c>
      <c r="H889" s="11">
        <v>10.87</v>
      </c>
      <c r="I889" s="11">
        <v>96</v>
      </c>
      <c r="J889" s="11">
        <v>809</v>
      </c>
      <c r="K889" s="11" t="s">
        <v>1042</v>
      </c>
      <c r="L889" s="11" t="s">
        <v>1044</v>
      </c>
      <c r="M889" s="13">
        <v>45566</v>
      </c>
      <c r="N889" s="11" t="s">
        <v>1046</v>
      </c>
      <c r="O889" s="14">
        <f t="shared" si="66"/>
        <v>10511.065177115439</v>
      </c>
      <c r="P889" s="14">
        <f t="shared" si="67"/>
        <v>1009062.2570030822</v>
      </c>
      <c r="Q889" s="14">
        <f t="shared" si="68"/>
        <v>336930.2570030822</v>
      </c>
      <c r="R889" s="11">
        <f t="shared" ca="1" si="69"/>
        <v>1</v>
      </c>
      <c r="S889" s="11" t="str">
        <f t="shared" si="70"/>
        <v>800-850</v>
      </c>
    </row>
    <row r="890" spans="1:19" x14ac:dyDescent="0.3">
      <c r="A890" s="11" t="s">
        <v>902</v>
      </c>
      <c r="B890" s="11" t="s">
        <v>1032</v>
      </c>
      <c r="C890" s="11">
        <v>46</v>
      </c>
      <c r="D890" s="11" t="s">
        <v>1034</v>
      </c>
      <c r="E890" s="11" t="s">
        <v>1036</v>
      </c>
      <c r="F890" s="12">
        <v>1614518</v>
      </c>
      <c r="G890" s="12">
        <v>477135</v>
      </c>
      <c r="H890" s="11">
        <v>11.51</v>
      </c>
      <c r="I890" s="11">
        <v>60</v>
      </c>
      <c r="J890" s="11">
        <v>799</v>
      </c>
      <c r="K890" s="11" t="s">
        <v>1039</v>
      </c>
      <c r="L890" s="11" t="s">
        <v>1044</v>
      </c>
      <c r="M890" s="13">
        <v>44850</v>
      </c>
      <c r="N890" s="11" t="s">
        <v>1046</v>
      </c>
      <c r="O890" s="14">
        <f t="shared" si="66"/>
        <v>10495.838222016386</v>
      </c>
      <c r="P890" s="14">
        <f t="shared" si="67"/>
        <v>629750.29332098318</v>
      </c>
      <c r="Q890" s="14">
        <f t="shared" si="68"/>
        <v>152615.29332098318</v>
      </c>
      <c r="R890" s="11">
        <f t="shared" ca="1" si="69"/>
        <v>3</v>
      </c>
      <c r="S890" s="11" t="str">
        <f t="shared" si="70"/>
        <v>750-799</v>
      </c>
    </row>
    <row r="891" spans="1:19" x14ac:dyDescent="0.3">
      <c r="A891" s="11" t="s">
        <v>903</v>
      </c>
      <c r="B891" s="11" t="s">
        <v>1023</v>
      </c>
      <c r="C891" s="11">
        <v>43</v>
      </c>
      <c r="D891" s="11" t="s">
        <v>1034</v>
      </c>
      <c r="E891" s="11" t="s">
        <v>1038</v>
      </c>
      <c r="F891" s="12">
        <v>1238465</v>
      </c>
      <c r="G891" s="12">
        <v>714712</v>
      </c>
      <c r="H891" s="11">
        <v>13.11</v>
      </c>
      <c r="I891" s="11">
        <v>48</v>
      </c>
      <c r="J891" s="11">
        <v>725</v>
      </c>
      <c r="K891" s="11" t="s">
        <v>1041</v>
      </c>
      <c r="L891" s="11" t="s">
        <v>1044</v>
      </c>
      <c r="M891" s="13">
        <v>43268</v>
      </c>
      <c r="N891" s="11" t="s">
        <v>1047</v>
      </c>
      <c r="O891" s="14">
        <f t="shared" si="66"/>
        <v>19212.976502023648</v>
      </c>
      <c r="P891" s="14">
        <f t="shared" si="67"/>
        <v>922222.87209713506</v>
      </c>
      <c r="Q891" s="14">
        <f t="shared" si="68"/>
        <v>207510.87209713506</v>
      </c>
      <c r="R891" s="11">
        <f t="shared" ca="1" si="69"/>
        <v>7</v>
      </c>
      <c r="S891" s="11" t="str">
        <f t="shared" si="70"/>
        <v>700-749</v>
      </c>
    </row>
    <row r="892" spans="1:19" x14ac:dyDescent="0.3">
      <c r="A892" s="11" t="s">
        <v>904</v>
      </c>
      <c r="B892" s="11" t="s">
        <v>1025</v>
      </c>
      <c r="C892" s="11">
        <v>55</v>
      </c>
      <c r="D892" s="11" t="s">
        <v>1035</v>
      </c>
      <c r="E892" s="11" t="s">
        <v>1037</v>
      </c>
      <c r="F892" s="12">
        <v>412454</v>
      </c>
      <c r="G892" s="12">
        <v>657908</v>
      </c>
      <c r="H892" s="11">
        <v>13.58</v>
      </c>
      <c r="I892" s="11">
        <v>48</v>
      </c>
      <c r="J892" s="11">
        <v>663</v>
      </c>
      <c r="K892" s="11" t="s">
        <v>1040</v>
      </c>
      <c r="L892" s="11" t="s">
        <v>1044</v>
      </c>
      <c r="M892" s="13">
        <v>45473</v>
      </c>
      <c r="N892" s="11" t="s">
        <v>1048</v>
      </c>
      <c r="O892" s="14">
        <f t="shared" si="66"/>
        <v>17840.003380650127</v>
      </c>
      <c r="P892" s="14">
        <f t="shared" si="67"/>
        <v>856320.16227120603</v>
      </c>
      <c r="Q892" s="14">
        <f t="shared" si="68"/>
        <v>198412.16227120603</v>
      </c>
      <c r="R892" s="11">
        <f t="shared" ca="1" si="69"/>
        <v>1</v>
      </c>
      <c r="S892" s="11" t="str">
        <f t="shared" si="70"/>
        <v>650-699</v>
      </c>
    </row>
    <row r="893" spans="1:19" x14ac:dyDescent="0.3">
      <c r="A893" s="11" t="s">
        <v>905</v>
      </c>
      <c r="B893" s="11" t="s">
        <v>1031</v>
      </c>
      <c r="C893" s="11">
        <v>29</v>
      </c>
      <c r="D893" s="11" t="s">
        <v>1034</v>
      </c>
      <c r="E893" s="11" t="s">
        <v>1036</v>
      </c>
      <c r="F893" s="12">
        <v>1643599</v>
      </c>
      <c r="G893" s="12">
        <v>566327</v>
      </c>
      <c r="H893" s="11">
        <v>8.68</v>
      </c>
      <c r="I893" s="11">
        <v>48</v>
      </c>
      <c r="J893" s="11">
        <v>717</v>
      </c>
      <c r="K893" s="11" t="s">
        <v>1039</v>
      </c>
      <c r="L893" s="11" t="s">
        <v>1044</v>
      </c>
      <c r="M893" s="13">
        <v>44517</v>
      </c>
      <c r="N893" s="11" t="s">
        <v>1047</v>
      </c>
      <c r="O893" s="14">
        <f t="shared" si="66"/>
        <v>14007.176989091746</v>
      </c>
      <c r="P893" s="14">
        <f t="shared" si="67"/>
        <v>672344.49547640374</v>
      </c>
      <c r="Q893" s="14">
        <f t="shared" si="68"/>
        <v>106017.49547640374</v>
      </c>
      <c r="R893" s="11">
        <f t="shared" ca="1" si="69"/>
        <v>4</v>
      </c>
      <c r="S893" s="11" t="str">
        <f t="shared" si="70"/>
        <v>700-749</v>
      </c>
    </row>
    <row r="894" spans="1:19" x14ac:dyDescent="0.3">
      <c r="A894" s="11" t="s">
        <v>906</v>
      </c>
      <c r="B894" s="11" t="s">
        <v>1028</v>
      </c>
      <c r="C894" s="11">
        <v>57</v>
      </c>
      <c r="D894" s="11" t="s">
        <v>1034</v>
      </c>
      <c r="E894" s="11" t="s">
        <v>1037</v>
      </c>
      <c r="F894" s="12">
        <v>997851</v>
      </c>
      <c r="G894" s="12">
        <v>469062</v>
      </c>
      <c r="H894" s="11">
        <v>14.07</v>
      </c>
      <c r="I894" s="11">
        <v>72</v>
      </c>
      <c r="J894" s="11">
        <v>766</v>
      </c>
      <c r="K894" s="11" t="s">
        <v>1042</v>
      </c>
      <c r="L894" s="11" t="s">
        <v>1044</v>
      </c>
      <c r="M894" s="13">
        <v>44052</v>
      </c>
      <c r="N894" s="11" t="s">
        <v>1047</v>
      </c>
      <c r="O894" s="14">
        <f t="shared" si="66"/>
        <v>9682.9598917819621</v>
      </c>
      <c r="P894" s="14">
        <f t="shared" si="67"/>
        <v>697173.11220830132</v>
      </c>
      <c r="Q894" s="14">
        <f t="shared" si="68"/>
        <v>228111.11220830132</v>
      </c>
      <c r="R894" s="11">
        <f t="shared" ca="1" si="69"/>
        <v>5</v>
      </c>
      <c r="S894" s="11" t="str">
        <f t="shared" si="70"/>
        <v>750-799</v>
      </c>
    </row>
    <row r="895" spans="1:19" x14ac:dyDescent="0.3">
      <c r="A895" s="11" t="s">
        <v>907</v>
      </c>
      <c r="B895" s="11" t="s">
        <v>1022</v>
      </c>
      <c r="C895" s="11">
        <v>49</v>
      </c>
      <c r="D895" s="11" t="s">
        <v>1035</v>
      </c>
      <c r="E895" s="11" t="s">
        <v>1038</v>
      </c>
      <c r="F895" s="12">
        <v>864480</v>
      </c>
      <c r="G895" s="12">
        <v>412011</v>
      </c>
      <c r="H895" s="11">
        <v>8.16</v>
      </c>
      <c r="I895" s="11">
        <v>120</v>
      </c>
      <c r="J895" s="11">
        <v>754</v>
      </c>
      <c r="K895" s="11" t="s">
        <v>1041</v>
      </c>
      <c r="L895" s="11" t="s">
        <v>1044</v>
      </c>
      <c r="M895" s="13">
        <v>45442</v>
      </c>
      <c r="N895" s="11" t="s">
        <v>1047</v>
      </c>
      <c r="O895" s="14">
        <f t="shared" si="66"/>
        <v>5033.7314882869296</v>
      </c>
      <c r="P895" s="14">
        <f t="shared" si="67"/>
        <v>604047.77859443158</v>
      </c>
      <c r="Q895" s="14">
        <f t="shared" si="68"/>
        <v>192036.77859443158</v>
      </c>
      <c r="R895" s="11">
        <f t="shared" ca="1" si="69"/>
        <v>1</v>
      </c>
      <c r="S895" s="11" t="str">
        <f t="shared" si="70"/>
        <v>750-799</v>
      </c>
    </row>
    <row r="896" spans="1:19" x14ac:dyDescent="0.3">
      <c r="A896" s="11" t="s">
        <v>908</v>
      </c>
      <c r="B896" s="11" t="s">
        <v>1031</v>
      </c>
      <c r="C896" s="11">
        <v>60</v>
      </c>
      <c r="D896" s="11" t="s">
        <v>1035</v>
      </c>
      <c r="E896" s="11" t="s">
        <v>1036</v>
      </c>
      <c r="F896" s="12">
        <v>302076</v>
      </c>
      <c r="G896" s="12">
        <v>225949</v>
      </c>
      <c r="H896" s="11">
        <v>11.6</v>
      </c>
      <c r="I896" s="11">
        <v>36</v>
      </c>
      <c r="J896" s="11">
        <v>827</v>
      </c>
      <c r="K896" s="11" t="s">
        <v>1039</v>
      </c>
      <c r="L896" s="11" t="s">
        <v>1044</v>
      </c>
      <c r="M896" s="13">
        <v>43585</v>
      </c>
      <c r="N896" s="11" t="s">
        <v>1048</v>
      </c>
      <c r="O896" s="14">
        <f t="shared" si="66"/>
        <v>7461.6462414461603</v>
      </c>
      <c r="P896" s="14">
        <f t="shared" si="67"/>
        <v>268619.26469206176</v>
      </c>
      <c r="Q896" s="14">
        <f t="shared" si="68"/>
        <v>42670.264692061755</v>
      </c>
      <c r="R896" s="11">
        <f t="shared" ca="1" si="69"/>
        <v>6</v>
      </c>
      <c r="S896" s="11" t="str">
        <f t="shared" si="70"/>
        <v>800-850</v>
      </c>
    </row>
    <row r="897" spans="1:19" x14ac:dyDescent="0.3">
      <c r="A897" s="11" t="s">
        <v>909</v>
      </c>
      <c r="B897" s="11" t="s">
        <v>1021</v>
      </c>
      <c r="C897" s="11">
        <v>59</v>
      </c>
      <c r="D897" s="11" t="s">
        <v>1035</v>
      </c>
      <c r="E897" s="11" t="s">
        <v>1037</v>
      </c>
      <c r="F897" s="12">
        <v>332236</v>
      </c>
      <c r="G897" s="12">
        <v>1219120</v>
      </c>
      <c r="H897" s="11">
        <v>8.81</v>
      </c>
      <c r="I897" s="11">
        <v>96</v>
      </c>
      <c r="J897" s="11">
        <v>707</v>
      </c>
      <c r="K897" s="11" t="s">
        <v>1041</v>
      </c>
      <c r="L897" s="11" t="s">
        <v>1044</v>
      </c>
      <c r="M897" s="13">
        <v>43166</v>
      </c>
      <c r="N897" s="11" t="s">
        <v>1047</v>
      </c>
      <c r="O897" s="14">
        <f t="shared" si="66"/>
        <v>17740.42287560894</v>
      </c>
      <c r="P897" s="14">
        <f t="shared" si="67"/>
        <v>1703080.5960584581</v>
      </c>
      <c r="Q897" s="14">
        <f t="shared" si="68"/>
        <v>483960.59605845809</v>
      </c>
      <c r="R897" s="11">
        <f t="shared" ca="1" si="69"/>
        <v>7</v>
      </c>
      <c r="S897" s="11" t="str">
        <f t="shared" si="70"/>
        <v>700-749</v>
      </c>
    </row>
    <row r="898" spans="1:19" x14ac:dyDescent="0.3">
      <c r="A898" s="11" t="s">
        <v>910</v>
      </c>
      <c r="B898" s="11" t="s">
        <v>1033</v>
      </c>
      <c r="C898" s="11">
        <v>34</v>
      </c>
      <c r="D898" s="11" t="s">
        <v>1034</v>
      </c>
      <c r="E898" s="11" t="s">
        <v>1037</v>
      </c>
      <c r="F898" s="12">
        <v>403924</v>
      </c>
      <c r="G898" s="12">
        <v>1617160</v>
      </c>
      <c r="H898" s="11">
        <v>8.32</v>
      </c>
      <c r="I898" s="11">
        <v>84</v>
      </c>
      <c r="J898" s="11">
        <v>823</v>
      </c>
      <c r="K898" s="11" t="s">
        <v>1042</v>
      </c>
      <c r="L898" s="11" t="s">
        <v>1043</v>
      </c>
      <c r="M898" s="13">
        <v>43146</v>
      </c>
      <c r="N898" s="11" t="s">
        <v>1046</v>
      </c>
      <c r="O898" s="14">
        <f t="shared" si="66"/>
        <v>25463.995136887708</v>
      </c>
      <c r="P898" s="14">
        <f t="shared" si="67"/>
        <v>2138975.5914985677</v>
      </c>
      <c r="Q898" s="14">
        <f t="shared" si="68"/>
        <v>521815.59149856772</v>
      </c>
      <c r="R898" s="11">
        <f t="shared" ca="1" si="69"/>
        <v>7</v>
      </c>
      <c r="S898" s="11" t="str">
        <f t="shared" si="70"/>
        <v>800-850</v>
      </c>
    </row>
    <row r="899" spans="1:19" x14ac:dyDescent="0.3">
      <c r="A899" s="11" t="s">
        <v>911</v>
      </c>
      <c r="B899" s="11" t="s">
        <v>1021</v>
      </c>
      <c r="C899" s="11">
        <v>41</v>
      </c>
      <c r="D899" s="11" t="s">
        <v>1035</v>
      </c>
      <c r="E899" s="11" t="s">
        <v>1038</v>
      </c>
      <c r="F899" s="12">
        <v>1487703</v>
      </c>
      <c r="G899" s="12">
        <v>1879283</v>
      </c>
      <c r="H899" s="11">
        <v>14.04</v>
      </c>
      <c r="I899" s="11">
        <v>48</v>
      </c>
      <c r="J899" s="11">
        <v>612</v>
      </c>
      <c r="K899" s="11" t="s">
        <v>1040</v>
      </c>
      <c r="L899" s="11" t="s">
        <v>1043</v>
      </c>
      <c r="M899" s="13">
        <v>43317</v>
      </c>
      <c r="N899" s="11" t="s">
        <v>1047</v>
      </c>
      <c r="O899" s="14">
        <f t="shared" ref="O899:O962" si="71">PMT(H899/1200,I899,-G899)</f>
        <v>51391.898956096607</v>
      </c>
      <c r="P899" s="14">
        <f t="shared" ref="P899:P962" si="72">O899*I899</f>
        <v>2466811.149892637</v>
      </c>
      <c r="Q899" s="14">
        <f t="shared" ref="Q899:Q962" si="73">P899-G899</f>
        <v>587528.14989263704</v>
      </c>
      <c r="R899" s="11">
        <f t="shared" ref="R899:R962" ca="1" si="74">(YEAR(TODAY())-YEAR(M899))</f>
        <v>7</v>
      </c>
      <c r="S899" s="11" t="str">
        <f t="shared" ref="S899:S962" si="75">IF(J899&lt;650,"600-649",
IF(J899&lt;700,"650-699",
IF(J899&lt;750,"700-749",
IF(J899&lt;800,"750-799","800-850"))))</f>
        <v>600-649</v>
      </c>
    </row>
    <row r="900" spans="1:19" x14ac:dyDescent="0.3">
      <c r="A900" s="11" t="s">
        <v>912</v>
      </c>
      <c r="B900" s="11" t="s">
        <v>1031</v>
      </c>
      <c r="C900" s="11">
        <v>36</v>
      </c>
      <c r="D900" s="11" t="s">
        <v>1034</v>
      </c>
      <c r="E900" s="11" t="s">
        <v>1037</v>
      </c>
      <c r="F900" s="12">
        <v>1957521</v>
      </c>
      <c r="G900" s="12">
        <v>1415965</v>
      </c>
      <c r="H900" s="11">
        <v>9.65</v>
      </c>
      <c r="I900" s="11">
        <v>120</v>
      </c>
      <c r="J900" s="11">
        <v>694</v>
      </c>
      <c r="K900" s="11" t="s">
        <v>1042</v>
      </c>
      <c r="L900" s="11" t="s">
        <v>1044</v>
      </c>
      <c r="M900" s="13">
        <v>44575</v>
      </c>
      <c r="N900" s="11" t="s">
        <v>1046</v>
      </c>
      <c r="O900" s="14">
        <f t="shared" si="71"/>
        <v>18438.728647089956</v>
      </c>
      <c r="P900" s="14">
        <f t="shared" si="72"/>
        <v>2212647.4376507946</v>
      </c>
      <c r="Q900" s="14">
        <f t="shared" si="73"/>
        <v>796682.43765079463</v>
      </c>
      <c r="R900" s="11">
        <f t="shared" ca="1" si="74"/>
        <v>3</v>
      </c>
      <c r="S900" s="11" t="str">
        <f t="shared" si="75"/>
        <v>650-699</v>
      </c>
    </row>
    <row r="901" spans="1:19" x14ac:dyDescent="0.3">
      <c r="A901" s="11" t="s">
        <v>913</v>
      </c>
      <c r="B901" s="11" t="s">
        <v>1023</v>
      </c>
      <c r="C901" s="11">
        <v>33</v>
      </c>
      <c r="D901" s="11" t="s">
        <v>1034</v>
      </c>
      <c r="E901" s="11" t="s">
        <v>1038</v>
      </c>
      <c r="F901" s="12">
        <v>1825584</v>
      </c>
      <c r="G901" s="12">
        <v>979503</v>
      </c>
      <c r="H901" s="11">
        <v>10.8</v>
      </c>
      <c r="I901" s="11">
        <v>48</v>
      </c>
      <c r="J901" s="11">
        <v>615</v>
      </c>
      <c r="K901" s="11" t="s">
        <v>1042</v>
      </c>
      <c r="L901" s="11" t="s">
        <v>1044</v>
      </c>
      <c r="M901" s="13">
        <v>43439</v>
      </c>
      <c r="N901" s="11" t="s">
        <v>1046</v>
      </c>
      <c r="O901" s="14">
        <f t="shared" si="71"/>
        <v>25220.736991162925</v>
      </c>
      <c r="P901" s="14">
        <f t="shared" si="72"/>
        <v>1210595.3755758204</v>
      </c>
      <c r="Q901" s="14">
        <f t="shared" si="73"/>
        <v>231092.37557582045</v>
      </c>
      <c r="R901" s="11">
        <f t="shared" ca="1" si="74"/>
        <v>7</v>
      </c>
      <c r="S901" s="11" t="str">
        <f t="shared" si="75"/>
        <v>600-649</v>
      </c>
    </row>
    <row r="902" spans="1:19" x14ac:dyDescent="0.3">
      <c r="A902" s="11" t="s">
        <v>914</v>
      </c>
      <c r="B902" s="11" t="s">
        <v>1033</v>
      </c>
      <c r="C902" s="11">
        <v>43</v>
      </c>
      <c r="D902" s="11" t="s">
        <v>1035</v>
      </c>
      <c r="E902" s="11" t="s">
        <v>1036</v>
      </c>
      <c r="F902" s="12">
        <v>1915133</v>
      </c>
      <c r="G902" s="12">
        <v>1542733</v>
      </c>
      <c r="H902" s="11">
        <v>14.35</v>
      </c>
      <c r="I902" s="11">
        <v>72</v>
      </c>
      <c r="J902" s="11">
        <v>626</v>
      </c>
      <c r="K902" s="11" t="s">
        <v>1039</v>
      </c>
      <c r="L902" s="11" t="s">
        <v>1044</v>
      </c>
      <c r="M902" s="13">
        <v>44266</v>
      </c>
      <c r="N902" s="11" t="s">
        <v>1046</v>
      </c>
      <c r="O902" s="14">
        <f t="shared" si="71"/>
        <v>32079.004771688975</v>
      </c>
      <c r="P902" s="14">
        <f t="shared" si="72"/>
        <v>2309688.343561606</v>
      </c>
      <c r="Q902" s="14">
        <f t="shared" si="73"/>
        <v>766955.34356160602</v>
      </c>
      <c r="R902" s="11">
        <f t="shared" ca="1" si="74"/>
        <v>4</v>
      </c>
      <c r="S902" s="11" t="str">
        <f t="shared" si="75"/>
        <v>600-649</v>
      </c>
    </row>
    <row r="903" spans="1:19" x14ac:dyDescent="0.3">
      <c r="A903" s="11" t="s">
        <v>915</v>
      </c>
      <c r="B903" s="11" t="s">
        <v>1031</v>
      </c>
      <c r="C903" s="11">
        <v>33</v>
      </c>
      <c r="D903" s="11" t="s">
        <v>1035</v>
      </c>
      <c r="E903" s="11" t="s">
        <v>1036</v>
      </c>
      <c r="F903" s="12">
        <v>1814943</v>
      </c>
      <c r="G903" s="12">
        <v>478001</v>
      </c>
      <c r="H903" s="11">
        <v>8.59</v>
      </c>
      <c r="I903" s="11">
        <v>48</v>
      </c>
      <c r="J903" s="11">
        <v>675</v>
      </c>
      <c r="K903" s="11" t="s">
        <v>1040</v>
      </c>
      <c r="L903" s="11" t="s">
        <v>1043</v>
      </c>
      <c r="M903" s="13">
        <v>44735</v>
      </c>
      <c r="N903" s="11" t="s">
        <v>1045</v>
      </c>
      <c r="O903" s="14">
        <f t="shared" si="71"/>
        <v>11802.234852980569</v>
      </c>
      <c r="P903" s="14">
        <f t="shared" si="72"/>
        <v>566507.27294306736</v>
      </c>
      <c r="Q903" s="14">
        <f t="shared" si="73"/>
        <v>88506.272943067364</v>
      </c>
      <c r="R903" s="11">
        <f t="shared" ca="1" si="74"/>
        <v>3</v>
      </c>
      <c r="S903" s="11" t="str">
        <f t="shared" si="75"/>
        <v>650-699</v>
      </c>
    </row>
    <row r="904" spans="1:19" x14ac:dyDescent="0.3">
      <c r="A904" s="11" t="s">
        <v>916</v>
      </c>
      <c r="B904" s="11" t="s">
        <v>1018</v>
      </c>
      <c r="C904" s="11">
        <v>52</v>
      </c>
      <c r="D904" s="11" t="s">
        <v>1034</v>
      </c>
      <c r="E904" s="11" t="s">
        <v>1038</v>
      </c>
      <c r="F904" s="12">
        <v>1552812</v>
      </c>
      <c r="G904" s="12">
        <v>746442</v>
      </c>
      <c r="H904" s="11">
        <v>8.0299999999999994</v>
      </c>
      <c r="I904" s="11">
        <v>120</v>
      </c>
      <c r="J904" s="11">
        <v>685</v>
      </c>
      <c r="K904" s="11" t="s">
        <v>1041</v>
      </c>
      <c r="L904" s="11" t="s">
        <v>1043</v>
      </c>
      <c r="M904" s="13">
        <v>44725</v>
      </c>
      <c r="N904" s="11" t="s">
        <v>1045</v>
      </c>
      <c r="O904" s="14">
        <f t="shared" si="71"/>
        <v>9068.2381759865875</v>
      </c>
      <c r="P904" s="14">
        <f t="shared" si="72"/>
        <v>1088188.5811183904</v>
      </c>
      <c r="Q904" s="14">
        <f t="shared" si="73"/>
        <v>341746.58111839043</v>
      </c>
      <c r="R904" s="11">
        <f t="shared" ca="1" si="74"/>
        <v>3</v>
      </c>
      <c r="S904" s="11" t="str">
        <f t="shared" si="75"/>
        <v>650-699</v>
      </c>
    </row>
    <row r="905" spans="1:19" x14ac:dyDescent="0.3">
      <c r="A905" s="11" t="s">
        <v>917</v>
      </c>
      <c r="B905" s="11" t="s">
        <v>1027</v>
      </c>
      <c r="C905" s="11">
        <v>27</v>
      </c>
      <c r="D905" s="11" t="s">
        <v>1034</v>
      </c>
      <c r="E905" s="11" t="s">
        <v>1036</v>
      </c>
      <c r="F905" s="12">
        <v>757115</v>
      </c>
      <c r="G905" s="12">
        <v>407467</v>
      </c>
      <c r="H905" s="11">
        <v>9.6300000000000008</v>
      </c>
      <c r="I905" s="11">
        <v>96</v>
      </c>
      <c r="J905" s="11">
        <v>631</v>
      </c>
      <c r="K905" s="11" t="s">
        <v>1042</v>
      </c>
      <c r="L905" s="11" t="s">
        <v>1044</v>
      </c>
      <c r="M905" s="13">
        <v>44795</v>
      </c>
      <c r="N905" s="11" t="s">
        <v>1046</v>
      </c>
      <c r="O905" s="14">
        <f t="shared" si="71"/>
        <v>6103.485096212622</v>
      </c>
      <c r="P905" s="14">
        <f t="shared" si="72"/>
        <v>585934.56923641171</v>
      </c>
      <c r="Q905" s="14">
        <f t="shared" si="73"/>
        <v>178467.56923641171</v>
      </c>
      <c r="R905" s="11">
        <f t="shared" ca="1" si="74"/>
        <v>3</v>
      </c>
      <c r="S905" s="11" t="str">
        <f t="shared" si="75"/>
        <v>600-649</v>
      </c>
    </row>
    <row r="906" spans="1:19" x14ac:dyDescent="0.3">
      <c r="A906" s="11" t="s">
        <v>918</v>
      </c>
      <c r="B906" s="11" t="s">
        <v>1028</v>
      </c>
      <c r="C906" s="11">
        <v>42</v>
      </c>
      <c r="D906" s="11" t="s">
        <v>1034</v>
      </c>
      <c r="E906" s="11" t="s">
        <v>1037</v>
      </c>
      <c r="F906" s="12">
        <v>1775300</v>
      </c>
      <c r="G906" s="12">
        <v>1579273</v>
      </c>
      <c r="H906" s="11">
        <v>12.07</v>
      </c>
      <c r="I906" s="11">
        <v>96</v>
      </c>
      <c r="J906" s="11">
        <v>713</v>
      </c>
      <c r="K906" s="11" t="s">
        <v>1039</v>
      </c>
      <c r="L906" s="11" t="s">
        <v>1044</v>
      </c>
      <c r="M906" s="13">
        <v>43322</v>
      </c>
      <c r="N906" s="11" t="s">
        <v>1047</v>
      </c>
      <c r="O906" s="14">
        <f t="shared" si="71"/>
        <v>25728.45258363519</v>
      </c>
      <c r="P906" s="14">
        <f t="shared" si="72"/>
        <v>2469931.448028978</v>
      </c>
      <c r="Q906" s="14">
        <f t="shared" si="73"/>
        <v>890658.44802897796</v>
      </c>
      <c r="R906" s="11">
        <f t="shared" ca="1" si="74"/>
        <v>7</v>
      </c>
      <c r="S906" s="11" t="str">
        <f t="shared" si="75"/>
        <v>700-749</v>
      </c>
    </row>
    <row r="907" spans="1:19" x14ac:dyDescent="0.3">
      <c r="A907" s="11" t="s">
        <v>919</v>
      </c>
      <c r="B907" s="11" t="s">
        <v>1020</v>
      </c>
      <c r="C907" s="11">
        <v>59</v>
      </c>
      <c r="D907" s="11" t="s">
        <v>1035</v>
      </c>
      <c r="E907" s="11" t="s">
        <v>1038</v>
      </c>
      <c r="F907" s="12">
        <v>993279</v>
      </c>
      <c r="G907" s="12">
        <v>1276588</v>
      </c>
      <c r="H907" s="11">
        <v>14.78</v>
      </c>
      <c r="I907" s="11">
        <v>120</v>
      </c>
      <c r="J907" s="11">
        <v>730</v>
      </c>
      <c r="K907" s="11" t="s">
        <v>1042</v>
      </c>
      <c r="L907" s="11" t="s">
        <v>1044</v>
      </c>
      <c r="M907" s="13">
        <v>44436</v>
      </c>
      <c r="N907" s="11" t="s">
        <v>1045</v>
      </c>
      <c r="O907" s="14">
        <f t="shared" si="71"/>
        <v>20424.177659173198</v>
      </c>
      <c r="P907" s="14">
        <f t="shared" si="72"/>
        <v>2450901.3191007837</v>
      </c>
      <c r="Q907" s="14">
        <f t="shared" si="73"/>
        <v>1174313.3191007837</v>
      </c>
      <c r="R907" s="11">
        <f t="shared" ca="1" si="74"/>
        <v>4</v>
      </c>
      <c r="S907" s="11" t="str">
        <f t="shared" si="75"/>
        <v>700-749</v>
      </c>
    </row>
    <row r="908" spans="1:19" x14ac:dyDescent="0.3">
      <c r="A908" s="11" t="s">
        <v>920</v>
      </c>
      <c r="B908" s="11" t="s">
        <v>1025</v>
      </c>
      <c r="C908" s="11">
        <v>51</v>
      </c>
      <c r="D908" s="11" t="s">
        <v>1034</v>
      </c>
      <c r="E908" s="11" t="s">
        <v>1037</v>
      </c>
      <c r="F908" s="12">
        <v>1752103</v>
      </c>
      <c r="G908" s="12">
        <v>1183279</v>
      </c>
      <c r="H908" s="11">
        <v>9.8800000000000008</v>
      </c>
      <c r="I908" s="11">
        <v>36</v>
      </c>
      <c r="J908" s="11">
        <v>741</v>
      </c>
      <c r="K908" s="11" t="s">
        <v>1042</v>
      </c>
      <c r="L908" s="11" t="s">
        <v>1043</v>
      </c>
      <c r="M908" s="13">
        <v>44457</v>
      </c>
      <c r="N908" s="11" t="s">
        <v>1048</v>
      </c>
      <c r="O908" s="14">
        <f t="shared" si="71"/>
        <v>38114.454594865463</v>
      </c>
      <c r="P908" s="14">
        <f t="shared" si="72"/>
        <v>1372120.3654151566</v>
      </c>
      <c r="Q908" s="14">
        <f t="shared" si="73"/>
        <v>188841.36541515659</v>
      </c>
      <c r="R908" s="11">
        <f t="shared" ca="1" si="74"/>
        <v>4</v>
      </c>
      <c r="S908" s="11" t="str">
        <f t="shared" si="75"/>
        <v>700-749</v>
      </c>
    </row>
    <row r="909" spans="1:19" x14ac:dyDescent="0.3">
      <c r="A909" s="11" t="s">
        <v>921</v>
      </c>
      <c r="B909" s="11" t="s">
        <v>1023</v>
      </c>
      <c r="C909" s="11">
        <v>29</v>
      </c>
      <c r="D909" s="11" t="s">
        <v>1035</v>
      </c>
      <c r="E909" s="11" t="s">
        <v>1037</v>
      </c>
      <c r="F909" s="12">
        <v>338913</v>
      </c>
      <c r="G909" s="12">
        <v>279404</v>
      </c>
      <c r="H909" s="11">
        <v>13.39</v>
      </c>
      <c r="I909" s="11">
        <v>96</v>
      </c>
      <c r="J909" s="11">
        <v>732</v>
      </c>
      <c r="K909" s="11" t="s">
        <v>1041</v>
      </c>
      <c r="L909" s="11" t="s">
        <v>1044</v>
      </c>
      <c r="M909" s="13">
        <v>43461</v>
      </c>
      <c r="N909" s="11" t="s">
        <v>1046</v>
      </c>
      <c r="O909" s="14">
        <f t="shared" si="71"/>
        <v>4757.1746519652061</v>
      </c>
      <c r="P909" s="14">
        <f t="shared" si="72"/>
        <v>456688.76658865978</v>
      </c>
      <c r="Q909" s="14">
        <f t="shared" si="73"/>
        <v>177284.76658865978</v>
      </c>
      <c r="R909" s="11">
        <f t="shared" ca="1" si="74"/>
        <v>7</v>
      </c>
      <c r="S909" s="11" t="str">
        <f t="shared" si="75"/>
        <v>700-749</v>
      </c>
    </row>
    <row r="910" spans="1:19" x14ac:dyDescent="0.3">
      <c r="A910" s="11" t="s">
        <v>922</v>
      </c>
      <c r="B910" s="11" t="s">
        <v>1031</v>
      </c>
      <c r="C910" s="11">
        <v>49</v>
      </c>
      <c r="D910" s="11" t="s">
        <v>1034</v>
      </c>
      <c r="E910" s="11" t="s">
        <v>1037</v>
      </c>
      <c r="F910" s="12">
        <v>805883</v>
      </c>
      <c r="G910" s="12">
        <v>1793507</v>
      </c>
      <c r="H910" s="11">
        <v>12.06</v>
      </c>
      <c r="I910" s="11">
        <v>120</v>
      </c>
      <c r="J910" s="11">
        <v>690</v>
      </c>
      <c r="K910" s="11" t="s">
        <v>1039</v>
      </c>
      <c r="L910" s="11" t="s">
        <v>1044</v>
      </c>
      <c r="M910" s="13">
        <v>44209</v>
      </c>
      <c r="N910" s="11" t="s">
        <v>1048</v>
      </c>
      <c r="O910" s="14">
        <f t="shared" si="71"/>
        <v>25793.861295003298</v>
      </c>
      <c r="P910" s="14">
        <f t="shared" si="72"/>
        <v>3095263.3554003956</v>
      </c>
      <c r="Q910" s="14">
        <f t="shared" si="73"/>
        <v>1301756.3554003956</v>
      </c>
      <c r="R910" s="11">
        <f t="shared" ca="1" si="74"/>
        <v>4</v>
      </c>
      <c r="S910" s="11" t="str">
        <f t="shared" si="75"/>
        <v>650-699</v>
      </c>
    </row>
    <row r="911" spans="1:19" x14ac:dyDescent="0.3">
      <c r="A911" s="11" t="s">
        <v>923</v>
      </c>
      <c r="B911" s="11" t="s">
        <v>1015</v>
      </c>
      <c r="C911" s="11">
        <v>27</v>
      </c>
      <c r="D911" s="11" t="s">
        <v>1034</v>
      </c>
      <c r="E911" s="11" t="s">
        <v>1037</v>
      </c>
      <c r="F911" s="12">
        <v>354878</v>
      </c>
      <c r="G911" s="12">
        <v>422988</v>
      </c>
      <c r="H911" s="11">
        <v>11.25</v>
      </c>
      <c r="I911" s="11">
        <v>96</v>
      </c>
      <c r="J911" s="11">
        <v>776</v>
      </c>
      <c r="K911" s="11" t="s">
        <v>1041</v>
      </c>
      <c r="L911" s="11" t="s">
        <v>1044</v>
      </c>
      <c r="M911" s="13">
        <v>44940</v>
      </c>
      <c r="N911" s="11" t="s">
        <v>1046</v>
      </c>
      <c r="O911" s="14">
        <f t="shared" si="71"/>
        <v>6701.6457330273424</v>
      </c>
      <c r="P911" s="14">
        <f t="shared" si="72"/>
        <v>643357.99037062493</v>
      </c>
      <c r="Q911" s="14">
        <f t="shared" si="73"/>
        <v>220369.99037062493</v>
      </c>
      <c r="R911" s="11">
        <f t="shared" ca="1" si="74"/>
        <v>2</v>
      </c>
      <c r="S911" s="11" t="str">
        <f t="shared" si="75"/>
        <v>750-799</v>
      </c>
    </row>
    <row r="912" spans="1:19" x14ac:dyDescent="0.3">
      <c r="A912" s="11" t="s">
        <v>924</v>
      </c>
      <c r="B912" s="11" t="s">
        <v>1025</v>
      </c>
      <c r="C912" s="11">
        <v>43</v>
      </c>
      <c r="D912" s="11" t="s">
        <v>1035</v>
      </c>
      <c r="E912" s="11" t="s">
        <v>1037</v>
      </c>
      <c r="F912" s="12">
        <v>1961366</v>
      </c>
      <c r="G912" s="12">
        <v>1293672</v>
      </c>
      <c r="H912" s="11">
        <v>14.82</v>
      </c>
      <c r="I912" s="11">
        <v>48</v>
      </c>
      <c r="J912" s="11">
        <v>784</v>
      </c>
      <c r="K912" s="11" t="s">
        <v>1040</v>
      </c>
      <c r="L912" s="11" t="s">
        <v>1044</v>
      </c>
      <c r="M912" s="13">
        <v>44755</v>
      </c>
      <c r="N912" s="11" t="s">
        <v>1045</v>
      </c>
      <c r="O912" s="14">
        <f t="shared" si="71"/>
        <v>35885.931135533021</v>
      </c>
      <c r="P912" s="14">
        <f t="shared" si="72"/>
        <v>1722524.6945055849</v>
      </c>
      <c r="Q912" s="14">
        <f t="shared" si="73"/>
        <v>428852.69450558489</v>
      </c>
      <c r="R912" s="11">
        <f t="shared" ca="1" si="74"/>
        <v>3</v>
      </c>
      <c r="S912" s="11" t="str">
        <f t="shared" si="75"/>
        <v>750-799</v>
      </c>
    </row>
    <row r="913" spans="1:19" x14ac:dyDescent="0.3">
      <c r="A913" s="11" t="s">
        <v>925</v>
      </c>
      <c r="B913" s="11" t="s">
        <v>1029</v>
      </c>
      <c r="C913" s="11">
        <v>45</v>
      </c>
      <c r="D913" s="11" t="s">
        <v>1035</v>
      </c>
      <c r="E913" s="11" t="s">
        <v>1037</v>
      </c>
      <c r="F913" s="12">
        <v>1332677</v>
      </c>
      <c r="G913" s="12">
        <v>1727960</v>
      </c>
      <c r="H913" s="11">
        <v>8.66</v>
      </c>
      <c r="I913" s="11">
        <v>120</v>
      </c>
      <c r="J913" s="11">
        <v>721</v>
      </c>
      <c r="K913" s="11" t="s">
        <v>1041</v>
      </c>
      <c r="L913" s="11" t="s">
        <v>1043</v>
      </c>
      <c r="M913" s="13">
        <v>43202</v>
      </c>
      <c r="N913" s="11" t="s">
        <v>1047</v>
      </c>
      <c r="O913" s="14">
        <f t="shared" si="71"/>
        <v>21572.379527555306</v>
      </c>
      <c r="P913" s="14">
        <f t="shared" si="72"/>
        <v>2588685.5433066366</v>
      </c>
      <c r="Q913" s="14">
        <f t="shared" si="73"/>
        <v>860725.54330663662</v>
      </c>
      <c r="R913" s="11">
        <f t="shared" ca="1" si="74"/>
        <v>7</v>
      </c>
      <c r="S913" s="11" t="str">
        <f t="shared" si="75"/>
        <v>700-749</v>
      </c>
    </row>
    <row r="914" spans="1:19" x14ac:dyDescent="0.3">
      <c r="A914" s="11" t="s">
        <v>926</v>
      </c>
      <c r="B914" s="11" t="s">
        <v>1014</v>
      </c>
      <c r="C914" s="11">
        <v>45</v>
      </c>
      <c r="D914" s="11" t="s">
        <v>1034</v>
      </c>
      <c r="E914" s="11" t="s">
        <v>1036</v>
      </c>
      <c r="F914" s="12">
        <v>1934001</v>
      </c>
      <c r="G914" s="12">
        <v>880552</v>
      </c>
      <c r="H914" s="11">
        <v>13.87</v>
      </c>
      <c r="I914" s="11">
        <v>60</v>
      </c>
      <c r="J914" s="11">
        <v>712</v>
      </c>
      <c r="K914" s="11" t="s">
        <v>1040</v>
      </c>
      <c r="L914" s="11" t="s">
        <v>1043</v>
      </c>
      <c r="M914" s="13">
        <v>43668</v>
      </c>
      <c r="N914" s="11" t="s">
        <v>1047</v>
      </c>
      <c r="O914" s="14">
        <f t="shared" si="71"/>
        <v>20429.606791482107</v>
      </c>
      <c r="P914" s="14">
        <f t="shared" si="72"/>
        <v>1225776.4074889263</v>
      </c>
      <c r="Q914" s="14">
        <f t="shared" si="73"/>
        <v>345224.40748892631</v>
      </c>
      <c r="R914" s="11">
        <f t="shared" ca="1" si="74"/>
        <v>6</v>
      </c>
      <c r="S914" s="11" t="str">
        <f t="shared" si="75"/>
        <v>700-749</v>
      </c>
    </row>
    <row r="915" spans="1:19" x14ac:dyDescent="0.3">
      <c r="A915" s="11" t="s">
        <v>927</v>
      </c>
      <c r="B915" s="11" t="s">
        <v>1032</v>
      </c>
      <c r="C915" s="11">
        <v>31</v>
      </c>
      <c r="D915" s="11" t="s">
        <v>1034</v>
      </c>
      <c r="E915" s="11" t="s">
        <v>1036</v>
      </c>
      <c r="F915" s="12">
        <v>1867430</v>
      </c>
      <c r="G915" s="12">
        <v>1955598</v>
      </c>
      <c r="H915" s="11">
        <v>10.25</v>
      </c>
      <c r="I915" s="11">
        <v>96</v>
      </c>
      <c r="J915" s="11">
        <v>693</v>
      </c>
      <c r="K915" s="11" t="s">
        <v>1042</v>
      </c>
      <c r="L915" s="11" t="s">
        <v>1044</v>
      </c>
      <c r="M915" s="13">
        <v>45368</v>
      </c>
      <c r="N915" s="11" t="s">
        <v>1045</v>
      </c>
      <c r="O915" s="14">
        <f t="shared" si="71"/>
        <v>29933.88751326923</v>
      </c>
      <c r="P915" s="14">
        <f t="shared" si="72"/>
        <v>2873653.201273846</v>
      </c>
      <c r="Q915" s="14">
        <f t="shared" si="73"/>
        <v>918055.20127384597</v>
      </c>
      <c r="R915" s="11">
        <f t="shared" ca="1" si="74"/>
        <v>1</v>
      </c>
      <c r="S915" s="11" t="str">
        <f t="shared" si="75"/>
        <v>650-699</v>
      </c>
    </row>
    <row r="916" spans="1:19" x14ac:dyDescent="0.3">
      <c r="A916" s="11" t="s">
        <v>928</v>
      </c>
      <c r="B916" s="11" t="s">
        <v>1022</v>
      </c>
      <c r="C916" s="11">
        <v>59</v>
      </c>
      <c r="D916" s="11" t="s">
        <v>1034</v>
      </c>
      <c r="E916" s="11" t="s">
        <v>1036</v>
      </c>
      <c r="F916" s="12">
        <v>763354</v>
      </c>
      <c r="G916" s="12">
        <v>1759789</v>
      </c>
      <c r="H916" s="11">
        <v>13.2</v>
      </c>
      <c r="I916" s="11">
        <v>84</v>
      </c>
      <c r="J916" s="11">
        <v>747</v>
      </c>
      <c r="K916" s="11" t="s">
        <v>1040</v>
      </c>
      <c r="L916" s="11" t="s">
        <v>1044</v>
      </c>
      <c r="M916" s="13">
        <v>44662</v>
      </c>
      <c r="N916" s="11" t="s">
        <v>1048</v>
      </c>
      <c r="O916" s="14">
        <f t="shared" si="71"/>
        <v>32205.672224736678</v>
      </c>
      <c r="P916" s="14">
        <f t="shared" si="72"/>
        <v>2705276.466877881</v>
      </c>
      <c r="Q916" s="14">
        <f t="shared" si="73"/>
        <v>945487.46687788097</v>
      </c>
      <c r="R916" s="11">
        <f t="shared" ca="1" si="74"/>
        <v>3</v>
      </c>
      <c r="S916" s="11" t="str">
        <f t="shared" si="75"/>
        <v>700-749</v>
      </c>
    </row>
    <row r="917" spans="1:19" x14ac:dyDescent="0.3">
      <c r="A917" s="11" t="s">
        <v>929</v>
      </c>
      <c r="B917" s="11" t="s">
        <v>1028</v>
      </c>
      <c r="C917" s="11">
        <v>32</v>
      </c>
      <c r="D917" s="11" t="s">
        <v>1034</v>
      </c>
      <c r="E917" s="11" t="s">
        <v>1038</v>
      </c>
      <c r="F917" s="12">
        <v>407275</v>
      </c>
      <c r="G917" s="12">
        <v>302391</v>
      </c>
      <c r="H917" s="11">
        <v>8.25</v>
      </c>
      <c r="I917" s="11">
        <v>72</v>
      </c>
      <c r="J917" s="11">
        <v>754</v>
      </c>
      <c r="K917" s="11" t="s">
        <v>1039</v>
      </c>
      <c r="L917" s="11" t="s">
        <v>1044</v>
      </c>
      <c r="M917" s="13">
        <v>43227</v>
      </c>
      <c r="N917" s="11" t="s">
        <v>1048</v>
      </c>
      <c r="O917" s="14">
        <f t="shared" si="71"/>
        <v>5338.8827739613625</v>
      </c>
      <c r="P917" s="14">
        <f t="shared" si="72"/>
        <v>384399.5597252181</v>
      </c>
      <c r="Q917" s="14">
        <f t="shared" si="73"/>
        <v>82008.559725218103</v>
      </c>
      <c r="R917" s="11">
        <f t="shared" ca="1" si="74"/>
        <v>7</v>
      </c>
      <c r="S917" s="11" t="str">
        <f t="shared" si="75"/>
        <v>750-799</v>
      </c>
    </row>
    <row r="918" spans="1:19" x14ac:dyDescent="0.3">
      <c r="A918" s="11" t="s">
        <v>930</v>
      </c>
      <c r="B918" s="11" t="s">
        <v>1014</v>
      </c>
      <c r="C918" s="11">
        <v>30</v>
      </c>
      <c r="D918" s="11" t="s">
        <v>1034</v>
      </c>
      <c r="E918" s="11" t="s">
        <v>1038</v>
      </c>
      <c r="F918" s="12">
        <v>1903036</v>
      </c>
      <c r="G918" s="12">
        <v>310411</v>
      </c>
      <c r="H918" s="11">
        <v>11.09</v>
      </c>
      <c r="I918" s="11">
        <v>48</v>
      </c>
      <c r="J918" s="11">
        <v>794</v>
      </c>
      <c r="K918" s="11" t="s">
        <v>1039</v>
      </c>
      <c r="L918" s="11" t="s">
        <v>1044</v>
      </c>
      <c r="M918" s="13">
        <v>43369</v>
      </c>
      <c r="N918" s="11" t="s">
        <v>1048</v>
      </c>
      <c r="O918" s="14">
        <f t="shared" si="71"/>
        <v>8036.3083203082979</v>
      </c>
      <c r="P918" s="14">
        <f t="shared" si="72"/>
        <v>385742.79937479831</v>
      </c>
      <c r="Q918" s="14">
        <f t="shared" si="73"/>
        <v>75331.799374798313</v>
      </c>
      <c r="R918" s="11">
        <f t="shared" ca="1" si="74"/>
        <v>7</v>
      </c>
      <c r="S918" s="11" t="str">
        <f t="shared" si="75"/>
        <v>750-799</v>
      </c>
    </row>
    <row r="919" spans="1:19" x14ac:dyDescent="0.3">
      <c r="A919" s="11" t="s">
        <v>931</v>
      </c>
      <c r="B919" s="11" t="s">
        <v>1027</v>
      </c>
      <c r="C919" s="11">
        <v>38</v>
      </c>
      <c r="D919" s="11" t="s">
        <v>1035</v>
      </c>
      <c r="E919" s="11" t="s">
        <v>1036</v>
      </c>
      <c r="F919" s="12">
        <v>935931</v>
      </c>
      <c r="G919" s="12">
        <v>1888826</v>
      </c>
      <c r="H919" s="11">
        <v>8.31</v>
      </c>
      <c r="I919" s="11">
        <v>60</v>
      </c>
      <c r="J919" s="11">
        <v>651</v>
      </c>
      <c r="K919" s="11" t="s">
        <v>1041</v>
      </c>
      <c r="L919" s="11" t="s">
        <v>1044</v>
      </c>
      <c r="M919" s="13">
        <v>44206</v>
      </c>
      <c r="N919" s="11" t="s">
        <v>1047</v>
      </c>
      <c r="O919" s="14">
        <f t="shared" si="71"/>
        <v>38579.422709348022</v>
      </c>
      <c r="P919" s="14">
        <f t="shared" si="72"/>
        <v>2314765.3625608813</v>
      </c>
      <c r="Q919" s="14">
        <f t="shared" si="73"/>
        <v>425939.3625608813</v>
      </c>
      <c r="R919" s="11">
        <f t="shared" ca="1" si="74"/>
        <v>4</v>
      </c>
      <c r="S919" s="11" t="str">
        <f t="shared" si="75"/>
        <v>650-699</v>
      </c>
    </row>
    <row r="920" spans="1:19" x14ac:dyDescent="0.3">
      <c r="A920" s="11" t="s">
        <v>932</v>
      </c>
      <c r="B920" s="11" t="s">
        <v>1019</v>
      </c>
      <c r="C920" s="11">
        <v>31</v>
      </c>
      <c r="D920" s="11" t="s">
        <v>1035</v>
      </c>
      <c r="E920" s="11" t="s">
        <v>1038</v>
      </c>
      <c r="F920" s="12">
        <v>385176</v>
      </c>
      <c r="G920" s="12">
        <v>694387</v>
      </c>
      <c r="H920" s="11">
        <v>10.91</v>
      </c>
      <c r="I920" s="11">
        <v>72</v>
      </c>
      <c r="J920" s="11">
        <v>762</v>
      </c>
      <c r="K920" s="11" t="s">
        <v>1040</v>
      </c>
      <c r="L920" s="11" t="s">
        <v>1044</v>
      </c>
      <c r="M920" s="13">
        <v>44702</v>
      </c>
      <c r="N920" s="11" t="s">
        <v>1048</v>
      </c>
      <c r="O920" s="14">
        <f t="shared" si="71"/>
        <v>13185.029986974943</v>
      </c>
      <c r="P920" s="14">
        <f t="shared" si="72"/>
        <v>949322.15906219592</v>
      </c>
      <c r="Q920" s="14">
        <f t="shared" si="73"/>
        <v>254935.15906219592</v>
      </c>
      <c r="R920" s="11">
        <f t="shared" ca="1" si="74"/>
        <v>3</v>
      </c>
      <c r="S920" s="11" t="str">
        <f t="shared" si="75"/>
        <v>750-799</v>
      </c>
    </row>
    <row r="921" spans="1:19" x14ac:dyDescent="0.3">
      <c r="A921" s="11" t="s">
        <v>933</v>
      </c>
      <c r="B921" s="11" t="s">
        <v>1021</v>
      </c>
      <c r="C921" s="11">
        <v>36</v>
      </c>
      <c r="D921" s="11" t="s">
        <v>1034</v>
      </c>
      <c r="E921" s="11" t="s">
        <v>1038</v>
      </c>
      <c r="F921" s="12">
        <v>1243800</v>
      </c>
      <c r="G921" s="12">
        <v>592700</v>
      </c>
      <c r="H921" s="11">
        <v>9.6999999999999993</v>
      </c>
      <c r="I921" s="11">
        <v>72</v>
      </c>
      <c r="J921" s="11">
        <v>767</v>
      </c>
      <c r="K921" s="11" t="s">
        <v>1040</v>
      </c>
      <c r="L921" s="11" t="s">
        <v>1043</v>
      </c>
      <c r="M921" s="13">
        <v>44044</v>
      </c>
      <c r="N921" s="11" t="s">
        <v>1047</v>
      </c>
      <c r="O921" s="14">
        <f t="shared" si="71"/>
        <v>10890.809658478442</v>
      </c>
      <c r="P921" s="14">
        <f t="shared" si="72"/>
        <v>784138.29541044775</v>
      </c>
      <c r="Q921" s="14">
        <f t="shared" si="73"/>
        <v>191438.29541044775</v>
      </c>
      <c r="R921" s="11">
        <f t="shared" ca="1" si="74"/>
        <v>5</v>
      </c>
      <c r="S921" s="11" t="str">
        <f t="shared" si="75"/>
        <v>750-799</v>
      </c>
    </row>
    <row r="922" spans="1:19" x14ac:dyDescent="0.3">
      <c r="A922" s="11" t="s">
        <v>934</v>
      </c>
      <c r="B922" s="11" t="s">
        <v>1030</v>
      </c>
      <c r="C922" s="11">
        <v>41</v>
      </c>
      <c r="D922" s="11" t="s">
        <v>1035</v>
      </c>
      <c r="E922" s="11" t="s">
        <v>1038</v>
      </c>
      <c r="F922" s="12">
        <v>534434</v>
      </c>
      <c r="G922" s="12">
        <v>642159</v>
      </c>
      <c r="H922" s="11">
        <v>9.67</v>
      </c>
      <c r="I922" s="11">
        <v>60</v>
      </c>
      <c r="J922" s="11">
        <v>786</v>
      </c>
      <c r="K922" s="11" t="s">
        <v>1039</v>
      </c>
      <c r="L922" s="11" t="s">
        <v>1043</v>
      </c>
      <c r="M922" s="13">
        <v>44018</v>
      </c>
      <c r="N922" s="11" t="s">
        <v>1047</v>
      </c>
      <c r="O922" s="14">
        <f t="shared" si="71"/>
        <v>13539.945453244132</v>
      </c>
      <c r="P922" s="14">
        <f t="shared" si="72"/>
        <v>812396.72719464789</v>
      </c>
      <c r="Q922" s="14">
        <f t="shared" si="73"/>
        <v>170237.72719464789</v>
      </c>
      <c r="R922" s="11">
        <f t="shared" ca="1" si="74"/>
        <v>5</v>
      </c>
      <c r="S922" s="11" t="str">
        <f t="shared" si="75"/>
        <v>750-799</v>
      </c>
    </row>
    <row r="923" spans="1:19" x14ac:dyDescent="0.3">
      <c r="A923" s="11" t="s">
        <v>935</v>
      </c>
      <c r="B923" s="11" t="s">
        <v>1021</v>
      </c>
      <c r="C923" s="11">
        <v>51</v>
      </c>
      <c r="D923" s="11" t="s">
        <v>1034</v>
      </c>
      <c r="E923" s="11" t="s">
        <v>1038</v>
      </c>
      <c r="F923" s="12">
        <v>1448892</v>
      </c>
      <c r="G923" s="12">
        <v>1406875</v>
      </c>
      <c r="H923" s="11">
        <v>13.81</v>
      </c>
      <c r="I923" s="11">
        <v>60</v>
      </c>
      <c r="J923" s="11">
        <v>783</v>
      </c>
      <c r="K923" s="11" t="s">
        <v>1042</v>
      </c>
      <c r="L923" s="11" t="s">
        <v>1043</v>
      </c>
      <c r="M923" s="13">
        <v>45067</v>
      </c>
      <c r="N923" s="11" t="s">
        <v>1045</v>
      </c>
      <c r="O923" s="14">
        <f t="shared" si="71"/>
        <v>32597.104085392955</v>
      </c>
      <c r="P923" s="14">
        <f t="shared" si="72"/>
        <v>1955826.2451235773</v>
      </c>
      <c r="Q923" s="14">
        <f t="shared" si="73"/>
        <v>548951.2451235773</v>
      </c>
      <c r="R923" s="11">
        <f t="shared" ca="1" si="74"/>
        <v>2</v>
      </c>
      <c r="S923" s="11" t="str">
        <f t="shared" si="75"/>
        <v>750-799</v>
      </c>
    </row>
    <row r="924" spans="1:19" x14ac:dyDescent="0.3">
      <c r="A924" s="11" t="s">
        <v>936</v>
      </c>
      <c r="B924" s="11" t="s">
        <v>1029</v>
      </c>
      <c r="C924" s="11">
        <v>33</v>
      </c>
      <c r="D924" s="11" t="s">
        <v>1034</v>
      </c>
      <c r="E924" s="11" t="s">
        <v>1036</v>
      </c>
      <c r="F924" s="12">
        <v>305359</v>
      </c>
      <c r="G924" s="12">
        <v>1264230</v>
      </c>
      <c r="H924" s="11">
        <v>10.25</v>
      </c>
      <c r="I924" s="11">
        <v>48</v>
      </c>
      <c r="J924" s="11">
        <v>647</v>
      </c>
      <c r="K924" s="11" t="s">
        <v>1040</v>
      </c>
      <c r="L924" s="11" t="s">
        <v>1043</v>
      </c>
      <c r="M924" s="13">
        <v>45356</v>
      </c>
      <c r="N924" s="11" t="s">
        <v>1047</v>
      </c>
      <c r="O924" s="14">
        <f t="shared" si="71"/>
        <v>32216.136786535069</v>
      </c>
      <c r="P924" s="14">
        <f t="shared" si="72"/>
        <v>1546374.5657536834</v>
      </c>
      <c r="Q924" s="14">
        <f t="shared" si="73"/>
        <v>282144.56575368345</v>
      </c>
      <c r="R924" s="11">
        <f t="shared" ca="1" si="74"/>
        <v>1</v>
      </c>
      <c r="S924" s="11" t="str">
        <f t="shared" si="75"/>
        <v>600-649</v>
      </c>
    </row>
    <row r="925" spans="1:19" x14ac:dyDescent="0.3">
      <c r="A925" s="11" t="s">
        <v>937</v>
      </c>
      <c r="B925" s="11" t="s">
        <v>1014</v>
      </c>
      <c r="C925" s="11">
        <v>59</v>
      </c>
      <c r="D925" s="11" t="s">
        <v>1035</v>
      </c>
      <c r="E925" s="11" t="s">
        <v>1036</v>
      </c>
      <c r="F925" s="12">
        <v>1944488</v>
      </c>
      <c r="G925" s="12">
        <v>274532</v>
      </c>
      <c r="H925" s="11">
        <v>9.91</v>
      </c>
      <c r="I925" s="11">
        <v>120</v>
      </c>
      <c r="J925" s="11">
        <v>717</v>
      </c>
      <c r="K925" s="11" t="s">
        <v>1042</v>
      </c>
      <c r="L925" s="11" t="s">
        <v>1044</v>
      </c>
      <c r="M925" s="13">
        <v>43377</v>
      </c>
      <c r="N925" s="11" t="s">
        <v>1045</v>
      </c>
      <c r="O925" s="14">
        <f t="shared" si="71"/>
        <v>3614.2923391804343</v>
      </c>
      <c r="P925" s="14">
        <f t="shared" si="72"/>
        <v>433715.0807016521</v>
      </c>
      <c r="Q925" s="14">
        <f t="shared" si="73"/>
        <v>159183.0807016521</v>
      </c>
      <c r="R925" s="11">
        <f t="shared" ca="1" si="74"/>
        <v>7</v>
      </c>
      <c r="S925" s="11" t="str">
        <f t="shared" si="75"/>
        <v>700-749</v>
      </c>
    </row>
    <row r="926" spans="1:19" x14ac:dyDescent="0.3">
      <c r="A926" s="11" t="s">
        <v>938</v>
      </c>
      <c r="B926" s="11" t="s">
        <v>1014</v>
      </c>
      <c r="C926" s="11">
        <v>27</v>
      </c>
      <c r="D926" s="11" t="s">
        <v>1034</v>
      </c>
      <c r="E926" s="11" t="s">
        <v>1038</v>
      </c>
      <c r="F926" s="12">
        <v>1294704</v>
      </c>
      <c r="G926" s="12">
        <v>1649794</v>
      </c>
      <c r="H926" s="11">
        <v>14.78</v>
      </c>
      <c r="I926" s="11">
        <v>36</v>
      </c>
      <c r="J926" s="11">
        <v>674</v>
      </c>
      <c r="K926" s="11" t="s">
        <v>1042</v>
      </c>
      <c r="L926" s="11" t="s">
        <v>1043</v>
      </c>
      <c r="M926" s="13">
        <v>44688</v>
      </c>
      <c r="N926" s="11" t="s">
        <v>1048</v>
      </c>
      <c r="O926" s="14">
        <f t="shared" si="71"/>
        <v>57013.070512220329</v>
      </c>
      <c r="P926" s="14">
        <f t="shared" si="72"/>
        <v>2052470.5384399318</v>
      </c>
      <c r="Q926" s="14">
        <f t="shared" si="73"/>
        <v>402676.53843993181</v>
      </c>
      <c r="R926" s="11">
        <f t="shared" ca="1" si="74"/>
        <v>3</v>
      </c>
      <c r="S926" s="11" t="str">
        <f t="shared" si="75"/>
        <v>650-699</v>
      </c>
    </row>
    <row r="927" spans="1:19" x14ac:dyDescent="0.3">
      <c r="A927" s="11" t="s">
        <v>939</v>
      </c>
      <c r="B927" s="11" t="s">
        <v>1021</v>
      </c>
      <c r="C927" s="11">
        <v>30</v>
      </c>
      <c r="D927" s="11" t="s">
        <v>1034</v>
      </c>
      <c r="E927" s="11" t="s">
        <v>1037</v>
      </c>
      <c r="F927" s="12">
        <v>721133</v>
      </c>
      <c r="G927" s="12">
        <v>779079</v>
      </c>
      <c r="H927" s="11">
        <v>14.85</v>
      </c>
      <c r="I927" s="11">
        <v>96</v>
      </c>
      <c r="J927" s="11">
        <v>750</v>
      </c>
      <c r="K927" s="11" t="s">
        <v>1041</v>
      </c>
      <c r="L927" s="11" t="s">
        <v>1043</v>
      </c>
      <c r="M927" s="13">
        <v>43473</v>
      </c>
      <c r="N927" s="11" t="s">
        <v>1048</v>
      </c>
      <c r="O927" s="14">
        <f t="shared" si="71"/>
        <v>13913.346722498367</v>
      </c>
      <c r="P927" s="14">
        <f t="shared" si="72"/>
        <v>1335681.2853598432</v>
      </c>
      <c r="Q927" s="14">
        <f t="shared" si="73"/>
        <v>556602.28535984317</v>
      </c>
      <c r="R927" s="11">
        <f t="shared" ca="1" si="74"/>
        <v>6</v>
      </c>
      <c r="S927" s="11" t="str">
        <f t="shared" si="75"/>
        <v>750-799</v>
      </c>
    </row>
    <row r="928" spans="1:19" x14ac:dyDescent="0.3">
      <c r="A928" s="11" t="s">
        <v>940</v>
      </c>
      <c r="B928" s="11" t="s">
        <v>1014</v>
      </c>
      <c r="C928" s="11">
        <v>46</v>
      </c>
      <c r="D928" s="11" t="s">
        <v>1035</v>
      </c>
      <c r="E928" s="11" t="s">
        <v>1038</v>
      </c>
      <c r="F928" s="12">
        <v>1291181</v>
      </c>
      <c r="G928" s="12">
        <v>1602121</v>
      </c>
      <c r="H928" s="11">
        <v>9.92</v>
      </c>
      <c r="I928" s="11">
        <v>36</v>
      </c>
      <c r="J928" s="11">
        <v>628</v>
      </c>
      <c r="K928" s="11" t="s">
        <v>1040</v>
      </c>
      <c r="L928" s="11" t="s">
        <v>1043</v>
      </c>
      <c r="M928" s="13">
        <v>45012</v>
      </c>
      <c r="N928" s="11" t="s">
        <v>1045</v>
      </c>
      <c r="O928" s="14">
        <f t="shared" si="71"/>
        <v>51635.784178715374</v>
      </c>
      <c r="P928" s="14">
        <f t="shared" si="72"/>
        <v>1858888.2304337535</v>
      </c>
      <c r="Q928" s="14">
        <f t="shared" si="73"/>
        <v>256767.23043375346</v>
      </c>
      <c r="R928" s="11">
        <f t="shared" ca="1" si="74"/>
        <v>2</v>
      </c>
      <c r="S928" s="11" t="str">
        <f t="shared" si="75"/>
        <v>600-649</v>
      </c>
    </row>
    <row r="929" spans="1:19" x14ac:dyDescent="0.3">
      <c r="A929" s="11" t="s">
        <v>941</v>
      </c>
      <c r="B929" s="11" t="s">
        <v>1020</v>
      </c>
      <c r="C929" s="11">
        <v>29</v>
      </c>
      <c r="D929" s="11" t="s">
        <v>1035</v>
      </c>
      <c r="E929" s="11" t="s">
        <v>1037</v>
      </c>
      <c r="F929" s="12">
        <v>1734344</v>
      </c>
      <c r="G929" s="12">
        <v>1166271</v>
      </c>
      <c r="H929" s="11">
        <v>12.2</v>
      </c>
      <c r="I929" s="11">
        <v>60</v>
      </c>
      <c r="J929" s="11">
        <v>683</v>
      </c>
      <c r="K929" s="11" t="s">
        <v>1039</v>
      </c>
      <c r="L929" s="11" t="s">
        <v>1044</v>
      </c>
      <c r="M929" s="13">
        <v>44712</v>
      </c>
      <c r="N929" s="11" t="s">
        <v>1045</v>
      </c>
      <c r="O929" s="14">
        <f t="shared" si="71"/>
        <v>26061.079142682422</v>
      </c>
      <c r="P929" s="14">
        <f t="shared" si="72"/>
        <v>1563664.7485609453</v>
      </c>
      <c r="Q929" s="14">
        <f t="shared" si="73"/>
        <v>397393.74856094527</v>
      </c>
      <c r="R929" s="11">
        <f t="shared" ca="1" si="74"/>
        <v>3</v>
      </c>
      <c r="S929" s="11" t="str">
        <f t="shared" si="75"/>
        <v>650-699</v>
      </c>
    </row>
    <row r="930" spans="1:19" x14ac:dyDescent="0.3">
      <c r="A930" s="11" t="s">
        <v>942</v>
      </c>
      <c r="B930" s="11" t="s">
        <v>1030</v>
      </c>
      <c r="C930" s="11">
        <v>34</v>
      </c>
      <c r="D930" s="11" t="s">
        <v>1035</v>
      </c>
      <c r="E930" s="11" t="s">
        <v>1037</v>
      </c>
      <c r="F930" s="12">
        <v>488931</v>
      </c>
      <c r="G930" s="12">
        <v>295937</v>
      </c>
      <c r="H930" s="11">
        <v>9.82</v>
      </c>
      <c r="I930" s="11">
        <v>36</v>
      </c>
      <c r="J930" s="11">
        <v>720</v>
      </c>
      <c r="K930" s="11" t="s">
        <v>1042</v>
      </c>
      <c r="L930" s="11" t="s">
        <v>1044</v>
      </c>
      <c r="M930" s="13">
        <v>43997</v>
      </c>
      <c r="N930" s="11" t="s">
        <v>1047</v>
      </c>
      <c r="O930" s="14">
        <f t="shared" si="71"/>
        <v>9524.0647875775139</v>
      </c>
      <c r="P930" s="14">
        <f t="shared" si="72"/>
        <v>342866.33235279052</v>
      </c>
      <c r="Q930" s="14">
        <f t="shared" si="73"/>
        <v>46929.332352790516</v>
      </c>
      <c r="R930" s="11">
        <f t="shared" ca="1" si="74"/>
        <v>5</v>
      </c>
      <c r="S930" s="11" t="str">
        <f t="shared" si="75"/>
        <v>700-749</v>
      </c>
    </row>
    <row r="931" spans="1:19" x14ac:dyDescent="0.3">
      <c r="A931" s="11" t="s">
        <v>943</v>
      </c>
      <c r="B931" s="11" t="s">
        <v>1022</v>
      </c>
      <c r="C931" s="11">
        <v>27</v>
      </c>
      <c r="D931" s="11" t="s">
        <v>1035</v>
      </c>
      <c r="E931" s="11" t="s">
        <v>1038</v>
      </c>
      <c r="F931" s="12">
        <v>1426599</v>
      </c>
      <c r="G931" s="12">
        <v>219684</v>
      </c>
      <c r="H931" s="11">
        <v>9.7799999999999994</v>
      </c>
      <c r="I931" s="11">
        <v>60</v>
      </c>
      <c r="J931" s="11">
        <v>769</v>
      </c>
      <c r="K931" s="11" t="s">
        <v>1040</v>
      </c>
      <c r="L931" s="11" t="s">
        <v>1044</v>
      </c>
      <c r="M931" s="13">
        <v>44811</v>
      </c>
      <c r="N931" s="11" t="s">
        <v>1047</v>
      </c>
      <c r="O931" s="14">
        <f t="shared" si="71"/>
        <v>4643.8907808197819</v>
      </c>
      <c r="P931" s="14">
        <f t="shared" si="72"/>
        <v>278633.4468491869</v>
      </c>
      <c r="Q931" s="14">
        <f t="shared" si="73"/>
        <v>58949.446849186905</v>
      </c>
      <c r="R931" s="11">
        <f t="shared" ca="1" si="74"/>
        <v>3</v>
      </c>
      <c r="S931" s="11" t="str">
        <f t="shared" si="75"/>
        <v>750-799</v>
      </c>
    </row>
    <row r="932" spans="1:19" x14ac:dyDescent="0.3">
      <c r="A932" s="11" t="s">
        <v>944</v>
      </c>
      <c r="B932" s="11" t="s">
        <v>1032</v>
      </c>
      <c r="C932" s="11">
        <v>25</v>
      </c>
      <c r="D932" s="11" t="s">
        <v>1035</v>
      </c>
      <c r="E932" s="11" t="s">
        <v>1038</v>
      </c>
      <c r="F932" s="12">
        <v>1636538</v>
      </c>
      <c r="G932" s="12">
        <v>1490878</v>
      </c>
      <c r="H932" s="11">
        <v>13.8</v>
      </c>
      <c r="I932" s="11">
        <v>72</v>
      </c>
      <c r="J932" s="11">
        <v>722</v>
      </c>
      <c r="K932" s="11" t="s">
        <v>1039</v>
      </c>
      <c r="L932" s="11" t="s">
        <v>1044</v>
      </c>
      <c r="M932" s="13">
        <v>45040</v>
      </c>
      <c r="N932" s="11" t="s">
        <v>1045</v>
      </c>
      <c r="O932" s="14">
        <f t="shared" si="71"/>
        <v>30561.208121375072</v>
      </c>
      <c r="P932" s="14">
        <f t="shared" si="72"/>
        <v>2200406.9847390051</v>
      </c>
      <c r="Q932" s="14">
        <f t="shared" si="73"/>
        <v>709528.9847390051</v>
      </c>
      <c r="R932" s="11">
        <f t="shared" ca="1" si="74"/>
        <v>2</v>
      </c>
      <c r="S932" s="11" t="str">
        <f t="shared" si="75"/>
        <v>700-749</v>
      </c>
    </row>
    <row r="933" spans="1:19" x14ac:dyDescent="0.3">
      <c r="A933" s="11" t="s">
        <v>945</v>
      </c>
      <c r="B933" s="11" t="s">
        <v>1021</v>
      </c>
      <c r="C933" s="11">
        <v>39</v>
      </c>
      <c r="D933" s="11" t="s">
        <v>1035</v>
      </c>
      <c r="E933" s="11" t="s">
        <v>1038</v>
      </c>
      <c r="F933" s="12">
        <v>494117</v>
      </c>
      <c r="G933" s="12">
        <v>1179096</v>
      </c>
      <c r="H933" s="11">
        <v>12.55</v>
      </c>
      <c r="I933" s="11">
        <v>48</v>
      </c>
      <c r="J933" s="11">
        <v>727</v>
      </c>
      <c r="K933" s="11" t="s">
        <v>1039</v>
      </c>
      <c r="L933" s="11" t="s">
        <v>1044</v>
      </c>
      <c r="M933" s="13">
        <v>44760</v>
      </c>
      <c r="N933" s="11" t="s">
        <v>1045</v>
      </c>
      <c r="O933" s="14">
        <f t="shared" si="71"/>
        <v>31369.48195589384</v>
      </c>
      <c r="P933" s="14">
        <f t="shared" si="72"/>
        <v>1505735.1338829044</v>
      </c>
      <c r="Q933" s="14">
        <f t="shared" si="73"/>
        <v>326639.13388290443</v>
      </c>
      <c r="R933" s="11">
        <f t="shared" ca="1" si="74"/>
        <v>3</v>
      </c>
      <c r="S933" s="11" t="str">
        <f t="shared" si="75"/>
        <v>700-749</v>
      </c>
    </row>
    <row r="934" spans="1:19" x14ac:dyDescent="0.3">
      <c r="A934" s="11" t="s">
        <v>946</v>
      </c>
      <c r="B934" s="11" t="s">
        <v>1025</v>
      </c>
      <c r="C934" s="11">
        <v>57</v>
      </c>
      <c r="D934" s="11" t="s">
        <v>1035</v>
      </c>
      <c r="E934" s="11" t="s">
        <v>1037</v>
      </c>
      <c r="F934" s="12">
        <v>1529742</v>
      </c>
      <c r="G934" s="12">
        <v>875212</v>
      </c>
      <c r="H934" s="11">
        <v>7.96</v>
      </c>
      <c r="I934" s="11">
        <v>60</v>
      </c>
      <c r="J934" s="11">
        <v>682</v>
      </c>
      <c r="K934" s="11" t="s">
        <v>1040</v>
      </c>
      <c r="L934" s="11" t="s">
        <v>1044</v>
      </c>
      <c r="M934" s="13">
        <v>43736</v>
      </c>
      <c r="N934" s="11" t="s">
        <v>1048</v>
      </c>
      <c r="O934" s="14">
        <f t="shared" si="71"/>
        <v>17729.393830042547</v>
      </c>
      <c r="P934" s="14">
        <f t="shared" si="72"/>
        <v>1063763.6298025528</v>
      </c>
      <c r="Q934" s="14">
        <f t="shared" si="73"/>
        <v>188551.62980255275</v>
      </c>
      <c r="R934" s="11">
        <f t="shared" ca="1" si="74"/>
        <v>6</v>
      </c>
      <c r="S934" s="11" t="str">
        <f t="shared" si="75"/>
        <v>650-699</v>
      </c>
    </row>
    <row r="935" spans="1:19" x14ac:dyDescent="0.3">
      <c r="A935" s="11" t="s">
        <v>947</v>
      </c>
      <c r="B935" s="11" t="s">
        <v>1024</v>
      </c>
      <c r="C935" s="11">
        <v>29</v>
      </c>
      <c r="D935" s="11" t="s">
        <v>1035</v>
      </c>
      <c r="E935" s="11" t="s">
        <v>1038</v>
      </c>
      <c r="F935" s="12">
        <v>915547</v>
      </c>
      <c r="G935" s="12">
        <v>928405</v>
      </c>
      <c r="H935" s="11">
        <v>8.65</v>
      </c>
      <c r="I935" s="11">
        <v>96</v>
      </c>
      <c r="J935" s="11">
        <v>762</v>
      </c>
      <c r="K935" s="11" t="s">
        <v>1042</v>
      </c>
      <c r="L935" s="11" t="s">
        <v>1044</v>
      </c>
      <c r="M935" s="13">
        <v>45252</v>
      </c>
      <c r="N935" s="11" t="s">
        <v>1045</v>
      </c>
      <c r="O935" s="14">
        <f t="shared" si="71"/>
        <v>13433.348223187959</v>
      </c>
      <c r="P935" s="14">
        <f t="shared" si="72"/>
        <v>1289601.429426044</v>
      </c>
      <c r="Q935" s="14">
        <f t="shared" si="73"/>
        <v>361196.42942604399</v>
      </c>
      <c r="R935" s="11">
        <f t="shared" ca="1" si="74"/>
        <v>2</v>
      </c>
      <c r="S935" s="11" t="str">
        <f t="shared" si="75"/>
        <v>750-799</v>
      </c>
    </row>
    <row r="936" spans="1:19" x14ac:dyDescent="0.3">
      <c r="A936" s="11" t="s">
        <v>948</v>
      </c>
      <c r="B936" s="11" t="s">
        <v>1024</v>
      </c>
      <c r="C936" s="11">
        <v>55</v>
      </c>
      <c r="D936" s="11" t="s">
        <v>1035</v>
      </c>
      <c r="E936" s="11" t="s">
        <v>1038</v>
      </c>
      <c r="F936" s="12">
        <v>844204</v>
      </c>
      <c r="G936" s="12">
        <v>640031</v>
      </c>
      <c r="H936" s="11">
        <v>14.63</v>
      </c>
      <c r="I936" s="11">
        <v>48</v>
      </c>
      <c r="J936" s="11">
        <v>764</v>
      </c>
      <c r="K936" s="11" t="s">
        <v>1039</v>
      </c>
      <c r="L936" s="11" t="s">
        <v>1043</v>
      </c>
      <c r="M936" s="13">
        <v>45549</v>
      </c>
      <c r="N936" s="11" t="s">
        <v>1045</v>
      </c>
      <c r="O936" s="14">
        <f t="shared" si="71"/>
        <v>17692.730818785003</v>
      </c>
      <c r="P936" s="14">
        <f t="shared" si="72"/>
        <v>849251.07930168021</v>
      </c>
      <c r="Q936" s="14">
        <f t="shared" si="73"/>
        <v>209220.07930168021</v>
      </c>
      <c r="R936" s="11">
        <f t="shared" ca="1" si="74"/>
        <v>1</v>
      </c>
      <c r="S936" s="11" t="str">
        <f t="shared" si="75"/>
        <v>750-799</v>
      </c>
    </row>
    <row r="937" spans="1:19" x14ac:dyDescent="0.3">
      <c r="A937" s="11" t="s">
        <v>949</v>
      </c>
      <c r="B937" s="11" t="s">
        <v>1028</v>
      </c>
      <c r="C937" s="11">
        <v>51</v>
      </c>
      <c r="D937" s="11" t="s">
        <v>1035</v>
      </c>
      <c r="E937" s="11" t="s">
        <v>1037</v>
      </c>
      <c r="F937" s="12">
        <v>447542</v>
      </c>
      <c r="G937" s="12">
        <v>1096589</v>
      </c>
      <c r="H937" s="11">
        <v>9.0399999999999991</v>
      </c>
      <c r="I937" s="11">
        <v>96</v>
      </c>
      <c r="J937" s="11">
        <v>806</v>
      </c>
      <c r="K937" s="11" t="s">
        <v>1040</v>
      </c>
      <c r="L937" s="11" t="s">
        <v>1044</v>
      </c>
      <c r="M937" s="13">
        <v>44928</v>
      </c>
      <c r="N937" s="11" t="s">
        <v>1047</v>
      </c>
      <c r="O937" s="14">
        <f t="shared" si="71"/>
        <v>16088.015757491514</v>
      </c>
      <c r="P937" s="14">
        <f t="shared" si="72"/>
        <v>1544449.5127191853</v>
      </c>
      <c r="Q937" s="14">
        <f t="shared" si="73"/>
        <v>447860.51271918532</v>
      </c>
      <c r="R937" s="11">
        <f t="shared" ca="1" si="74"/>
        <v>2</v>
      </c>
      <c r="S937" s="11" t="str">
        <f t="shared" si="75"/>
        <v>800-850</v>
      </c>
    </row>
    <row r="938" spans="1:19" x14ac:dyDescent="0.3">
      <c r="A938" s="11" t="s">
        <v>950</v>
      </c>
      <c r="B938" s="11" t="s">
        <v>1021</v>
      </c>
      <c r="C938" s="11">
        <v>29</v>
      </c>
      <c r="D938" s="11" t="s">
        <v>1034</v>
      </c>
      <c r="E938" s="11" t="s">
        <v>1036</v>
      </c>
      <c r="F938" s="12">
        <v>1088878</v>
      </c>
      <c r="G938" s="12">
        <v>242046</v>
      </c>
      <c r="H938" s="11">
        <v>14.11</v>
      </c>
      <c r="I938" s="11">
        <v>36</v>
      </c>
      <c r="J938" s="11">
        <v>658</v>
      </c>
      <c r="K938" s="11" t="s">
        <v>1041</v>
      </c>
      <c r="L938" s="11" t="s">
        <v>1044</v>
      </c>
      <c r="M938" s="13">
        <v>43224</v>
      </c>
      <c r="N938" s="11" t="s">
        <v>1046</v>
      </c>
      <c r="O938" s="14">
        <f t="shared" si="71"/>
        <v>8285.4960048296598</v>
      </c>
      <c r="P938" s="14">
        <f t="shared" si="72"/>
        <v>298277.85617386777</v>
      </c>
      <c r="Q938" s="14">
        <f t="shared" si="73"/>
        <v>56231.856173867767</v>
      </c>
      <c r="R938" s="11">
        <f t="shared" ca="1" si="74"/>
        <v>7</v>
      </c>
      <c r="S938" s="11" t="str">
        <f t="shared" si="75"/>
        <v>650-699</v>
      </c>
    </row>
    <row r="939" spans="1:19" x14ac:dyDescent="0.3">
      <c r="A939" s="11" t="s">
        <v>951</v>
      </c>
      <c r="B939" s="11" t="s">
        <v>1032</v>
      </c>
      <c r="C939" s="11">
        <v>46</v>
      </c>
      <c r="D939" s="11" t="s">
        <v>1035</v>
      </c>
      <c r="E939" s="11" t="s">
        <v>1037</v>
      </c>
      <c r="F939" s="12">
        <v>1311631</v>
      </c>
      <c r="G939" s="12">
        <v>598883</v>
      </c>
      <c r="H939" s="11">
        <v>11.59</v>
      </c>
      <c r="I939" s="11">
        <v>96</v>
      </c>
      <c r="J939" s="11">
        <v>691</v>
      </c>
      <c r="K939" s="11" t="s">
        <v>1039</v>
      </c>
      <c r="L939" s="11" t="s">
        <v>1044</v>
      </c>
      <c r="M939" s="13">
        <v>44442</v>
      </c>
      <c r="N939" s="11" t="s">
        <v>1045</v>
      </c>
      <c r="O939" s="14">
        <f t="shared" si="71"/>
        <v>9599.1438321484147</v>
      </c>
      <c r="P939" s="14">
        <f t="shared" si="72"/>
        <v>921517.80788624776</v>
      </c>
      <c r="Q939" s="14">
        <f t="shared" si="73"/>
        <v>322634.80788624776</v>
      </c>
      <c r="R939" s="11">
        <f t="shared" ca="1" si="74"/>
        <v>4</v>
      </c>
      <c r="S939" s="11" t="str">
        <f t="shared" si="75"/>
        <v>650-699</v>
      </c>
    </row>
    <row r="940" spans="1:19" x14ac:dyDescent="0.3">
      <c r="A940" s="11" t="s">
        <v>952</v>
      </c>
      <c r="B940" s="11" t="s">
        <v>1025</v>
      </c>
      <c r="C940" s="11">
        <v>59</v>
      </c>
      <c r="D940" s="11" t="s">
        <v>1034</v>
      </c>
      <c r="E940" s="11" t="s">
        <v>1036</v>
      </c>
      <c r="F940" s="12">
        <v>1570933</v>
      </c>
      <c r="G940" s="12">
        <v>1802905</v>
      </c>
      <c r="H940" s="11">
        <v>11.61</v>
      </c>
      <c r="I940" s="11">
        <v>36</v>
      </c>
      <c r="J940" s="11">
        <v>635</v>
      </c>
      <c r="K940" s="11" t="s">
        <v>1040</v>
      </c>
      <c r="L940" s="11" t="s">
        <v>1044</v>
      </c>
      <c r="M940" s="13">
        <v>43709</v>
      </c>
      <c r="N940" s="11" t="s">
        <v>1045</v>
      </c>
      <c r="O940" s="14">
        <f t="shared" si="71"/>
        <v>59546.970555683823</v>
      </c>
      <c r="P940" s="14">
        <f t="shared" si="72"/>
        <v>2143690.9400046174</v>
      </c>
      <c r="Q940" s="14">
        <f t="shared" si="73"/>
        <v>340785.94000461744</v>
      </c>
      <c r="R940" s="11">
        <f t="shared" ca="1" si="74"/>
        <v>6</v>
      </c>
      <c r="S940" s="11" t="str">
        <f t="shared" si="75"/>
        <v>600-649</v>
      </c>
    </row>
    <row r="941" spans="1:19" x14ac:dyDescent="0.3">
      <c r="A941" s="11" t="s">
        <v>953</v>
      </c>
      <c r="B941" s="11" t="s">
        <v>1018</v>
      </c>
      <c r="C941" s="11">
        <v>25</v>
      </c>
      <c r="D941" s="11" t="s">
        <v>1034</v>
      </c>
      <c r="E941" s="11" t="s">
        <v>1036</v>
      </c>
      <c r="F941" s="12">
        <v>341361</v>
      </c>
      <c r="G941" s="12">
        <v>1066092</v>
      </c>
      <c r="H941" s="11">
        <v>11.2</v>
      </c>
      <c r="I941" s="11">
        <v>72</v>
      </c>
      <c r="J941" s="11">
        <v>623</v>
      </c>
      <c r="K941" s="11" t="s">
        <v>1042</v>
      </c>
      <c r="L941" s="11" t="s">
        <v>1044</v>
      </c>
      <c r="M941" s="13">
        <v>45378</v>
      </c>
      <c r="N941" s="11" t="s">
        <v>1047</v>
      </c>
      <c r="O941" s="14">
        <f t="shared" si="71"/>
        <v>20401.455260870338</v>
      </c>
      <c r="P941" s="14">
        <f t="shared" si="72"/>
        <v>1468904.7787826643</v>
      </c>
      <c r="Q941" s="14">
        <f t="shared" si="73"/>
        <v>402812.77878266433</v>
      </c>
      <c r="R941" s="11">
        <f t="shared" ca="1" si="74"/>
        <v>1</v>
      </c>
      <c r="S941" s="11" t="str">
        <f t="shared" si="75"/>
        <v>600-649</v>
      </c>
    </row>
    <row r="942" spans="1:19" x14ac:dyDescent="0.3">
      <c r="A942" s="11" t="s">
        <v>954</v>
      </c>
      <c r="B942" s="11" t="s">
        <v>1023</v>
      </c>
      <c r="C942" s="11">
        <v>59</v>
      </c>
      <c r="D942" s="11" t="s">
        <v>1034</v>
      </c>
      <c r="E942" s="11" t="s">
        <v>1037</v>
      </c>
      <c r="F942" s="12">
        <v>1619394</v>
      </c>
      <c r="G942" s="12">
        <v>1110036</v>
      </c>
      <c r="H942" s="11">
        <v>9.18</v>
      </c>
      <c r="I942" s="11">
        <v>96</v>
      </c>
      <c r="J942" s="11">
        <v>722</v>
      </c>
      <c r="K942" s="11" t="s">
        <v>1040</v>
      </c>
      <c r="L942" s="11" t="s">
        <v>1043</v>
      </c>
      <c r="M942" s="13">
        <v>43979</v>
      </c>
      <c r="N942" s="11" t="s">
        <v>1045</v>
      </c>
      <c r="O942" s="14">
        <f t="shared" si="71"/>
        <v>16366.093045560561</v>
      </c>
      <c r="P942" s="14">
        <f t="shared" si="72"/>
        <v>1571144.9323738138</v>
      </c>
      <c r="Q942" s="14">
        <f t="shared" si="73"/>
        <v>461108.93237381382</v>
      </c>
      <c r="R942" s="11">
        <f t="shared" ca="1" si="74"/>
        <v>5</v>
      </c>
      <c r="S942" s="11" t="str">
        <f t="shared" si="75"/>
        <v>700-749</v>
      </c>
    </row>
    <row r="943" spans="1:19" x14ac:dyDescent="0.3">
      <c r="A943" s="11" t="s">
        <v>955</v>
      </c>
      <c r="B943" s="11" t="s">
        <v>1018</v>
      </c>
      <c r="C943" s="11">
        <v>41</v>
      </c>
      <c r="D943" s="11" t="s">
        <v>1035</v>
      </c>
      <c r="E943" s="11" t="s">
        <v>1037</v>
      </c>
      <c r="F943" s="12">
        <v>868692</v>
      </c>
      <c r="G943" s="12">
        <v>1252787</v>
      </c>
      <c r="H943" s="11">
        <v>7.89</v>
      </c>
      <c r="I943" s="11">
        <v>48</v>
      </c>
      <c r="J943" s="11">
        <v>672</v>
      </c>
      <c r="K943" s="11" t="s">
        <v>1042</v>
      </c>
      <c r="L943" s="11" t="s">
        <v>1043</v>
      </c>
      <c r="M943" s="13">
        <v>45124</v>
      </c>
      <c r="N943" s="11" t="s">
        <v>1046</v>
      </c>
      <c r="O943" s="14">
        <f t="shared" si="71"/>
        <v>30519.54628007377</v>
      </c>
      <c r="P943" s="14">
        <f t="shared" si="72"/>
        <v>1464938.2214435409</v>
      </c>
      <c r="Q943" s="14">
        <f t="shared" si="73"/>
        <v>212151.22144354088</v>
      </c>
      <c r="R943" s="11">
        <f t="shared" ca="1" si="74"/>
        <v>2</v>
      </c>
      <c r="S943" s="11" t="str">
        <f t="shared" si="75"/>
        <v>650-699</v>
      </c>
    </row>
    <row r="944" spans="1:19" x14ac:dyDescent="0.3">
      <c r="A944" s="11" t="s">
        <v>956</v>
      </c>
      <c r="B944" s="11" t="s">
        <v>1028</v>
      </c>
      <c r="C944" s="11">
        <v>36</v>
      </c>
      <c r="D944" s="11" t="s">
        <v>1035</v>
      </c>
      <c r="E944" s="11" t="s">
        <v>1038</v>
      </c>
      <c r="F944" s="12">
        <v>1515697</v>
      </c>
      <c r="G944" s="12">
        <v>1221299</v>
      </c>
      <c r="H944" s="11">
        <v>11.63</v>
      </c>
      <c r="I944" s="11">
        <v>72</v>
      </c>
      <c r="J944" s="11">
        <v>640</v>
      </c>
      <c r="K944" s="11" t="s">
        <v>1041</v>
      </c>
      <c r="L944" s="11" t="s">
        <v>1044</v>
      </c>
      <c r="M944" s="13">
        <v>43123</v>
      </c>
      <c r="N944" s="11" t="s">
        <v>1046</v>
      </c>
      <c r="O944" s="14">
        <f t="shared" si="71"/>
        <v>23642.293828770056</v>
      </c>
      <c r="P944" s="14">
        <f t="shared" si="72"/>
        <v>1702245.155671444</v>
      </c>
      <c r="Q944" s="14">
        <f t="shared" si="73"/>
        <v>480946.15567144402</v>
      </c>
      <c r="R944" s="11">
        <f t="shared" ca="1" si="74"/>
        <v>7</v>
      </c>
      <c r="S944" s="11" t="str">
        <f t="shared" si="75"/>
        <v>600-649</v>
      </c>
    </row>
    <row r="945" spans="1:19" x14ac:dyDescent="0.3">
      <c r="A945" s="11" t="s">
        <v>957</v>
      </c>
      <c r="B945" s="11" t="s">
        <v>1020</v>
      </c>
      <c r="C945" s="11">
        <v>50</v>
      </c>
      <c r="D945" s="11" t="s">
        <v>1034</v>
      </c>
      <c r="E945" s="11" t="s">
        <v>1038</v>
      </c>
      <c r="F945" s="12">
        <v>1656879</v>
      </c>
      <c r="G945" s="12">
        <v>1957308</v>
      </c>
      <c r="H945" s="11">
        <v>9.94</v>
      </c>
      <c r="I945" s="11">
        <v>48</v>
      </c>
      <c r="J945" s="11">
        <v>745</v>
      </c>
      <c r="K945" s="11" t="s">
        <v>1041</v>
      </c>
      <c r="L945" s="11" t="s">
        <v>1043</v>
      </c>
      <c r="M945" s="13">
        <v>44265</v>
      </c>
      <c r="N945" s="11" t="s">
        <v>1045</v>
      </c>
      <c r="O945" s="14">
        <f t="shared" si="71"/>
        <v>49586.007344594611</v>
      </c>
      <c r="P945" s="14">
        <f t="shared" si="72"/>
        <v>2380128.3525405414</v>
      </c>
      <c r="Q945" s="14">
        <f t="shared" si="73"/>
        <v>422820.35254054144</v>
      </c>
      <c r="R945" s="11">
        <f t="shared" ca="1" si="74"/>
        <v>4</v>
      </c>
      <c r="S945" s="11" t="str">
        <f t="shared" si="75"/>
        <v>700-749</v>
      </c>
    </row>
    <row r="946" spans="1:19" x14ac:dyDescent="0.3">
      <c r="A946" s="11" t="s">
        <v>958</v>
      </c>
      <c r="B946" s="11" t="s">
        <v>1028</v>
      </c>
      <c r="C946" s="11">
        <v>35</v>
      </c>
      <c r="D946" s="11" t="s">
        <v>1034</v>
      </c>
      <c r="E946" s="11" t="s">
        <v>1037</v>
      </c>
      <c r="F946" s="12">
        <v>470323</v>
      </c>
      <c r="G946" s="12">
        <v>1296913</v>
      </c>
      <c r="H946" s="11">
        <v>13.24</v>
      </c>
      <c r="I946" s="11">
        <v>36</v>
      </c>
      <c r="J946" s="11">
        <v>823</v>
      </c>
      <c r="K946" s="11" t="s">
        <v>1042</v>
      </c>
      <c r="L946" s="11" t="s">
        <v>1043</v>
      </c>
      <c r="M946" s="13">
        <v>44824</v>
      </c>
      <c r="N946" s="11" t="s">
        <v>1048</v>
      </c>
      <c r="O946" s="14">
        <f t="shared" si="71"/>
        <v>43848.196865111546</v>
      </c>
      <c r="P946" s="14">
        <f t="shared" si="72"/>
        <v>1578535.0871440156</v>
      </c>
      <c r="Q946" s="14">
        <f t="shared" si="73"/>
        <v>281622.08714401559</v>
      </c>
      <c r="R946" s="11">
        <f t="shared" ca="1" si="74"/>
        <v>3</v>
      </c>
      <c r="S946" s="11" t="str">
        <f t="shared" si="75"/>
        <v>800-850</v>
      </c>
    </row>
    <row r="947" spans="1:19" x14ac:dyDescent="0.3">
      <c r="A947" s="11" t="s">
        <v>959</v>
      </c>
      <c r="B947" s="11" t="s">
        <v>1014</v>
      </c>
      <c r="C947" s="11">
        <v>42</v>
      </c>
      <c r="D947" s="11" t="s">
        <v>1035</v>
      </c>
      <c r="E947" s="11" t="s">
        <v>1036</v>
      </c>
      <c r="F947" s="12">
        <v>1609941</v>
      </c>
      <c r="G947" s="12">
        <v>1203929</v>
      </c>
      <c r="H947" s="11">
        <v>8.06</v>
      </c>
      <c r="I947" s="11">
        <v>72</v>
      </c>
      <c r="J947" s="11">
        <v>829</v>
      </c>
      <c r="K947" s="11" t="s">
        <v>1039</v>
      </c>
      <c r="L947" s="11" t="s">
        <v>1044</v>
      </c>
      <c r="M947" s="13">
        <v>44004</v>
      </c>
      <c r="N947" s="11" t="s">
        <v>1047</v>
      </c>
      <c r="O947" s="14">
        <f t="shared" si="71"/>
        <v>21144.06518741139</v>
      </c>
      <c r="P947" s="14">
        <f t="shared" si="72"/>
        <v>1522372.69349362</v>
      </c>
      <c r="Q947" s="14">
        <f t="shared" si="73"/>
        <v>318443.69349362003</v>
      </c>
      <c r="R947" s="11">
        <f t="shared" ca="1" si="74"/>
        <v>5</v>
      </c>
      <c r="S947" s="11" t="str">
        <f t="shared" si="75"/>
        <v>800-850</v>
      </c>
    </row>
    <row r="948" spans="1:19" x14ac:dyDescent="0.3">
      <c r="A948" s="11" t="s">
        <v>960</v>
      </c>
      <c r="B948" s="11" t="s">
        <v>1021</v>
      </c>
      <c r="C948" s="11">
        <v>36</v>
      </c>
      <c r="D948" s="11" t="s">
        <v>1034</v>
      </c>
      <c r="E948" s="11" t="s">
        <v>1036</v>
      </c>
      <c r="F948" s="12">
        <v>1640152</v>
      </c>
      <c r="G948" s="12">
        <v>736698</v>
      </c>
      <c r="H948" s="11">
        <v>11.85</v>
      </c>
      <c r="I948" s="11">
        <v>48</v>
      </c>
      <c r="J948" s="11">
        <v>695</v>
      </c>
      <c r="K948" s="11" t="s">
        <v>1042</v>
      </c>
      <c r="L948" s="11" t="s">
        <v>1044</v>
      </c>
      <c r="M948" s="13">
        <v>44635</v>
      </c>
      <c r="N948" s="11" t="s">
        <v>1048</v>
      </c>
      <c r="O948" s="14">
        <f t="shared" si="71"/>
        <v>19345.871403287296</v>
      </c>
      <c r="P948" s="14">
        <f t="shared" si="72"/>
        <v>928601.8273577902</v>
      </c>
      <c r="Q948" s="14">
        <f t="shared" si="73"/>
        <v>191903.8273577902</v>
      </c>
      <c r="R948" s="11">
        <f t="shared" ca="1" si="74"/>
        <v>3</v>
      </c>
      <c r="S948" s="11" t="str">
        <f t="shared" si="75"/>
        <v>650-699</v>
      </c>
    </row>
    <row r="949" spans="1:19" x14ac:dyDescent="0.3">
      <c r="A949" s="11" t="s">
        <v>961</v>
      </c>
      <c r="B949" s="11" t="s">
        <v>1029</v>
      </c>
      <c r="C949" s="11">
        <v>40</v>
      </c>
      <c r="D949" s="11" t="s">
        <v>1034</v>
      </c>
      <c r="E949" s="11" t="s">
        <v>1038</v>
      </c>
      <c r="F949" s="12">
        <v>959714</v>
      </c>
      <c r="G949" s="12">
        <v>1095984</v>
      </c>
      <c r="H949" s="11">
        <v>10.83</v>
      </c>
      <c r="I949" s="11">
        <v>48</v>
      </c>
      <c r="J949" s="11">
        <v>712</v>
      </c>
      <c r="K949" s="11" t="s">
        <v>1039</v>
      </c>
      <c r="L949" s="11" t="s">
        <v>1044</v>
      </c>
      <c r="M949" s="13">
        <v>44493</v>
      </c>
      <c r="N949" s="11" t="s">
        <v>1048</v>
      </c>
      <c r="O949" s="14">
        <f t="shared" si="71"/>
        <v>28235.883081604836</v>
      </c>
      <c r="P949" s="14">
        <f t="shared" si="72"/>
        <v>1355322.387917032</v>
      </c>
      <c r="Q949" s="14">
        <f t="shared" si="73"/>
        <v>259338.387917032</v>
      </c>
      <c r="R949" s="11">
        <f t="shared" ca="1" si="74"/>
        <v>4</v>
      </c>
      <c r="S949" s="11" t="str">
        <f t="shared" si="75"/>
        <v>700-749</v>
      </c>
    </row>
    <row r="950" spans="1:19" x14ac:dyDescent="0.3">
      <c r="A950" s="11" t="s">
        <v>962</v>
      </c>
      <c r="B950" s="11" t="s">
        <v>1021</v>
      </c>
      <c r="C950" s="11">
        <v>25</v>
      </c>
      <c r="D950" s="11" t="s">
        <v>1034</v>
      </c>
      <c r="E950" s="11" t="s">
        <v>1036</v>
      </c>
      <c r="F950" s="12">
        <v>1081138</v>
      </c>
      <c r="G950" s="12">
        <v>1625360</v>
      </c>
      <c r="H950" s="11">
        <v>10.44</v>
      </c>
      <c r="I950" s="11">
        <v>120</v>
      </c>
      <c r="J950" s="11">
        <v>703</v>
      </c>
      <c r="K950" s="11" t="s">
        <v>1042</v>
      </c>
      <c r="L950" s="11" t="s">
        <v>1044</v>
      </c>
      <c r="M950" s="13">
        <v>44320</v>
      </c>
      <c r="N950" s="11" t="s">
        <v>1046</v>
      </c>
      <c r="O950" s="14">
        <f t="shared" si="71"/>
        <v>21877.224546400663</v>
      </c>
      <c r="P950" s="14">
        <f t="shared" si="72"/>
        <v>2625266.9455680796</v>
      </c>
      <c r="Q950" s="14">
        <f t="shared" si="73"/>
        <v>999906.94556807959</v>
      </c>
      <c r="R950" s="11">
        <f t="shared" ca="1" si="74"/>
        <v>4</v>
      </c>
      <c r="S950" s="11" t="str">
        <f t="shared" si="75"/>
        <v>700-749</v>
      </c>
    </row>
    <row r="951" spans="1:19" x14ac:dyDescent="0.3">
      <c r="A951" s="11" t="s">
        <v>963</v>
      </c>
      <c r="B951" s="11" t="s">
        <v>1030</v>
      </c>
      <c r="C951" s="11">
        <v>49</v>
      </c>
      <c r="D951" s="11" t="s">
        <v>1034</v>
      </c>
      <c r="E951" s="11" t="s">
        <v>1037</v>
      </c>
      <c r="F951" s="12">
        <v>1811768</v>
      </c>
      <c r="G951" s="12">
        <v>1562984</v>
      </c>
      <c r="H951" s="11">
        <v>9.9499999999999993</v>
      </c>
      <c r="I951" s="11">
        <v>48</v>
      </c>
      <c r="J951" s="11">
        <v>777</v>
      </c>
      <c r="K951" s="11" t="s">
        <v>1039</v>
      </c>
      <c r="L951" s="11" t="s">
        <v>1043</v>
      </c>
      <c r="M951" s="13">
        <v>44272</v>
      </c>
      <c r="N951" s="11" t="s">
        <v>1046</v>
      </c>
      <c r="O951" s="14">
        <f t="shared" si="71"/>
        <v>39603.791964908269</v>
      </c>
      <c r="P951" s="14">
        <f t="shared" si="72"/>
        <v>1900982.0143155968</v>
      </c>
      <c r="Q951" s="14">
        <f t="shared" si="73"/>
        <v>337998.01431559678</v>
      </c>
      <c r="R951" s="11">
        <f t="shared" ca="1" si="74"/>
        <v>4</v>
      </c>
      <c r="S951" s="11" t="str">
        <f t="shared" si="75"/>
        <v>750-799</v>
      </c>
    </row>
    <row r="952" spans="1:19" x14ac:dyDescent="0.3">
      <c r="A952" s="11" t="s">
        <v>964</v>
      </c>
      <c r="B952" s="11" t="s">
        <v>1017</v>
      </c>
      <c r="C952" s="11">
        <v>52</v>
      </c>
      <c r="D952" s="11" t="s">
        <v>1035</v>
      </c>
      <c r="E952" s="11" t="s">
        <v>1038</v>
      </c>
      <c r="F952" s="12">
        <v>835711</v>
      </c>
      <c r="G952" s="12">
        <v>1203742</v>
      </c>
      <c r="H952" s="11">
        <v>8.65</v>
      </c>
      <c r="I952" s="11">
        <v>84</v>
      </c>
      <c r="J952" s="11">
        <v>744</v>
      </c>
      <c r="K952" s="11" t="s">
        <v>1040</v>
      </c>
      <c r="L952" s="11" t="s">
        <v>1044</v>
      </c>
      <c r="M952" s="13">
        <v>44623</v>
      </c>
      <c r="N952" s="11" t="s">
        <v>1048</v>
      </c>
      <c r="O952" s="14">
        <f t="shared" si="71"/>
        <v>19153.966773920172</v>
      </c>
      <c r="P952" s="14">
        <f t="shared" si="72"/>
        <v>1608933.2090092944</v>
      </c>
      <c r="Q952" s="14">
        <f t="shared" si="73"/>
        <v>405191.2090092944</v>
      </c>
      <c r="R952" s="11">
        <f t="shared" ca="1" si="74"/>
        <v>3</v>
      </c>
      <c r="S952" s="11" t="str">
        <f t="shared" si="75"/>
        <v>700-749</v>
      </c>
    </row>
    <row r="953" spans="1:19" x14ac:dyDescent="0.3">
      <c r="A953" s="11" t="s">
        <v>965</v>
      </c>
      <c r="B953" s="11" t="s">
        <v>1032</v>
      </c>
      <c r="C953" s="11">
        <v>39</v>
      </c>
      <c r="D953" s="11" t="s">
        <v>1035</v>
      </c>
      <c r="E953" s="11" t="s">
        <v>1038</v>
      </c>
      <c r="F953" s="12">
        <v>1240393</v>
      </c>
      <c r="G953" s="12">
        <v>640254</v>
      </c>
      <c r="H953" s="11">
        <v>9.4499999999999993</v>
      </c>
      <c r="I953" s="11">
        <v>120</v>
      </c>
      <c r="J953" s="11">
        <v>733</v>
      </c>
      <c r="K953" s="11" t="s">
        <v>1042</v>
      </c>
      <c r="L953" s="11" t="s">
        <v>1043</v>
      </c>
      <c r="M953" s="13">
        <v>43416</v>
      </c>
      <c r="N953" s="11" t="s">
        <v>1045</v>
      </c>
      <c r="O953" s="14">
        <f t="shared" si="71"/>
        <v>8267.2132707533492</v>
      </c>
      <c r="P953" s="14">
        <f t="shared" si="72"/>
        <v>992065.59249040193</v>
      </c>
      <c r="Q953" s="14">
        <f t="shared" si="73"/>
        <v>351811.59249040193</v>
      </c>
      <c r="R953" s="11">
        <f t="shared" ca="1" si="74"/>
        <v>7</v>
      </c>
      <c r="S953" s="11" t="str">
        <f t="shared" si="75"/>
        <v>700-749</v>
      </c>
    </row>
    <row r="954" spans="1:19" x14ac:dyDescent="0.3">
      <c r="A954" s="11" t="s">
        <v>966</v>
      </c>
      <c r="B954" s="11" t="s">
        <v>1023</v>
      </c>
      <c r="C954" s="11">
        <v>41</v>
      </c>
      <c r="D954" s="11" t="s">
        <v>1034</v>
      </c>
      <c r="E954" s="11" t="s">
        <v>1037</v>
      </c>
      <c r="F954" s="12">
        <v>1962512</v>
      </c>
      <c r="G954" s="12">
        <v>325569</v>
      </c>
      <c r="H954" s="11">
        <v>14.6</v>
      </c>
      <c r="I954" s="11">
        <v>60</v>
      </c>
      <c r="J954" s="11">
        <v>730</v>
      </c>
      <c r="K954" s="11" t="s">
        <v>1039</v>
      </c>
      <c r="L954" s="11" t="s">
        <v>1044</v>
      </c>
      <c r="M954" s="13">
        <v>44322</v>
      </c>
      <c r="N954" s="11" t="s">
        <v>1047</v>
      </c>
      <c r="O954" s="14">
        <f t="shared" si="71"/>
        <v>7677.0738123666761</v>
      </c>
      <c r="P954" s="14">
        <f t="shared" si="72"/>
        <v>460624.42874200054</v>
      </c>
      <c r="Q954" s="14">
        <f t="shared" si="73"/>
        <v>135055.42874200054</v>
      </c>
      <c r="R954" s="11">
        <f t="shared" ca="1" si="74"/>
        <v>4</v>
      </c>
      <c r="S954" s="11" t="str">
        <f t="shared" si="75"/>
        <v>700-749</v>
      </c>
    </row>
    <row r="955" spans="1:19" x14ac:dyDescent="0.3">
      <c r="A955" s="11" t="s">
        <v>967</v>
      </c>
      <c r="B955" s="11" t="s">
        <v>1022</v>
      </c>
      <c r="C955" s="11">
        <v>48</v>
      </c>
      <c r="D955" s="11" t="s">
        <v>1034</v>
      </c>
      <c r="E955" s="11" t="s">
        <v>1037</v>
      </c>
      <c r="F955" s="12">
        <v>504543</v>
      </c>
      <c r="G955" s="12">
        <v>1167133</v>
      </c>
      <c r="H955" s="11">
        <v>7.95</v>
      </c>
      <c r="I955" s="11">
        <v>96</v>
      </c>
      <c r="J955" s="11">
        <v>644</v>
      </c>
      <c r="K955" s="11" t="s">
        <v>1040</v>
      </c>
      <c r="L955" s="11" t="s">
        <v>1044</v>
      </c>
      <c r="M955" s="13">
        <v>44420</v>
      </c>
      <c r="N955" s="11" t="s">
        <v>1045</v>
      </c>
      <c r="O955" s="14">
        <f t="shared" si="71"/>
        <v>16469.739756184368</v>
      </c>
      <c r="P955" s="14">
        <f t="shared" si="72"/>
        <v>1581095.0165936993</v>
      </c>
      <c r="Q955" s="14">
        <f t="shared" si="73"/>
        <v>413962.01659369934</v>
      </c>
      <c r="R955" s="11">
        <f t="shared" ca="1" si="74"/>
        <v>4</v>
      </c>
      <c r="S955" s="11" t="str">
        <f t="shared" si="75"/>
        <v>600-649</v>
      </c>
    </row>
    <row r="956" spans="1:19" x14ac:dyDescent="0.3">
      <c r="A956" s="11" t="s">
        <v>968</v>
      </c>
      <c r="B956" s="11" t="s">
        <v>1026</v>
      </c>
      <c r="C956" s="11">
        <v>51</v>
      </c>
      <c r="D956" s="11" t="s">
        <v>1035</v>
      </c>
      <c r="E956" s="11" t="s">
        <v>1036</v>
      </c>
      <c r="F956" s="12">
        <v>355320</v>
      </c>
      <c r="G956" s="12">
        <v>1828408</v>
      </c>
      <c r="H956" s="11">
        <v>12.71</v>
      </c>
      <c r="I956" s="11">
        <v>120</v>
      </c>
      <c r="J956" s="11">
        <v>699</v>
      </c>
      <c r="K956" s="11" t="s">
        <v>1042</v>
      </c>
      <c r="L956" s="11" t="s">
        <v>1044</v>
      </c>
      <c r="M956" s="13">
        <v>43474</v>
      </c>
      <c r="N956" s="11" t="s">
        <v>1045</v>
      </c>
      <c r="O956" s="14">
        <f t="shared" si="71"/>
        <v>26988.240966689209</v>
      </c>
      <c r="P956" s="14">
        <f t="shared" si="72"/>
        <v>3238588.9160027052</v>
      </c>
      <c r="Q956" s="14">
        <f t="shared" si="73"/>
        <v>1410180.9160027052</v>
      </c>
      <c r="R956" s="11">
        <f t="shared" ca="1" si="74"/>
        <v>6</v>
      </c>
      <c r="S956" s="11" t="str">
        <f t="shared" si="75"/>
        <v>650-699</v>
      </c>
    </row>
    <row r="957" spans="1:19" x14ac:dyDescent="0.3">
      <c r="A957" s="11" t="s">
        <v>969</v>
      </c>
      <c r="B957" s="11" t="s">
        <v>1026</v>
      </c>
      <c r="C957" s="11">
        <v>32</v>
      </c>
      <c r="D957" s="11" t="s">
        <v>1035</v>
      </c>
      <c r="E957" s="11" t="s">
        <v>1037</v>
      </c>
      <c r="F957" s="12">
        <v>694017</v>
      </c>
      <c r="G957" s="12">
        <v>751065</v>
      </c>
      <c r="H957" s="11">
        <v>10.79</v>
      </c>
      <c r="I957" s="11">
        <v>120</v>
      </c>
      <c r="J957" s="11">
        <v>673</v>
      </c>
      <c r="K957" s="11" t="s">
        <v>1039</v>
      </c>
      <c r="L957" s="11" t="s">
        <v>1044</v>
      </c>
      <c r="M957" s="13">
        <v>44626</v>
      </c>
      <c r="N957" s="11" t="s">
        <v>1048</v>
      </c>
      <c r="O957" s="14">
        <f t="shared" si="71"/>
        <v>10256.84261131078</v>
      </c>
      <c r="P957" s="14">
        <f t="shared" si="72"/>
        <v>1230821.1133572937</v>
      </c>
      <c r="Q957" s="14">
        <f t="shared" si="73"/>
        <v>479756.11335729365</v>
      </c>
      <c r="R957" s="11">
        <f t="shared" ca="1" si="74"/>
        <v>3</v>
      </c>
      <c r="S957" s="11" t="str">
        <f t="shared" si="75"/>
        <v>650-699</v>
      </c>
    </row>
    <row r="958" spans="1:19" x14ac:dyDescent="0.3">
      <c r="A958" s="11" t="s">
        <v>970</v>
      </c>
      <c r="B958" s="11" t="s">
        <v>1030</v>
      </c>
      <c r="C958" s="11">
        <v>55</v>
      </c>
      <c r="D958" s="11" t="s">
        <v>1034</v>
      </c>
      <c r="E958" s="11" t="s">
        <v>1036</v>
      </c>
      <c r="F958" s="12">
        <v>1087940</v>
      </c>
      <c r="G958" s="12">
        <v>522751</v>
      </c>
      <c r="H958" s="11">
        <v>14.39</v>
      </c>
      <c r="I958" s="11">
        <v>120</v>
      </c>
      <c r="J958" s="11">
        <v>828</v>
      </c>
      <c r="K958" s="11" t="s">
        <v>1040</v>
      </c>
      <c r="L958" s="11" t="s">
        <v>1044</v>
      </c>
      <c r="M958" s="13">
        <v>45112</v>
      </c>
      <c r="N958" s="11" t="s">
        <v>1046</v>
      </c>
      <c r="O958" s="14">
        <f t="shared" si="71"/>
        <v>8239.596618494912</v>
      </c>
      <c r="P958" s="14">
        <f t="shared" si="72"/>
        <v>988751.59421938949</v>
      </c>
      <c r="Q958" s="14">
        <f t="shared" si="73"/>
        <v>466000.59421938949</v>
      </c>
      <c r="R958" s="11">
        <f t="shared" ca="1" si="74"/>
        <v>2</v>
      </c>
      <c r="S958" s="11" t="str">
        <f t="shared" si="75"/>
        <v>800-850</v>
      </c>
    </row>
    <row r="959" spans="1:19" x14ac:dyDescent="0.3">
      <c r="A959" s="11" t="s">
        <v>971</v>
      </c>
      <c r="B959" s="11" t="s">
        <v>1027</v>
      </c>
      <c r="C959" s="11">
        <v>47</v>
      </c>
      <c r="D959" s="11" t="s">
        <v>1035</v>
      </c>
      <c r="E959" s="11" t="s">
        <v>1037</v>
      </c>
      <c r="F959" s="12">
        <v>327749</v>
      </c>
      <c r="G959" s="12">
        <v>563994</v>
      </c>
      <c r="H959" s="11">
        <v>11.92</v>
      </c>
      <c r="I959" s="11">
        <v>60</v>
      </c>
      <c r="J959" s="11">
        <v>718</v>
      </c>
      <c r="K959" s="11" t="s">
        <v>1039</v>
      </c>
      <c r="L959" s="11" t="s">
        <v>1044</v>
      </c>
      <c r="M959" s="13">
        <v>43166</v>
      </c>
      <c r="N959" s="11" t="s">
        <v>1045</v>
      </c>
      <c r="O959" s="14">
        <f t="shared" si="71"/>
        <v>12522.946569545897</v>
      </c>
      <c r="P959" s="14">
        <f t="shared" si="72"/>
        <v>751376.79417275381</v>
      </c>
      <c r="Q959" s="14">
        <f t="shared" si="73"/>
        <v>187382.79417275381</v>
      </c>
      <c r="R959" s="11">
        <f t="shared" ca="1" si="74"/>
        <v>7</v>
      </c>
      <c r="S959" s="11" t="str">
        <f t="shared" si="75"/>
        <v>700-749</v>
      </c>
    </row>
    <row r="960" spans="1:19" x14ac:dyDescent="0.3">
      <c r="A960" s="11" t="s">
        <v>972</v>
      </c>
      <c r="B960" s="11" t="s">
        <v>1014</v>
      </c>
      <c r="C960" s="11">
        <v>45</v>
      </c>
      <c r="D960" s="11" t="s">
        <v>1035</v>
      </c>
      <c r="E960" s="11" t="s">
        <v>1036</v>
      </c>
      <c r="F960" s="12">
        <v>1418691</v>
      </c>
      <c r="G960" s="12">
        <v>471527</v>
      </c>
      <c r="H960" s="11">
        <v>11.45</v>
      </c>
      <c r="I960" s="11">
        <v>48</v>
      </c>
      <c r="J960" s="11">
        <v>823</v>
      </c>
      <c r="K960" s="11" t="s">
        <v>1041</v>
      </c>
      <c r="L960" s="11" t="s">
        <v>1044</v>
      </c>
      <c r="M960" s="13">
        <v>44357</v>
      </c>
      <c r="N960" s="11" t="s">
        <v>1047</v>
      </c>
      <c r="O960" s="14">
        <f t="shared" si="71"/>
        <v>12290.162602891372</v>
      </c>
      <c r="P960" s="14">
        <f t="shared" si="72"/>
        <v>589927.80493878585</v>
      </c>
      <c r="Q960" s="14">
        <f t="shared" si="73"/>
        <v>118400.80493878585</v>
      </c>
      <c r="R960" s="11">
        <f t="shared" ca="1" si="74"/>
        <v>4</v>
      </c>
      <c r="S960" s="11" t="str">
        <f t="shared" si="75"/>
        <v>800-850</v>
      </c>
    </row>
    <row r="961" spans="1:19" x14ac:dyDescent="0.3">
      <c r="A961" s="11" t="s">
        <v>973</v>
      </c>
      <c r="B961" s="11" t="s">
        <v>1024</v>
      </c>
      <c r="C961" s="11">
        <v>43</v>
      </c>
      <c r="D961" s="11" t="s">
        <v>1035</v>
      </c>
      <c r="E961" s="11" t="s">
        <v>1036</v>
      </c>
      <c r="F961" s="12">
        <v>440661</v>
      </c>
      <c r="G961" s="12">
        <v>269826</v>
      </c>
      <c r="H961" s="11">
        <v>9.81</v>
      </c>
      <c r="I961" s="11">
        <v>36</v>
      </c>
      <c r="J961" s="11">
        <v>709</v>
      </c>
      <c r="K961" s="11" t="s">
        <v>1041</v>
      </c>
      <c r="L961" s="11" t="s">
        <v>1044</v>
      </c>
      <c r="M961" s="13">
        <v>45338</v>
      </c>
      <c r="N961" s="11" t="s">
        <v>1045</v>
      </c>
      <c r="O961" s="14">
        <f t="shared" si="71"/>
        <v>8682.4763695622314</v>
      </c>
      <c r="P961" s="14">
        <f t="shared" si="72"/>
        <v>312569.14930424036</v>
      </c>
      <c r="Q961" s="14">
        <f t="shared" si="73"/>
        <v>42743.14930424036</v>
      </c>
      <c r="R961" s="11">
        <f t="shared" ca="1" si="74"/>
        <v>1</v>
      </c>
      <c r="S961" s="11" t="str">
        <f t="shared" si="75"/>
        <v>700-749</v>
      </c>
    </row>
    <row r="962" spans="1:19" x14ac:dyDescent="0.3">
      <c r="A962" s="11" t="s">
        <v>974</v>
      </c>
      <c r="B962" s="11" t="s">
        <v>1028</v>
      </c>
      <c r="C962" s="11">
        <v>55</v>
      </c>
      <c r="D962" s="11" t="s">
        <v>1035</v>
      </c>
      <c r="E962" s="11" t="s">
        <v>1038</v>
      </c>
      <c r="F962" s="12">
        <v>1647930</v>
      </c>
      <c r="G962" s="12">
        <v>870376</v>
      </c>
      <c r="H962" s="11">
        <v>9.6999999999999993</v>
      </c>
      <c r="I962" s="11">
        <v>120</v>
      </c>
      <c r="J962" s="11">
        <v>739</v>
      </c>
      <c r="K962" s="11" t="s">
        <v>1039</v>
      </c>
      <c r="L962" s="11" t="s">
        <v>1044</v>
      </c>
      <c r="M962" s="13">
        <v>43933</v>
      </c>
      <c r="N962" s="11" t="s">
        <v>1047</v>
      </c>
      <c r="O962" s="14">
        <f t="shared" si="71"/>
        <v>11357.978506410194</v>
      </c>
      <c r="P962" s="14">
        <f t="shared" si="72"/>
        <v>1362957.4207692232</v>
      </c>
      <c r="Q962" s="14">
        <f t="shared" si="73"/>
        <v>492581.42076922324</v>
      </c>
      <c r="R962" s="11">
        <f t="shared" ca="1" si="74"/>
        <v>5</v>
      </c>
      <c r="S962" s="11" t="str">
        <f t="shared" si="75"/>
        <v>700-749</v>
      </c>
    </row>
    <row r="963" spans="1:19" x14ac:dyDescent="0.3">
      <c r="A963" s="11" t="s">
        <v>975</v>
      </c>
      <c r="B963" s="11" t="s">
        <v>1021</v>
      </c>
      <c r="C963" s="11">
        <v>47</v>
      </c>
      <c r="D963" s="11" t="s">
        <v>1034</v>
      </c>
      <c r="E963" s="11" t="s">
        <v>1037</v>
      </c>
      <c r="F963" s="12">
        <v>1193117</v>
      </c>
      <c r="G963" s="12">
        <v>300402</v>
      </c>
      <c r="H963" s="11">
        <v>11.97</v>
      </c>
      <c r="I963" s="11">
        <v>72</v>
      </c>
      <c r="J963" s="11">
        <v>705</v>
      </c>
      <c r="K963" s="11" t="s">
        <v>1041</v>
      </c>
      <c r="L963" s="11" t="s">
        <v>1043</v>
      </c>
      <c r="M963" s="13">
        <v>44479</v>
      </c>
      <c r="N963" s="11" t="s">
        <v>1047</v>
      </c>
      <c r="O963" s="14">
        <f t="shared" ref="O963:O1001" si="76">PMT(H963/1200,I963,-G963)</f>
        <v>5868.2314801326002</v>
      </c>
      <c r="P963" s="14">
        <f t="shared" ref="P963:P1001" si="77">O963*I963</f>
        <v>422512.6665695472</v>
      </c>
      <c r="Q963" s="14">
        <f t="shared" ref="Q963:Q1001" si="78">P963-G963</f>
        <v>122110.6665695472</v>
      </c>
      <c r="R963" s="11">
        <f t="shared" ref="R963:R1001" ca="1" si="79">(YEAR(TODAY())-YEAR(M963))</f>
        <v>4</v>
      </c>
      <c r="S963" s="11" t="str">
        <f t="shared" ref="S963:S1001" si="80">IF(J963&lt;650,"600-649",
IF(J963&lt;700,"650-699",
IF(J963&lt;750,"700-749",
IF(J963&lt;800,"750-799","800-850"))))</f>
        <v>700-749</v>
      </c>
    </row>
    <row r="964" spans="1:19" x14ac:dyDescent="0.3">
      <c r="A964" s="11" t="s">
        <v>976</v>
      </c>
      <c r="B964" s="11" t="s">
        <v>1023</v>
      </c>
      <c r="C964" s="11">
        <v>29</v>
      </c>
      <c r="D964" s="11" t="s">
        <v>1035</v>
      </c>
      <c r="E964" s="11" t="s">
        <v>1036</v>
      </c>
      <c r="F964" s="12">
        <v>1919624</v>
      </c>
      <c r="G964" s="12">
        <v>1182732</v>
      </c>
      <c r="H964" s="11">
        <v>11.61</v>
      </c>
      <c r="I964" s="11">
        <v>120</v>
      </c>
      <c r="J964" s="11">
        <v>689</v>
      </c>
      <c r="K964" s="11" t="s">
        <v>1041</v>
      </c>
      <c r="L964" s="11" t="s">
        <v>1044</v>
      </c>
      <c r="M964" s="13">
        <v>44540</v>
      </c>
      <c r="N964" s="11" t="s">
        <v>1045</v>
      </c>
      <c r="O964" s="14">
        <f t="shared" si="76"/>
        <v>16703.190277530921</v>
      </c>
      <c r="P964" s="14">
        <f t="shared" si="77"/>
        <v>2004382.8333037104</v>
      </c>
      <c r="Q964" s="14">
        <f t="shared" si="78"/>
        <v>821650.83330371045</v>
      </c>
      <c r="R964" s="11">
        <f t="shared" ca="1" si="79"/>
        <v>4</v>
      </c>
      <c r="S964" s="11" t="str">
        <f t="shared" si="80"/>
        <v>650-699</v>
      </c>
    </row>
    <row r="965" spans="1:19" x14ac:dyDescent="0.3">
      <c r="A965" s="11" t="s">
        <v>977</v>
      </c>
      <c r="B965" s="11" t="s">
        <v>1027</v>
      </c>
      <c r="C965" s="11">
        <v>34</v>
      </c>
      <c r="D965" s="11" t="s">
        <v>1034</v>
      </c>
      <c r="E965" s="11" t="s">
        <v>1036</v>
      </c>
      <c r="F965" s="12">
        <v>691881</v>
      </c>
      <c r="G965" s="12">
        <v>1150557</v>
      </c>
      <c r="H965" s="11">
        <v>8.6199999999999992</v>
      </c>
      <c r="I965" s="11">
        <v>84</v>
      </c>
      <c r="J965" s="11">
        <v>819</v>
      </c>
      <c r="K965" s="11" t="s">
        <v>1041</v>
      </c>
      <c r="L965" s="11" t="s">
        <v>1044</v>
      </c>
      <c r="M965" s="13">
        <v>43262</v>
      </c>
      <c r="N965" s="11" t="s">
        <v>1048</v>
      </c>
      <c r="O965" s="14">
        <f t="shared" si="76"/>
        <v>18290.285409705877</v>
      </c>
      <c r="P965" s="14">
        <f t="shared" si="77"/>
        <v>1536383.9744152937</v>
      </c>
      <c r="Q965" s="14">
        <f t="shared" si="78"/>
        <v>385826.97441529366</v>
      </c>
      <c r="R965" s="11">
        <f t="shared" ca="1" si="79"/>
        <v>7</v>
      </c>
      <c r="S965" s="11" t="str">
        <f t="shared" si="80"/>
        <v>800-850</v>
      </c>
    </row>
    <row r="966" spans="1:19" x14ac:dyDescent="0.3">
      <c r="A966" s="11" t="s">
        <v>978</v>
      </c>
      <c r="B966" s="11" t="s">
        <v>1026</v>
      </c>
      <c r="C966" s="11">
        <v>50</v>
      </c>
      <c r="D966" s="11" t="s">
        <v>1034</v>
      </c>
      <c r="E966" s="11" t="s">
        <v>1038</v>
      </c>
      <c r="F966" s="12">
        <v>759902</v>
      </c>
      <c r="G966" s="12">
        <v>442175</v>
      </c>
      <c r="H966" s="11">
        <v>12.74</v>
      </c>
      <c r="I966" s="11">
        <v>60</v>
      </c>
      <c r="J966" s="11">
        <v>847</v>
      </c>
      <c r="K966" s="11" t="s">
        <v>1040</v>
      </c>
      <c r="L966" s="11" t="s">
        <v>1044</v>
      </c>
      <c r="M966" s="13">
        <v>44084</v>
      </c>
      <c r="N966" s="11" t="s">
        <v>1045</v>
      </c>
      <c r="O966" s="14">
        <f t="shared" si="76"/>
        <v>10002.086097336134</v>
      </c>
      <c r="P966" s="14">
        <f t="shared" si="77"/>
        <v>600125.16584016802</v>
      </c>
      <c r="Q966" s="14">
        <f t="shared" si="78"/>
        <v>157950.16584016802</v>
      </c>
      <c r="R966" s="11">
        <f t="shared" ca="1" si="79"/>
        <v>5</v>
      </c>
      <c r="S966" s="11" t="str">
        <f t="shared" si="80"/>
        <v>800-850</v>
      </c>
    </row>
    <row r="967" spans="1:19" x14ac:dyDescent="0.3">
      <c r="A967" s="11" t="s">
        <v>979</v>
      </c>
      <c r="B967" s="11" t="s">
        <v>1015</v>
      </c>
      <c r="C967" s="11">
        <v>54</v>
      </c>
      <c r="D967" s="11" t="s">
        <v>1034</v>
      </c>
      <c r="E967" s="11" t="s">
        <v>1037</v>
      </c>
      <c r="F967" s="12">
        <v>602336</v>
      </c>
      <c r="G967" s="12">
        <v>1387822</v>
      </c>
      <c r="H967" s="11">
        <v>14.65</v>
      </c>
      <c r="I967" s="11">
        <v>96</v>
      </c>
      <c r="J967" s="11">
        <v>793</v>
      </c>
      <c r="K967" s="11" t="s">
        <v>1039</v>
      </c>
      <c r="L967" s="11" t="s">
        <v>1043</v>
      </c>
      <c r="M967" s="13">
        <v>44889</v>
      </c>
      <c r="N967" s="11" t="s">
        <v>1046</v>
      </c>
      <c r="O967" s="14">
        <f t="shared" si="76"/>
        <v>24624.752217818419</v>
      </c>
      <c r="P967" s="14">
        <f t="shared" si="77"/>
        <v>2363976.2129105683</v>
      </c>
      <c r="Q967" s="14">
        <f t="shared" si="78"/>
        <v>976154.21291056834</v>
      </c>
      <c r="R967" s="11">
        <f t="shared" ca="1" si="79"/>
        <v>3</v>
      </c>
      <c r="S967" s="11" t="str">
        <f t="shared" si="80"/>
        <v>750-799</v>
      </c>
    </row>
    <row r="968" spans="1:19" x14ac:dyDescent="0.3">
      <c r="A968" s="11" t="s">
        <v>980</v>
      </c>
      <c r="B968" s="11" t="s">
        <v>1032</v>
      </c>
      <c r="C968" s="11">
        <v>28</v>
      </c>
      <c r="D968" s="11" t="s">
        <v>1034</v>
      </c>
      <c r="E968" s="11" t="s">
        <v>1038</v>
      </c>
      <c r="F968" s="12">
        <v>1130660</v>
      </c>
      <c r="G968" s="12">
        <v>393571</v>
      </c>
      <c r="H968" s="11">
        <v>10.45</v>
      </c>
      <c r="I968" s="11">
        <v>60</v>
      </c>
      <c r="J968" s="11">
        <v>672</v>
      </c>
      <c r="K968" s="11" t="s">
        <v>1040</v>
      </c>
      <c r="L968" s="11" t="s">
        <v>1044</v>
      </c>
      <c r="M968" s="13">
        <v>43845</v>
      </c>
      <c r="N968" s="11" t="s">
        <v>1045</v>
      </c>
      <c r="O968" s="14">
        <f t="shared" si="76"/>
        <v>8449.6307837532786</v>
      </c>
      <c r="P968" s="14">
        <f t="shared" si="77"/>
        <v>506977.84702519671</v>
      </c>
      <c r="Q968" s="14">
        <f t="shared" si="78"/>
        <v>113406.84702519671</v>
      </c>
      <c r="R968" s="11">
        <f t="shared" ca="1" si="79"/>
        <v>5</v>
      </c>
      <c r="S968" s="11" t="str">
        <f t="shared" si="80"/>
        <v>650-699</v>
      </c>
    </row>
    <row r="969" spans="1:19" x14ac:dyDescent="0.3">
      <c r="A969" s="11" t="s">
        <v>981</v>
      </c>
      <c r="B969" s="11" t="s">
        <v>1017</v>
      </c>
      <c r="C969" s="11">
        <v>52</v>
      </c>
      <c r="D969" s="11" t="s">
        <v>1035</v>
      </c>
      <c r="E969" s="11" t="s">
        <v>1037</v>
      </c>
      <c r="F969" s="12">
        <v>1320831</v>
      </c>
      <c r="G969" s="12">
        <v>1898888</v>
      </c>
      <c r="H969" s="11">
        <v>13.5</v>
      </c>
      <c r="I969" s="11">
        <v>36</v>
      </c>
      <c r="J969" s="11">
        <v>616</v>
      </c>
      <c r="K969" s="11" t="s">
        <v>1040</v>
      </c>
      <c r="L969" s="11" t="s">
        <v>1044</v>
      </c>
      <c r="M969" s="13">
        <v>43358</v>
      </c>
      <c r="N969" s="11" t="s">
        <v>1045</v>
      </c>
      <c r="O969" s="14">
        <f t="shared" si="76"/>
        <v>64439.309889351804</v>
      </c>
      <c r="P969" s="14">
        <f t="shared" si="77"/>
        <v>2319815.156016665</v>
      </c>
      <c r="Q969" s="14">
        <f t="shared" si="78"/>
        <v>420927.15601666505</v>
      </c>
      <c r="R969" s="11">
        <f t="shared" ca="1" si="79"/>
        <v>7</v>
      </c>
      <c r="S969" s="11" t="str">
        <f t="shared" si="80"/>
        <v>600-649</v>
      </c>
    </row>
    <row r="970" spans="1:19" x14ac:dyDescent="0.3">
      <c r="A970" s="11" t="s">
        <v>982</v>
      </c>
      <c r="B970" s="11" t="s">
        <v>1024</v>
      </c>
      <c r="C970" s="11">
        <v>27</v>
      </c>
      <c r="D970" s="11" t="s">
        <v>1035</v>
      </c>
      <c r="E970" s="11" t="s">
        <v>1036</v>
      </c>
      <c r="F970" s="12">
        <v>387050</v>
      </c>
      <c r="G970" s="12">
        <v>1765381</v>
      </c>
      <c r="H970" s="11">
        <v>13.66</v>
      </c>
      <c r="I970" s="11">
        <v>72</v>
      </c>
      <c r="J970" s="11">
        <v>671</v>
      </c>
      <c r="K970" s="11" t="s">
        <v>1041</v>
      </c>
      <c r="L970" s="11" t="s">
        <v>1044</v>
      </c>
      <c r="M970" s="13">
        <v>43952</v>
      </c>
      <c r="N970" s="11" t="s">
        <v>1048</v>
      </c>
      <c r="O970" s="14">
        <f t="shared" si="76"/>
        <v>36056.357750360396</v>
      </c>
      <c r="P970" s="14">
        <f t="shared" si="77"/>
        <v>2596057.7580259484</v>
      </c>
      <c r="Q970" s="14">
        <f t="shared" si="78"/>
        <v>830676.75802594842</v>
      </c>
      <c r="R970" s="11">
        <f t="shared" ca="1" si="79"/>
        <v>5</v>
      </c>
      <c r="S970" s="11" t="str">
        <f t="shared" si="80"/>
        <v>650-699</v>
      </c>
    </row>
    <row r="971" spans="1:19" x14ac:dyDescent="0.3">
      <c r="A971" s="11" t="s">
        <v>983</v>
      </c>
      <c r="B971" s="11" t="s">
        <v>1033</v>
      </c>
      <c r="C971" s="11">
        <v>28</v>
      </c>
      <c r="D971" s="11" t="s">
        <v>1034</v>
      </c>
      <c r="E971" s="11" t="s">
        <v>1036</v>
      </c>
      <c r="F971" s="12">
        <v>1865585</v>
      </c>
      <c r="G971" s="12">
        <v>1035197</v>
      </c>
      <c r="H971" s="11">
        <v>7.88</v>
      </c>
      <c r="I971" s="11">
        <v>120</v>
      </c>
      <c r="J971" s="11">
        <v>766</v>
      </c>
      <c r="K971" s="11" t="s">
        <v>1042</v>
      </c>
      <c r="L971" s="11" t="s">
        <v>1044</v>
      </c>
      <c r="M971" s="13">
        <v>44675</v>
      </c>
      <c r="N971" s="11" t="s">
        <v>1045</v>
      </c>
      <c r="O971" s="14">
        <f t="shared" si="76"/>
        <v>12494.25254110067</v>
      </c>
      <c r="P971" s="14">
        <f t="shared" si="77"/>
        <v>1499310.3049320804</v>
      </c>
      <c r="Q971" s="14">
        <f t="shared" si="78"/>
        <v>464113.30493208044</v>
      </c>
      <c r="R971" s="11">
        <f t="shared" ca="1" si="79"/>
        <v>3</v>
      </c>
      <c r="S971" s="11" t="str">
        <f t="shared" si="80"/>
        <v>750-799</v>
      </c>
    </row>
    <row r="972" spans="1:19" x14ac:dyDescent="0.3">
      <c r="A972" s="11" t="s">
        <v>984</v>
      </c>
      <c r="B972" s="11" t="s">
        <v>1023</v>
      </c>
      <c r="C972" s="11">
        <v>48</v>
      </c>
      <c r="D972" s="11" t="s">
        <v>1035</v>
      </c>
      <c r="E972" s="11" t="s">
        <v>1038</v>
      </c>
      <c r="F972" s="12">
        <v>565161</v>
      </c>
      <c r="G972" s="12">
        <v>858233</v>
      </c>
      <c r="H972" s="11">
        <v>14.97</v>
      </c>
      <c r="I972" s="11">
        <v>72</v>
      </c>
      <c r="J972" s="11">
        <v>681</v>
      </c>
      <c r="K972" s="11" t="s">
        <v>1039</v>
      </c>
      <c r="L972" s="11" t="s">
        <v>1044</v>
      </c>
      <c r="M972" s="13">
        <v>45199</v>
      </c>
      <c r="N972" s="11" t="s">
        <v>1045</v>
      </c>
      <c r="O972" s="14">
        <f t="shared" si="76"/>
        <v>18133.368851784275</v>
      </c>
      <c r="P972" s="14">
        <f t="shared" si="77"/>
        <v>1305602.5573284677</v>
      </c>
      <c r="Q972" s="14">
        <f t="shared" si="78"/>
        <v>447369.55732846772</v>
      </c>
      <c r="R972" s="11">
        <f t="shared" ca="1" si="79"/>
        <v>2</v>
      </c>
      <c r="S972" s="11" t="str">
        <f t="shared" si="80"/>
        <v>650-699</v>
      </c>
    </row>
    <row r="973" spans="1:19" x14ac:dyDescent="0.3">
      <c r="A973" s="11" t="s">
        <v>985</v>
      </c>
      <c r="B973" s="11" t="s">
        <v>1024</v>
      </c>
      <c r="C973" s="11">
        <v>45</v>
      </c>
      <c r="D973" s="11" t="s">
        <v>1034</v>
      </c>
      <c r="E973" s="11" t="s">
        <v>1037</v>
      </c>
      <c r="F973" s="12">
        <v>1361072</v>
      </c>
      <c r="G973" s="12">
        <v>1891612</v>
      </c>
      <c r="H973" s="11">
        <v>8.1</v>
      </c>
      <c r="I973" s="11">
        <v>120</v>
      </c>
      <c r="J973" s="11">
        <v>837</v>
      </c>
      <c r="K973" s="11" t="s">
        <v>1039</v>
      </c>
      <c r="L973" s="11" t="s">
        <v>1043</v>
      </c>
      <c r="M973" s="13">
        <v>44256</v>
      </c>
      <c r="N973" s="11" t="s">
        <v>1046</v>
      </c>
      <c r="O973" s="14">
        <f t="shared" si="76"/>
        <v>23050.548336990913</v>
      </c>
      <c r="P973" s="14">
        <f t="shared" si="77"/>
        <v>2766065.8004389093</v>
      </c>
      <c r="Q973" s="14">
        <f t="shared" si="78"/>
        <v>874453.80043890933</v>
      </c>
      <c r="R973" s="11">
        <f t="shared" ca="1" si="79"/>
        <v>4</v>
      </c>
      <c r="S973" s="11" t="str">
        <f t="shared" si="80"/>
        <v>800-850</v>
      </c>
    </row>
    <row r="974" spans="1:19" x14ac:dyDescent="0.3">
      <c r="A974" s="11" t="s">
        <v>986</v>
      </c>
      <c r="B974" s="11" t="s">
        <v>1021</v>
      </c>
      <c r="C974" s="11">
        <v>59</v>
      </c>
      <c r="D974" s="11" t="s">
        <v>1034</v>
      </c>
      <c r="E974" s="11" t="s">
        <v>1038</v>
      </c>
      <c r="F974" s="12">
        <v>1435851</v>
      </c>
      <c r="G974" s="12">
        <v>1853625</v>
      </c>
      <c r="H974" s="11">
        <v>14.15</v>
      </c>
      <c r="I974" s="11">
        <v>84</v>
      </c>
      <c r="J974" s="11">
        <v>741</v>
      </c>
      <c r="K974" s="11" t="s">
        <v>1042</v>
      </c>
      <c r="L974" s="11" t="s">
        <v>1044</v>
      </c>
      <c r="M974" s="13">
        <v>43184</v>
      </c>
      <c r="N974" s="11" t="s">
        <v>1047</v>
      </c>
      <c r="O974" s="14">
        <f t="shared" si="76"/>
        <v>34890.731211716942</v>
      </c>
      <c r="P974" s="14">
        <f t="shared" si="77"/>
        <v>2930821.4217842231</v>
      </c>
      <c r="Q974" s="14">
        <f t="shared" si="78"/>
        <v>1077196.4217842231</v>
      </c>
      <c r="R974" s="11">
        <f t="shared" ca="1" si="79"/>
        <v>7</v>
      </c>
      <c r="S974" s="11" t="str">
        <f t="shared" si="80"/>
        <v>700-749</v>
      </c>
    </row>
    <row r="975" spans="1:19" x14ac:dyDescent="0.3">
      <c r="A975" s="11" t="s">
        <v>987</v>
      </c>
      <c r="B975" s="11" t="s">
        <v>1021</v>
      </c>
      <c r="C975" s="11">
        <v>34</v>
      </c>
      <c r="D975" s="11" t="s">
        <v>1034</v>
      </c>
      <c r="E975" s="11" t="s">
        <v>1038</v>
      </c>
      <c r="F975" s="12">
        <v>429231</v>
      </c>
      <c r="G975" s="12">
        <v>1886012</v>
      </c>
      <c r="H975" s="11">
        <v>10.28</v>
      </c>
      <c r="I975" s="11">
        <v>60</v>
      </c>
      <c r="J975" s="11">
        <v>797</v>
      </c>
      <c r="K975" s="11" t="s">
        <v>1040</v>
      </c>
      <c r="L975" s="11" t="s">
        <v>1044</v>
      </c>
      <c r="M975" s="13">
        <v>43661</v>
      </c>
      <c r="N975" s="11" t="s">
        <v>1047</v>
      </c>
      <c r="O975" s="14">
        <f t="shared" si="76"/>
        <v>40332.51409280338</v>
      </c>
      <c r="P975" s="14">
        <f t="shared" si="77"/>
        <v>2419950.8455682029</v>
      </c>
      <c r="Q975" s="14">
        <f t="shared" si="78"/>
        <v>533938.8455682029</v>
      </c>
      <c r="R975" s="11">
        <f t="shared" ca="1" si="79"/>
        <v>6</v>
      </c>
      <c r="S975" s="11" t="str">
        <f t="shared" si="80"/>
        <v>750-799</v>
      </c>
    </row>
    <row r="976" spans="1:19" x14ac:dyDescent="0.3">
      <c r="A976" s="11" t="s">
        <v>988</v>
      </c>
      <c r="B976" s="11" t="s">
        <v>1019</v>
      </c>
      <c r="C976" s="11">
        <v>26</v>
      </c>
      <c r="D976" s="11" t="s">
        <v>1035</v>
      </c>
      <c r="E976" s="11" t="s">
        <v>1036</v>
      </c>
      <c r="F976" s="12">
        <v>1911488</v>
      </c>
      <c r="G976" s="12">
        <v>1704190</v>
      </c>
      <c r="H976" s="11">
        <v>12.29</v>
      </c>
      <c r="I976" s="11">
        <v>72</v>
      </c>
      <c r="J976" s="11">
        <v>703</v>
      </c>
      <c r="K976" s="11" t="s">
        <v>1041</v>
      </c>
      <c r="L976" s="11" t="s">
        <v>1044</v>
      </c>
      <c r="M976" s="13">
        <v>43165</v>
      </c>
      <c r="N976" s="11" t="s">
        <v>1046</v>
      </c>
      <c r="O976" s="14">
        <f t="shared" si="76"/>
        <v>33574.805501265793</v>
      </c>
      <c r="P976" s="14">
        <f t="shared" si="77"/>
        <v>2417385.9960911372</v>
      </c>
      <c r="Q976" s="14">
        <f t="shared" si="78"/>
        <v>713195.99609113717</v>
      </c>
      <c r="R976" s="11">
        <f t="shared" ca="1" si="79"/>
        <v>7</v>
      </c>
      <c r="S976" s="11" t="str">
        <f t="shared" si="80"/>
        <v>700-749</v>
      </c>
    </row>
    <row r="977" spans="1:19" x14ac:dyDescent="0.3">
      <c r="A977" s="11" t="s">
        <v>989</v>
      </c>
      <c r="B977" s="11" t="s">
        <v>1015</v>
      </c>
      <c r="C977" s="11">
        <v>30</v>
      </c>
      <c r="D977" s="11" t="s">
        <v>1035</v>
      </c>
      <c r="E977" s="11" t="s">
        <v>1037</v>
      </c>
      <c r="F977" s="12">
        <v>1292027</v>
      </c>
      <c r="G977" s="12">
        <v>987220</v>
      </c>
      <c r="H977" s="11">
        <v>10.65</v>
      </c>
      <c r="I977" s="11">
        <v>36</v>
      </c>
      <c r="J977" s="11">
        <v>709</v>
      </c>
      <c r="K977" s="11" t="s">
        <v>1042</v>
      </c>
      <c r="L977" s="11" t="s">
        <v>1044</v>
      </c>
      <c r="M977" s="13">
        <v>43809</v>
      </c>
      <c r="N977" s="11" t="s">
        <v>1045</v>
      </c>
      <c r="O977" s="14">
        <f t="shared" si="76"/>
        <v>32156.933106810506</v>
      </c>
      <c r="P977" s="14">
        <f t="shared" si="77"/>
        <v>1157649.5918451783</v>
      </c>
      <c r="Q977" s="14">
        <f t="shared" si="78"/>
        <v>170429.59184517828</v>
      </c>
      <c r="R977" s="11">
        <f t="shared" ca="1" si="79"/>
        <v>6</v>
      </c>
      <c r="S977" s="11" t="str">
        <f t="shared" si="80"/>
        <v>700-749</v>
      </c>
    </row>
    <row r="978" spans="1:19" x14ac:dyDescent="0.3">
      <c r="A978" s="11" t="s">
        <v>990</v>
      </c>
      <c r="B978" s="11" t="s">
        <v>1023</v>
      </c>
      <c r="C978" s="11">
        <v>45</v>
      </c>
      <c r="D978" s="11" t="s">
        <v>1035</v>
      </c>
      <c r="E978" s="11" t="s">
        <v>1038</v>
      </c>
      <c r="F978" s="12">
        <v>771046</v>
      </c>
      <c r="G978" s="12">
        <v>1509437</v>
      </c>
      <c r="H978" s="11">
        <v>8.19</v>
      </c>
      <c r="I978" s="11">
        <v>60</v>
      </c>
      <c r="J978" s="11">
        <v>668</v>
      </c>
      <c r="K978" s="11" t="s">
        <v>1039</v>
      </c>
      <c r="L978" s="11" t="s">
        <v>1043</v>
      </c>
      <c r="M978" s="13">
        <v>43624</v>
      </c>
      <c r="N978" s="11" t="s">
        <v>1048</v>
      </c>
      <c r="O978" s="14">
        <f t="shared" si="76"/>
        <v>30743.37864280845</v>
      </c>
      <c r="P978" s="14">
        <f t="shared" si="77"/>
        <v>1844602.7185685069</v>
      </c>
      <c r="Q978" s="14">
        <f t="shared" si="78"/>
        <v>335165.71856850688</v>
      </c>
      <c r="R978" s="11">
        <f t="shared" ca="1" si="79"/>
        <v>6</v>
      </c>
      <c r="S978" s="11" t="str">
        <f t="shared" si="80"/>
        <v>650-699</v>
      </c>
    </row>
    <row r="979" spans="1:19" x14ac:dyDescent="0.3">
      <c r="A979" s="11" t="s">
        <v>991</v>
      </c>
      <c r="B979" s="11" t="s">
        <v>1031</v>
      </c>
      <c r="C979" s="11">
        <v>33</v>
      </c>
      <c r="D979" s="11" t="s">
        <v>1035</v>
      </c>
      <c r="E979" s="11" t="s">
        <v>1038</v>
      </c>
      <c r="F979" s="12">
        <v>850434</v>
      </c>
      <c r="G979" s="12">
        <v>343409</v>
      </c>
      <c r="H979" s="11">
        <v>13.87</v>
      </c>
      <c r="I979" s="11">
        <v>96</v>
      </c>
      <c r="J979" s="11">
        <v>789</v>
      </c>
      <c r="K979" s="11" t="s">
        <v>1042</v>
      </c>
      <c r="L979" s="11" t="s">
        <v>1043</v>
      </c>
      <c r="M979" s="13">
        <v>44558</v>
      </c>
      <c r="N979" s="11" t="s">
        <v>1048</v>
      </c>
      <c r="O979" s="14">
        <f t="shared" si="76"/>
        <v>5940.1512092789035</v>
      </c>
      <c r="P979" s="14">
        <f t="shared" si="77"/>
        <v>570254.51609077468</v>
      </c>
      <c r="Q979" s="14">
        <f t="shared" si="78"/>
        <v>226845.51609077468</v>
      </c>
      <c r="R979" s="11">
        <f t="shared" ca="1" si="79"/>
        <v>4</v>
      </c>
      <c r="S979" s="11" t="str">
        <f t="shared" si="80"/>
        <v>750-799</v>
      </c>
    </row>
    <row r="980" spans="1:19" x14ac:dyDescent="0.3">
      <c r="A980" s="11" t="s">
        <v>992</v>
      </c>
      <c r="B980" s="11" t="s">
        <v>1023</v>
      </c>
      <c r="C980" s="11">
        <v>28</v>
      </c>
      <c r="D980" s="11" t="s">
        <v>1035</v>
      </c>
      <c r="E980" s="11" t="s">
        <v>1037</v>
      </c>
      <c r="F980" s="12">
        <v>998265</v>
      </c>
      <c r="G980" s="12">
        <v>433490</v>
      </c>
      <c r="H980" s="11">
        <v>13.11</v>
      </c>
      <c r="I980" s="11">
        <v>36</v>
      </c>
      <c r="J980" s="11">
        <v>843</v>
      </c>
      <c r="K980" s="11" t="s">
        <v>1039</v>
      </c>
      <c r="L980" s="11" t="s">
        <v>1043</v>
      </c>
      <c r="M980" s="13">
        <v>45303</v>
      </c>
      <c r="N980" s="11" t="s">
        <v>1047</v>
      </c>
      <c r="O980" s="14">
        <f t="shared" si="76"/>
        <v>14628.96937564867</v>
      </c>
      <c r="P980" s="14">
        <f t="shared" si="77"/>
        <v>526642.89752335218</v>
      </c>
      <c r="Q980" s="14">
        <f t="shared" si="78"/>
        <v>93152.897523352178</v>
      </c>
      <c r="R980" s="11">
        <f t="shared" ca="1" si="79"/>
        <v>1</v>
      </c>
      <c r="S980" s="11" t="str">
        <f t="shared" si="80"/>
        <v>800-850</v>
      </c>
    </row>
    <row r="981" spans="1:19" x14ac:dyDescent="0.3">
      <c r="A981" s="11" t="s">
        <v>993</v>
      </c>
      <c r="B981" s="11" t="s">
        <v>1018</v>
      </c>
      <c r="C981" s="11">
        <v>53</v>
      </c>
      <c r="D981" s="11" t="s">
        <v>1034</v>
      </c>
      <c r="E981" s="11" t="s">
        <v>1036</v>
      </c>
      <c r="F981" s="12">
        <v>1140060</v>
      </c>
      <c r="G981" s="12">
        <v>765652</v>
      </c>
      <c r="H981" s="11">
        <v>10.06</v>
      </c>
      <c r="I981" s="11">
        <v>36</v>
      </c>
      <c r="J981" s="11">
        <v>781</v>
      </c>
      <c r="K981" s="11" t="s">
        <v>1040</v>
      </c>
      <c r="L981" s="11" t="s">
        <v>1044</v>
      </c>
      <c r="M981" s="13">
        <v>45411</v>
      </c>
      <c r="N981" s="11" t="s">
        <v>1046</v>
      </c>
      <c r="O981" s="14">
        <f t="shared" si="76"/>
        <v>24727.010179539495</v>
      </c>
      <c r="P981" s="14">
        <f t="shared" si="77"/>
        <v>890172.36646342184</v>
      </c>
      <c r="Q981" s="14">
        <f t="shared" si="78"/>
        <v>124520.36646342184</v>
      </c>
      <c r="R981" s="11">
        <f t="shared" ca="1" si="79"/>
        <v>1</v>
      </c>
      <c r="S981" s="11" t="str">
        <f t="shared" si="80"/>
        <v>750-799</v>
      </c>
    </row>
    <row r="982" spans="1:19" x14ac:dyDescent="0.3">
      <c r="A982" s="11" t="s">
        <v>994</v>
      </c>
      <c r="B982" s="11" t="s">
        <v>1028</v>
      </c>
      <c r="C982" s="11">
        <v>42</v>
      </c>
      <c r="D982" s="11" t="s">
        <v>1035</v>
      </c>
      <c r="E982" s="11" t="s">
        <v>1036</v>
      </c>
      <c r="F982" s="12">
        <v>1325880</v>
      </c>
      <c r="G982" s="12">
        <v>1571808</v>
      </c>
      <c r="H982" s="11">
        <v>8.86</v>
      </c>
      <c r="I982" s="11">
        <v>72</v>
      </c>
      <c r="J982" s="11">
        <v>800</v>
      </c>
      <c r="K982" s="11" t="s">
        <v>1040</v>
      </c>
      <c r="L982" s="11" t="s">
        <v>1043</v>
      </c>
      <c r="M982" s="13">
        <v>43154</v>
      </c>
      <c r="N982" s="11" t="s">
        <v>1048</v>
      </c>
      <c r="O982" s="14">
        <f t="shared" si="76"/>
        <v>28223.592581652902</v>
      </c>
      <c r="P982" s="14">
        <f t="shared" si="77"/>
        <v>2032098.6658790088</v>
      </c>
      <c r="Q982" s="14">
        <f t="shared" si="78"/>
        <v>460290.66587900883</v>
      </c>
      <c r="R982" s="11">
        <f t="shared" ca="1" si="79"/>
        <v>7</v>
      </c>
      <c r="S982" s="11" t="str">
        <f t="shared" si="80"/>
        <v>800-850</v>
      </c>
    </row>
    <row r="983" spans="1:19" x14ac:dyDescent="0.3">
      <c r="A983" s="11" t="s">
        <v>995</v>
      </c>
      <c r="B983" s="11" t="s">
        <v>1031</v>
      </c>
      <c r="C983" s="11">
        <v>33</v>
      </c>
      <c r="D983" s="11" t="s">
        <v>1035</v>
      </c>
      <c r="E983" s="11" t="s">
        <v>1038</v>
      </c>
      <c r="F983" s="12">
        <v>1968688</v>
      </c>
      <c r="G983" s="12">
        <v>1628793</v>
      </c>
      <c r="H983" s="11">
        <v>8.0399999999999991</v>
      </c>
      <c r="I983" s="11">
        <v>72</v>
      </c>
      <c r="J983" s="11">
        <v>784</v>
      </c>
      <c r="K983" s="11" t="s">
        <v>1042</v>
      </c>
      <c r="L983" s="11" t="s">
        <v>1044</v>
      </c>
      <c r="M983" s="13">
        <v>43721</v>
      </c>
      <c r="N983" s="11" t="s">
        <v>1045</v>
      </c>
      <c r="O983" s="14">
        <f t="shared" si="76"/>
        <v>28589.842014256428</v>
      </c>
      <c r="P983" s="14">
        <f t="shared" si="77"/>
        <v>2058468.6250264628</v>
      </c>
      <c r="Q983" s="14">
        <f t="shared" si="78"/>
        <v>429675.62502646283</v>
      </c>
      <c r="R983" s="11">
        <f t="shared" ca="1" si="79"/>
        <v>6</v>
      </c>
      <c r="S983" s="11" t="str">
        <f t="shared" si="80"/>
        <v>750-799</v>
      </c>
    </row>
    <row r="984" spans="1:19" x14ac:dyDescent="0.3">
      <c r="A984" s="11" t="s">
        <v>996</v>
      </c>
      <c r="B984" s="11" t="s">
        <v>1027</v>
      </c>
      <c r="C984" s="11">
        <v>38</v>
      </c>
      <c r="D984" s="11" t="s">
        <v>1035</v>
      </c>
      <c r="E984" s="11" t="s">
        <v>1036</v>
      </c>
      <c r="F984" s="12">
        <v>1733872</v>
      </c>
      <c r="G984" s="12">
        <v>1662366</v>
      </c>
      <c r="H984" s="11">
        <v>7.98</v>
      </c>
      <c r="I984" s="11">
        <v>96</v>
      </c>
      <c r="J984" s="11">
        <v>810</v>
      </c>
      <c r="K984" s="11" t="s">
        <v>1039</v>
      </c>
      <c r="L984" s="11" t="s">
        <v>1044</v>
      </c>
      <c r="M984" s="13">
        <v>45436</v>
      </c>
      <c r="N984" s="11" t="s">
        <v>1045</v>
      </c>
      <c r="O984" s="14">
        <f t="shared" si="76"/>
        <v>23483.440075532188</v>
      </c>
      <c r="P984" s="14">
        <f t="shared" si="77"/>
        <v>2254410.2472510901</v>
      </c>
      <c r="Q984" s="14">
        <f t="shared" si="78"/>
        <v>592044.24725109013</v>
      </c>
      <c r="R984" s="11">
        <f t="shared" ca="1" si="79"/>
        <v>1</v>
      </c>
      <c r="S984" s="11" t="str">
        <f t="shared" si="80"/>
        <v>800-850</v>
      </c>
    </row>
    <row r="985" spans="1:19" x14ac:dyDescent="0.3">
      <c r="A985" s="11" t="s">
        <v>997</v>
      </c>
      <c r="B985" s="11" t="s">
        <v>1026</v>
      </c>
      <c r="C985" s="11">
        <v>36</v>
      </c>
      <c r="D985" s="11" t="s">
        <v>1034</v>
      </c>
      <c r="E985" s="11" t="s">
        <v>1037</v>
      </c>
      <c r="F985" s="12">
        <v>318093</v>
      </c>
      <c r="G985" s="12">
        <v>964224</v>
      </c>
      <c r="H985" s="11">
        <v>13.45</v>
      </c>
      <c r="I985" s="11">
        <v>60</v>
      </c>
      <c r="J985" s="11">
        <v>699</v>
      </c>
      <c r="K985" s="11" t="s">
        <v>1039</v>
      </c>
      <c r="L985" s="11" t="s">
        <v>1044</v>
      </c>
      <c r="M985" s="13">
        <v>43993</v>
      </c>
      <c r="N985" s="11" t="s">
        <v>1048</v>
      </c>
      <c r="O985" s="14">
        <f t="shared" si="76"/>
        <v>22161.816191573129</v>
      </c>
      <c r="P985" s="14">
        <f t="shared" si="77"/>
        <v>1329708.9714943878</v>
      </c>
      <c r="Q985" s="14">
        <f t="shared" si="78"/>
        <v>365484.97149438784</v>
      </c>
      <c r="R985" s="11">
        <f t="shared" ca="1" si="79"/>
        <v>5</v>
      </c>
      <c r="S985" s="11" t="str">
        <f t="shared" si="80"/>
        <v>650-699</v>
      </c>
    </row>
    <row r="986" spans="1:19" x14ac:dyDescent="0.3">
      <c r="A986" s="11" t="s">
        <v>998</v>
      </c>
      <c r="B986" s="11" t="s">
        <v>1020</v>
      </c>
      <c r="C986" s="11">
        <v>54</v>
      </c>
      <c r="D986" s="11" t="s">
        <v>1035</v>
      </c>
      <c r="E986" s="11" t="s">
        <v>1036</v>
      </c>
      <c r="F986" s="12">
        <v>1803925</v>
      </c>
      <c r="G986" s="12">
        <v>1942685</v>
      </c>
      <c r="H986" s="11">
        <v>9.9499999999999993</v>
      </c>
      <c r="I986" s="11">
        <v>84</v>
      </c>
      <c r="J986" s="11">
        <v>841</v>
      </c>
      <c r="K986" s="11" t="s">
        <v>1040</v>
      </c>
      <c r="L986" s="11" t="s">
        <v>1044</v>
      </c>
      <c r="M986" s="13">
        <v>43565</v>
      </c>
      <c r="N986" s="11" t="s">
        <v>1047</v>
      </c>
      <c r="O986" s="14">
        <f t="shared" si="76"/>
        <v>32200.704569004502</v>
      </c>
      <c r="P986" s="14">
        <f t="shared" si="77"/>
        <v>2704859.1837963783</v>
      </c>
      <c r="Q986" s="14">
        <f t="shared" si="78"/>
        <v>762174.18379637832</v>
      </c>
      <c r="R986" s="11">
        <f t="shared" ca="1" si="79"/>
        <v>6</v>
      </c>
      <c r="S986" s="11" t="str">
        <f t="shared" si="80"/>
        <v>800-850</v>
      </c>
    </row>
    <row r="987" spans="1:19" x14ac:dyDescent="0.3">
      <c r="A987" s="11" t="s">
        <v>999</v>
      </c>
      <c r="B987" s="11" t="s">
        <v>1032</v>
      </c>
      <c r="C987" s="11">
        <v>42</v>
      </c>
      <c r="D987" s="11" t="s">
        <v>1035</v>
      </c>
      <c r="E987" s="11" t="s">
        <v>1038</v>
      </c>
      <c r="F987" s="12">
        <v>1609020</v>
      </c>
      <c r="G987" s="12">
        <v>384667</v>
      </c>
      <c r="H987" s="11">
        <v>13.27</v>
      </c>
      <c r="I987" s="11">
        <v>96</v>
      </c>
      <c r="J987" s="11">
        <v>797</v>
      </c>
      <c r="K987" s="11" t="s">
        <v>1040</v>
      </c>
      <c r="L987" s="11" t="s">
        <v>1044</v>
      </c>
      <c r="M987" s="13">
        <v>43683</v>
      </c>
      <c r="N987" s="11" t="s">
        <v>1047</v>
      </c>
      <c r="O987" s="14">
        <f t="shared" si="76"/>
        <v>6523.4290245759203</v>
      </c>
      <c r="P987" s="14">
        <f t="shared" si="77"/>
        <v>626249.1863592884</v>
      </c>
      <c r="Q987" s="14">
        <f t="shared" si="78"/>
        <v>241582.1863592884</v>
      </c>
      <c r="R987" s="11">
        <f t="shared" ca="1" si="79"/>
        <v>6</v>
      </c>
      <c r="S987" s="11" t="str">
        <f t="shared" si="80"/>
        <v>750-799</v>
      </c>
    </row>
    <row r="988" spans="1:19" x14ac:dyDescent="0.3">
      <c r="A988" s="11" t="s">
        <v>1000</v>
      </c>
      <c r="B988" s="11" t="s">
        <v>1015</v>
      </c>
      <c r="C988" s="11">
        <v>48</v>
      </c>
      <c r="D988" s="11" t="s">
        <v>1034</v>
      </c>
      <c r="E988" s="11" t="s">
        <v>1038</v>
      </c>
      <c r="F988" s="12">
        <v>676449</v>
      </c>
      <c r="G988" s="12">
        <v>762838</v>
      </c>
      <c r="H988" s="11">
        <v>8.43</v>
      </c>
      <c r="I988" s="11">
        <v>36</v>
      </c>
      <c r="J988" s="11">
        <v>686</v>
      </c>
      <c r="K988" s="11" t="s">
        <v>1042</v>
      </c>
      <c r="L988" s="11" t="s">
        <v>1044</v>
      </c>
      <c r="M988" s="13">
        <v>45372</v>
      </c>
      <c r="N988" s="11" t="s">
        <v>1045</v>
      </c>
      <c r="O988" s="14">
        <f t="shared" si="76"/>
        <v>24056.181550876492</v>
      </c>
      <c r="P988" s="14">
        <f t="shared" si="77"/>
        <v>866022.53583155375</v>
      </c>
      <c r="Q988" s="14">
        <f t="shared" si="78"/>
        <v>103184.53583155375</v>
      </c>
      <c r="R988" s="11">
        <f t="shared" ca="1" si="79"/>
        <v>1</v>
      </c>
      <c r="S988" s="11" t="str">
        <f t="shared" si="80"/>
        <v>650-699</v>
      </c>
    </row>
    <row r="989" spans="1:19" x14ac:dyDescent="0.3">
      <c r="A989" s="11" t="s">
        <v>1001</v>
      </c>
      <c r="B989" s="11" t="s">
        <v>1020</v>
      </c>
      <c r="C989" s="11">
        <v>55</v>
      </c>
      <c r="D989" s="11" t="s">
        <v>1035</v>
      </c>
      <c r="E989" s="11" t="s">
        <v>1037</v>
      </c>
      <c r="F989" s="12">
        <v>1517214</v>
      </c>
      <c r="G989" s="12">
        <v>1130381</v>
      </c>
      <c r="H989" s="11">
        <v>8.65</v>
      </c>
      <c r="I989" s="11">
        <v>48</v>
      </c>
      <c r="J989" s="11">
        <v>674</v>
      </c>
      <c r="K989" s="11" t="s">
        <v>1042</v>
      </c>
      <c r="L989" s="11" t="s">
        <v>1044</v>
      </c>
      <c r="M989" s="13">
        <v>45499</v>
      </c>
      <c r="N989" s="11" t="s">
        <v>1046</v>
      </c>
      <c r="O989" s="14">
        <f t="shared" si="76"/>
        <v>27942.094341194446</v>
      </c>
      <c r="P989" s="14">
        <f t="shared" si="77"/>
        <v>1341220.5283773334</v>
      </c>
      <c r="Q989" s="14">
        <f t="shared" si="78"/>
        <v>210839.52837733342</v>
      </c>
      <c r="R989" s="11">
        <f t="shared" ca="1" si="79"/>
        <v>1</v>
      </c>
      <c r="S989" s="11" t="str">
        <f t="shared" si="80"/>
        <v>650-699</v>
      </c>
    </row>
    <row r="990" spans="1:19" x14ac:dyDescent="0.3">
      <c r="A990" s="11" t="s">
        <v>1002</v>
      </c>
      <c r="B990" s="11" t="s">
        <v>1018</v>
      </c>
      <c r="C990" s="11">
        <v>53</v>
      </c>
      <c r="D990" s="11" t="s">
        <v>1034</v>
      </c>
      <c r="E990" s="11" t="s">
        <v>1037</v>
      </c>
      <c r="F990" s="12">
        <v>1557026</v>
      </c>
      <c r="G990" s="12">
        <v>795984</v>
      </c>
      <c r="H990" s="11">
        <v>13.48</v>
      </c>
      <c r="I990" s="11">
        <v>120</v>
      </c>
      <c r="J990" s="11">
        <v>609</v>
      </c>
      <c r="K990" s="11" t="s">
        <v>1041</v>
      </c>
      <c r="L990" s="11" t="s">
        <v>1043</v>
      </c>
      <c r="M990" s="13">
        <v>45455</v>
      </c>
      <c r="N990" s="11" t="s">
        <v>1047</v>
      </c>
      <c r="O990" s="14">
        <f t="shared" si="76"/>
        <v>12111.310115945051</v>
      </c>
      <c r="P990" s="14">
        <f t="shared" si="77"/>
        <v>1453357.213913406</v>
      </c>
      <c r="Q990" s="14">
        <f t="shared" si="78"/>
        <v>657373.21391340601</v>
      </c>
      <c r="R990" s="11">
        <f t="shared" ca="1" si="79"/>
        <v>1</v>
      </c>
      <c r="S990" s="11" t="str">
        <f t="shared" si="80"/>
        <v>600-649</v>
      </c>
    </row>
    <row r="991" spans="1:19" x14ac:dyDescent="0.3">
      <c r="A991" s="11" t="s">
        <v>1003</v>
      </c>
      <c r="B991" s="11" t="s">
        <v>1021</v>
      </c>
      <c r="C991" s="11">
        <v>39</v>
      </c>
      <c r="D991" s="11" t="s">
        <v>1035</v>
      </c>
      <c r="E991" s="11" t="s">
        <v>1038</v>
      </c>
      <c r="F991" s="12">
        <v>895386</v>
      </c>
      <c r="G991" s="12">
        <v>1004170</v>
      </c>
      <c r="H991" s="11">
        <v>13.29</v>
      </c>
      <c r="I991" s="11">
        <v>84</v>
      </c>
      <c r="J991" s="11">
        <v>788</v>
      </c>
      <c r="K991" s="11" t="s">
        <v>1042</v>
      </c>
      <c r="L991" s="11" t="s">
        <v>1044</v>
      </c>
      <c r="M991" s="13">
        <v>43322</v>
      </c>
      <c r="N991" s="11" t="s">
        <v>1048</v>
      </c>
      <c r="O991" s="14">
        <f t="shared" si="76"/>
        <v>18426.514359905919</v>
      </c>
      <c r="P991" s="14">
        <f t="shared" si="77"/>
        <v>1547827.2062320972</v>
      </c>
      <c r="Q991" s="14">
        <f t="shared" si="78"/>
        <v>543657.20623209723</v>
      </c>
      <c r="R991" s="11">
        <f t="shared" ca="1" si="79"/>
        <v>7</v>
      </c>
      <c r="S991" s="11" t="str">
        <f t="shared" si="80"/>
        <v>750-799</v>
      </c>
    </row>
    <row r="992" spans="1:19" x14ac:dyDescent="0.3">
      <c r="A992" s="11" t="s">
        <v>1004</v>
      </c>
      <c r="B992" s="11" t="s">
        <v>1021</v>
      </c>
      <c r="C992" s="11">
        <v>32</v>
      </c>
      <c r="D992" s="11" t="s">
        <v>1035</v>
      </c>
      <c r="E992" s="11" t="s">
        <v>1038</v>
      </c>
      <c r="F992" s="12">
        <v>596198</v>
      </c>
      <c r="G992" s="12">
        <v>231009</v>
      </c>
      <c r="H992" s="11">
        <v>7.56</v>
      </c>
      <c r="I992" s="11">
        <v>60</v>
      </c>
      <c r="J992" s="11">
        <v>631</v>
      </c>
      <c r="K992" s="11" t="s">
        <v>1040</v>
      </c>
      <c r="L992" s="11" t="s">
        <v>1044</v>
      </c>
      <c r="M992" s="13">
        <v>45491</v>
      </c>
      <c r="N992" s="11" t="s">
        <v>1045</v>
      </c>
      <c r="O992" s="14">
        <f t="shared" si="76"/>
        <v>4635.5357762205876</v>
      </c>
      <c r="P992" s="14">
        <f t="shared" si="77"/>
        <v>278132.14657323528</v>
      </c>
      <c r="Q992" s="14">
        <f t="shared" si="78"/>
        <v>47123.146573235281</v>
      </c>
      <c r="R992" s="11">
        <f t="shared" ca="1" si="79"/>
        <v>1</v>
      </c>
      <c r="S992" s="11" t="str">
        <f t="shared" si="80"/>
        <v>600-649</v>
      </c>
    </row>
    <row r="993" spans="1:19" x14ac:dyDescent="0.3">
      <c r="A993" s="11" t="s">
        <v>1005</v>
      </c>
      <c r="B993" s="11" t="s">
        <v>1022</v>
      </c>
      <c r="C993" s="11">
        <v>28</v>
      </c>
      <c r="D993" s="11" t="s">
        <v>1035</v>
      </c>
      <c r="E993" s="11" t="s">
        <v>1038</v>
      </c>
      <c r="F993" s="12">
        <v>746196</v>
      </c>
      <c r="G993" s="12">
        <v>1664844</v>
      </c>
      <c r="H993" s="11">
        <v>7.52</v>
      </c>
      <c r="I993" s="11">
        <v>60</v>
      </c>
      <c r="J993" s="11">
        <v>799</v>
      </c>
      <c r="K993" s="11" t="s">
        <v>1039</v>
      </c>
      <c r="L993" s="11" t="s">
        <v>1043</v>
      </c>
      <c r="M993" s="13">
        <v>43596</v>
      </c>
      <c r="N993" s="11" t="s">
        <v>1047</v>
      </c>
      <c r="O993" s="14">
        <f t="shared" si="76"/>
        <v>33375.883332409547</v>
      </c>
      <c r="P993" s="14">
        <f t="shared" si="77"/>
        <v>2002552.9999445728</v>
      </c>
      <c r="Q993" s="14">
        <f t="shared" si="78"/>
        <v>337708.9999445728</v>
      </c>
      <c r="R993" s="11">
        <f t="shared" ca="1" si="79"/>
        <v>6</v>
      </c>
      <c r="S993" s="11" t="str">
        <f t="shared" si="80"/>
        <v>750-799</v>
      </c>
    </row>
    <row r="994" spans="1:19" x14ac:dyDescent="0.3">
      <c r="A994" s="11" t="s">
        <v>1006</v>
      </c>
      <c r="B994" s="11" t="s">
        <v>1027</v>
      </c>
      <c r="C994" s="11">
        <v>55</v>
      </c>
      <c r="D994" s="11" t="s">
        <v>1034</v>
      </c>
      <c r="E994" s="11" t="s">
        <v>1038</v>
      </c>
      <c r="F994" s="12">
        <v>1447104</v>
      </c>
      <c r="G994" s="12">
        <v>518272</v>
      </c>
      <c r="H994" s="11">
        <v>11.72</v>
      </c>
      <c r="I994" s="11">
        <v>72</v>
      </c>
      <c r="J994" s="11">
        <v>713</v>
      </c>
      <c r="K994" s="11" t="s">
        <v>1042</v>
      </c>
      <c r="L994" s="11" t="s">
        <v>1044</v>
      </c>
      <c r="M994" s="13">
        <v>43276</v>
      </c>
      <c r="N994" s="11" t="s">
        <v>1048</v>
      </c>
      <c r="O994" s="14">
        <f t="shared" si="76"/>
        <v>10057.011841455604</v>
      </c>
      <c r="P994" s="14">
        <f t="shared" si="77"/>
        <v>724104.85258480348</v>
      </c>
      <c r="Q994" s="14">
        <f t="shared" si="78"/>
        <v>205832.85258480348</v>
      </c>
      <c r="R994" s="11">
        <f t="shared" ca="1" si="79"/>
        <v>7</v>
      </c>
      <c r="S994" s="11" t="str">
        <f t="shared" si="80"/>
        <v>700-749</v>
      </c>
    </row>
    <row r="995" spans="1:19" x14ac:dyDescent="0.3">
      <c r="A995" s="11" t="s">
        <v>1007</v>
      </c>
      <c r="B995" s="11" t="s">
        <v>1031</v>
      </c>
      <c r="C995" s="11">
        <v>49</v>
      </c>
      <c r="D995" s="11" t="s">
        <v>1035</v>
      </c>
      <c r="E995" s="11" t="s">
        <v>1037</v>
      </c>
      <c r="F995" s="12">
        <v>1025701</v>
      </c>
      <c r="G995" s="12">
        <v>899562</v>
      </c>
      <c r="H995" s="11">
        <v>12.4</v>
      </c>
      <c r="I995" s="11">
        <v>84</v>
      </c>
      <c r="J995" s="11">
        <v>795</v>
      </c>
      <c r="K995" s="11" t="s">
        <v>1040</v>
      </c>
      <c r="L995" s="11" t="s">
        <v>1043</v>
      </c>
      <c r="M995" s="13">
        <v>44478</v>
      </c>
      <c r="N995" s="11" t="s">
        <v>1045</v>
      </c>
      <c r="O995" s="14">
        <f t="shared" si="76"/>
        <v>16072.797459032725</v>
      </c>
      <c r="P995" s="14">
        <f t="shared" si="77"/>
        <v>1350114.9865587489</v>
      </c>
      <c r="Q995" s="14">
        <f t="shared" si="78"/>
        <v>450552.98655874887</v>
      </c>
      <c r="R995" s="11">
        <f t="shared" ca="1" si="79"/>
        <v>4</v>
      </c>
      <c r="S995" s="11" t="str">
        <f t="shared" si="80"/>
        <v>750-799</v>
      </c>
    </row>
    <row r="996" spans="1:19" x14ac:dyDescent="0.3">
      <c r="A996" s="11" t="s">
        <v>1008</v>
      </c>
      <c r="B996" s="11" t="s">
        <v>1015</v>
      </c>
      <c r="C996" s="11">
        <v>33</v>
      </c>
      <c r="D996" s="11" t="s">
        <v>1034</v>
      </c>
      <c r="E996" s="11" t="s">
        <v>1036</v>
      </c>
      <c r="F996" s="12">
        <v>1995896</v>
      </c>
      <c r="G996" s="12">
        <v>534569</v>
      </c>
      <c r="H996" s="11">
        <v>14.15</v>
      </c>
      <c r="I996" s="11">
        <v>84</v>
      </c>
      <c r="J996" s="11">
        <v>771</v>
      </c>
      <c r="K996" s="11" t="s">
        <v>1040</v>
      </c>
      <c r="L996" s="11" t="s">
        <v>1044</v>
      </c>
      <c r="M996" s="13">
        <v>44744</v>
      </c>
      <c r="N996" s="11" t="s">
        <v>1045</v>
      </c>
      <c r="O996" s="14">
        <f t="shared" si="76"/>
        <v>10062.17724357209</v>
      </c>
      <c r="P996" s="14">
        <f t="shared" si="77"/>
        <v>845222.88846005558</v>
      </c>
      <c r="Q996" s="14">
        <f t="shared" si="78"/>
        <v>310653.88846005558</v>
      </c>
      <c r="R996" s="11">
        <f t="shared" ca="1" si="79"/>
        <v>3</v>
      </c>
      <c r="S996" s="11" t="str">
        <f t="shared" si="80"/>
        <v>750-799</v>
      </c>
    </row>
    <row r="997" spans="1:19" x14ac:dyDescent="0.3">
      <c r="A997" s="11" t="s">
        <v>1009</v>
      </c>
      <c r="B997" s="11" t="s">
        <v>1018</v>
      </c>
      <c r="C997" s="11">
        <v>36</v>
      </c>
      <c r="D997" s="11" t="s">
        <v>1035</v>
      </c>
      <c r="E997" s="11" t="s">
        <v>1036</v>
      </c>
      <c r="F997" s="12">
        <v>1216367</v>
      </c>
      <c r="G997" s="12">
        <v>1267144</v>
      </c>
      <c r="H997" s="11">
        <v>10.45</v>
      </c>
      <c r="I997" s="11">
        <v>72</v>
      </c>
      <c r="J997" s="11">
        <v>747</v>
      </c>
      <c r="K997" s="11" t="s">
        <v>1042</v>
      </c>
      <c r="L997" s="11" t="s">
        <v>1044</v>
      </c>
      <c r="M997" s="13">
        <v>44898</v>
      </c>
      <c r="N997" s="11" t="s">
        <v>1046</v>
      </c>
      <c r="O997" s="14">
        <f t="shared" si="76"/>
        <v>23763.470728033379</v>
      </c>
      <c r="P997" s="14">
        <f t="shared" si="77"/>
        <v>1710969.8924184032</v>
      </c>
      <c r="Q997" s="14">
        <f t="shared" si="78"/>
        <v>443825.89241840318</v>
      </c>
      <c r="R997" s="11">
        <f t="shared" ca="1" si="79"/>
        <v>3</v>
      </c>
      <c r="S997" s="11" t="str">
        <f t="shared" si="80"/>
        <v>700-749</v>
      </c>
    </row>
    <row r="998" spans="1:19" x14ac:dyDescent="0.3">
      <c r="A998" s="11" t="s">
        <v>1010</v>
      </c>
      <c r="B998" s="11" t="s">
        <v>1031</v>
      </c>
      <c r="C998" s="11">
        <v>36</v>
      </c>
      <c r="D998" s="11" t="s">
        <v>1035</v>
      </c>
      <c r="E998" s="11" t="s">
        <v>1038</v>
      </c>
      <c r="F998" s="12">
        <v>1093502</v>
      </c>
      <c r="G998" s="12">
        <v>943547</v>
      </c>
      <c r="H998" s="11">
        <v>8.7100000000000009</v>
      </c>
      <c r="I998" s="11">
        <v>72</v>
      </c>
      <c r="J998" s="11">
        <v>718</v>
      </c>
      <c r="K998" s="11" t="s">
        <v>1040</v>
      </c>
      <c r="L998" s="11" t="s">
        <v>1044</v>
      </c>
      <c r="M998" s="13">
        <v>44892</v>
      </c>
      <c r="N998" s="11" t="s">
        <v>1047</v>
      </c>
      <c r="O998" s="14">
        <f t="shared" si="76"/>
        <v>16872.455057755189</v>
      </c>
      <c r="P998" s="14">
        <f t="shared" si="77"/>
        <v>1214816.7641583737</v>
      </c>
      <c r="Q998" s="14">
        <f t="shared" si="78"/>
        <v>271269.7641583737</v>
      </c>
      <c r="R998" s="11">
        <f t="shared" ca="1" si="79"/>
        <v>3</v>
      </c>
      <c r="S998" s="11" t="str">
        <f t="shared" si="80"/>
        <v>700-749</v>
      </c>
    </row>
    <row r="999" spans="1:19" x14ac:dyDescent="0.3">
      <c r="A999" s="11" t="s">
        <v>1011</v>
      </c>
      <c r="B999" s="11" t="s">
        <v>1023</v>
      </c>
      <c r="C999" s="11">
        <v>35</v>
      </c>
      <c r="D999" s="11" t="s">
        <v>1035</v>
      </c>
      <c r="E999" s="11" t="s">
        <v>1038</v>
      </c>
      <c r="F999" s="12">
        <v>954874</v>
      </c>
      <c r="G999" s="12">
        <v>414628</v>
      </c>
      <c r="H999" s="11">
        <v>14.26</v>
      </c>
      <c r="I999" s="11">
        <v>48</v>
      </c>
      <c r="J999" s="11">
        <v>692</v>
      </c>
      <c r="K999" s="11" t="s">
        <v>1039</v>
      </c>
      <c r="L999" s="11" t="s">
        <v>1044</v>
      </c>
      <c r="M999" s="13">
        <v>45270</v>
      </c>
      <c r="N999" s="11" t="s">
        <v>1045</v>
      </c>
      <c r="O999" s="14">
        <f t="shared" si="76"/>
        <v>11384.47389612296</v>
      </c>
      <c r="P999" s="14">
        <f t="shared" si="77"/>
        <v>546454.74701390206</v>
      </c>
      <c r="Q999" s="14">
        <f t="shared" si="78"/>
        <v>131826.74701390206</v>
      </c>
      <c r="R999" s="11">
        <f t="shared" ca="1" si="79"/>
        <v>2</v>
      </c>
      <c r="S999" s="11" t="str">
        <f t="shared" si="80"/>
        <v>650-699</v>
      </c>
    </row>
    <row r="1000" spans="1:19" x14ac:dyDescent="0.3">
      <c r="A1000" s="11" t="s">
        <v>1012</v>
      </c>
      <c r="B1000" s="11" t="s">
        <v>1023</v>
      </c>
      <c r="C1000" s="11">
        <v>33</v>
      </c>
      <c r="D1000" s="11" t="s">
        <v>1034</v>
      </c>
      <c r="E1000" s="11" t="s">
        <v>1036</v>
      </c>
      <c r="F1000" s="12">
        <v>1103843</v>
      </c>
      <c r="G1000" s="12">
        <v>1977219</v>
      </c>
      <c r="H1000" s="11">
        <v>10.8</v>
      </c>
      <c r="I1000" s="11">
        <v>96</v>
      </c>
      <c r="J1000" s="11">
        <v>804</v>
      </c>
      <c r="K1000" s="11" t="s">
        <v>1039</v>
      </c>
      <c r="L1000" s="11" t="s">
        <v>1044</v>
      </c>
      <c r="M1000" s="13">
        <v>44694</v>
      </c>
      <c r="N1000" s="11" t="s">
        <v>1048</v>
      </c>
      <c r="O1000" s="14">
        <f t="shared" si="76"/>
        <v>30846.111517618927</v>
      </c>
      <c r="P1000" s="14">
        <f t="shared" si="77"/>
        <v>2961226.7056914167</v>
      </c>
      <c r="Q1000" s="14">
        <f t="shared" si="78"/>
        <v>984007.70569141675</v>
      </c>
      <c r="R1000" s="11">
        <f t="shared" ca="1" si="79"/>
        <v>3</v>
      </c>
      <c r="S1000" s="11" t="str">
        <f t="shared" si="80"/>
        <v>800-850</v>
      </c>
    </row>
    <row r="1001" spans="1:19" x14ac:dyDescent="0.3">
      <c r="A1001" s="11" t="s">
        <v>1013</v>
      </c>
      <c r="B1001" s="11" t="s">
        <v>1015</v>
      </c>
      <c r="C1001" s="11">
        <v>56</v>
      </c>
      <c r="D1001" s="11" t="s">
        <v>1034</v>
      </c>
      <c r="E1001" s="11" t="s">
        <v>1038</v>
      </c>
      <c r="F1001" s="12">
        <v>992381</v>
      </c>
      <c r="G1001" s="12">
        <v>707116</v>
      </c>
      <c r="H1001" s="11">
        <v>8.69</v>
      </c>
      <c r="I1001" s="11">
        <v>120</v>
      </c>
      <c r="J1001" s="11">
        <v>768</v>
      </c>
      <c r="K1001" s="11" t="s">
        <v>1040</v>
      </c>
      <c r="L1001" s="11" t="s">
        <v>1044</v>
      </c>
      <c r="M1001" s="13">
        <v>45053</v>
      </c>
      <c r="N1001" s="11" t="s">
        <v>1048</v>
      </c>
      <c r="O1001" s="14">
        <f t="shared" si="76"/>
        <v>8839.2447390942289</v>
      </c>
      <c r="P1001" s="14">
        <f t="shared" si="77"/>
        <v>1060709.3686913075</v>
      </c>
      <c r="Q1001" s="14">
        <f t="shared" si="78"/>
        <v>353593.36869130749</v>
      </c>
      <c r="R1001" s="11">
        <f t="shared" ca="1" si="79"/>
        <v>2</v>
      </c>
      <c r="S1001" s="11" t="str">
        <f t="shared" si="80"/>
        <v>750-799</v>
      </c>
    </row>
  </sheetData>
  <autoFilter ref="A1:N1001" xr:uid="{00000000-0009-0000-0000-000005000000}"/>
  <mergeCells count="5">
    <mergeCell ref="U3:W4"/>
    <mergeCell ref="U11:W13"/>
    <mergeCell ref="U16:W17"/>
    <mergeCell ref="U20:W21"/>
    <mergeCell ref="U24:W25"/>
  </mergeCells>
  <conditionalFormatting sqref="H1:H1048576">
    <cfRule type="cellIs" dxfId="2" priority="2" operator="greaterThan">
      <formula>12</formula>
    </cfRule>
  </conditionalFormatting>
  <conditionalFormatting sqref="J1:J1048576">
    <cfRule type="cellIs" dxfId="1" priority="1" operator="greaterThan">
      <formula>750</formula>
    </cfRule>
  </conditionalFormatting>
  <conditionalFormatting sqref="L1:L1048576">
    <cfRule type="cellIs" dxfId="0" priority="3" operator="equal">
      <formula>"Default"</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Loantype vs loanstatus</vt:lpstr>
      <vt:lpstr>region vs loanstatus</vt:lpstr>
      <vt:lpstr>Emplomenttype vs loanamount</vt:lpstr>
      <vt:lpstr>creditscoregroup vs loanstatus</vt:lpstr>
      <vt:lpstr>Dashboard</vt:lpstr>
      <vt:lpstr>year vs loan amount</vt:lpstr>
      <vt:lpstr>loantype vs interestrate</vt:lpstr>
      <vt:lpstr>Sheet1</vt:lpstr>
      <vt:lpstr>Financial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Abhishek dengai</cp:lastModifiedBy>
  <dcterms:created xsi:type="dcterms:W3CDTF">2025-10-15T06:06:58Z</dcterms:created>
  <dcterms:modified xsi:type="dcterms:W3CDTF">2025-11-03T19:46:29Z</dcterms:modified>
</cp:coreProperties>
</file>